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13.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79767eb3374f44" /></Relationships>
</file>

<file path=xl/workbook.xml><?xml version="1.0" encoding="utf-8"?>
<x:workbook xmlns:x="http://schemas.openxmlformats.org/spreadsheetml/2006/main">
  <x:sheets>
    <x:sheet xmlns:r="http://schemas.openxmlformats.org/officeDocument/2006/relationships" name="00_Arquitectura" sheetId="1" r:id="Rdde344fb56f7421b"/>
    <x:sheet xmlns:r="http://schemas.openxmlformats.org/officeDocument/2006/relationships" name="01_Indicadores" sheetId="2" r:id="R2f171ec027c740fd"/>
    <x:sheet xmlns:r="http://schemas.openxmlformats.org/officeDocument/2006/relationships" name="02_Actores" sheetId="3" r:id="Rb9bbaf6d9bad4754"/>
    <x:sheet xmlns:r="http://schemas.openxmlformats.org/officeDocument/2006/relationships" name="03_Sensibilidades" sheetId="4" r:id="R5fa5407227af4eb0"/>
    <x:sheet xmlns:r="http://schemas.openxmlformats.org/officeDocument/2006/relationships" name="04_Acciones" sheetId="5" r:id="Rb90430dd5fd0454d"/>
    <x:sheet xmlns:r="http://schemas.openxmlformats.org/officeDocument/2006/relationships" name="05_Efectos" sheetId="6" r:id="R4a0f182cc1064f50"/>
    <x:sheet xmlns:r="http://schemas.openxmlformats.org/officeDocument/2006/relationships" name="06_Desbloqueos" sheetId="7" r:id="R2ca71ac267e84b8d"/>
    <x:sheet xmlns:r="http://schemas.openxmlformats.org/officeDocument/2006/relationships" name="07_Canales" sheetId="8" r:id="Rdb334dafa7814bb3"/>
    <x:sheet xmlns:r="http://schemas.openxmlformats.org/officeDocument/2006/relationships" name="08_Reuniones" sheetId="9" r:id="Re50679b1965d4156"/>
    <x:sheet xmlns:r="http://schemas.openxmlformats.org/officeDocument/2006/relationships" name="09_Auditoria" sheetId="10" r:id="Rc0d5e5b4d9a24a2b"/>
    <x:sheet xmlns:r="http://schemas.openxmlformats.org/officeDocument/2006/relationships" name="10_Faltantes" sheetId="11" r:id="Re2b68b4346b643e0"/>
    <x:sheet xmlns:r="http://schemas.openxmlformats.org/officeDocument/2006/relationships" name="11_Simulaciones" sheetId="12" r:id="R92f003fc44d84726"/>
    <x:sheet xmlns:r="http://schemas.openxmlformats.org/officeDocument/2006/relationships" name="12_Riesgos" sheetId="13" r:id="R4586998b9c6941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Red]-0.00;0"/>
    <x:numFmt numFmtId="201" formatCode="0.0;[Red]-0.0;0"/>
    <x:numFmt numFmtId="202" formatCode="0"/>
  </x:numFmts>
  <x:fonts count="5">
    <x:font>
      <x:sz val="11"/>
      <x:name val="Carlito"/>
    </x:font>
    <x:font>
      <x:b/>
      <x:sz val="16"/>
      <x:color rgb="FF133867"/>
      <x:name val="Arial"/>
    </x:font>
    <x:font>
      <x:sz val="11"/>
      <x:color rgb="FF23364D"/>
      <x:name val="Arial"/>
    </x:font>
    <x:font>
      <x:b/>
      <x:sz val="11"/>
      <x:color rgb="FFFFFFFF"/>
      <x:name val="Arial"/>
    </x:font>
    <x:font>
      <x:i/>
      <x:sz val="11"/>
      <x:color rgb="FF586980"/>
      <x:name val="Arial"/>
    </x:font>
  </x:fonts>
  <x:fills count="5">
    <x:fill>
      <x:patternFill patternType="none"/>
    </x:fill>
    <x:fill>
      <x:patternFill patternType="gray125"/>
    </x:fill>
    <x:fill>
      <x:patternFill patternType="solid">
        <x:fgColor rgb="FF183F6B"/>
      </x:patternFill>
    </x:fill>
    <x:fill>
      <x:patternFill patternType="solid">
        <x:fgColor rgb="FFF0F4FA"/>
      </x:patternFill>
    </x:fill>
    <x:fill>
      <x:patternFill patternType="solid">
        <x:fgColor rgb="FFFFF2CC"/>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0" xfId="0" applyNumberFormat="1" applyFont="1" applyFill="1" applyBorder="1" applyAlignment="1">
      <x:alignment horizontal="center" vertical="center" wrapText="1"/>
    </x:xf>
    <x:xf numFmtId="200" fontId="2" fillId="3" borderId="0" xfId="0" applyNumberFormat="1" applyFont="1" applyFill="1" applyBorder="1" applyAlignment="1">
      <x:alignment vertical="top" wrapText="1"/>
    </x:xf>
    <x:xf numFmtId="0" fontId="4" fillId="0" borderId="0" xfId="0" applyNumberFormat="1" applyFont="1" applyFill="1" applyBorder="1"/>
    <x:xf numFmtId="201" fontId="1" fillId="0" borderId="0" xfId="0" applyNumberFormat="1" applyFont="1" applyFill="1" applyBorder="1"/>
    <x:xf numFmtId="201" fontId="0" fillId="0" borderId="0" xfId="0" applyNumberFormat="1" applyFont="1" applyFill="1" applyBorder="1"/>
    <x:xf numFmtId="201" fontId="4" fillId="0" borderId="0" xfId="0" applyNumberFormat="1" applyFont="1" applyFill="1" applyBorder="1"/>
    <x:xf numFmtId="201" fontId="3" fillId="2" borderId="0" xfId="0" applyNumberFormat="1" applyFont="1" applyFill="1" applyBorder="1" applyAlignment="1">
      <x:alignment horizontal="center" vertical="center" wrapText="1"/>
    </x:xf>
    <x:xf numFmtId="201" fontId="2" fillId="0" borderId="0" xfId="0" applyNumberFormat="1" applyFont="1" applyFill="1" applyBorder="1" applyAlignment="1">
      <x:alignment vertical="top" wrapText="1"/>
    </x:xf>
    <x:xf numFmtId="201" fontId="2" fillId="3"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2" fontId="2"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xf numFmtId="202" fontId="2" fillId="4" borderId="0" xfId="0" applyNumberFormat="1" applyFont="1" applyFill="1" applyBorder="1" applyAlignment="1">
      <x:alignment vertical="top" wrapText="1"/>
    </x:xf>
  </x:cellXfs>
  <x:cellStyles count="1">
    <x:cellStyle name="Normal" xfId="0"/>
  </x:cellStyles>
  <x:dxfs count="1">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c8d9ea2ce74e37" /><Relationship Type="http://schemas.openxmlformats.org/officeDocument/2006/relationships/theme" Target="/xl/theme/theme1.xml" Id="Re6aadfcdff554051" /><Relationship Type="http://schemas.openxmlformats.org/officeDocument/2006/relationships/sharedStrings" Target="/xl/sharedStrings.xml" Id="Raec9b04358a94211" /><Relationship Type="http://schemas.openxmlformats.org/officeDocument/2006/relationships/worksheet" Target="/xl/worksheets/sheet1.xml" Id="Rdde344fb56f7421b" /><Relationship Type="http://schemas.openxmlformats.org/officeDocument/2006/relationships/worksheet" Target="/xl/worksheets/sheet2.xml" Id="R2f171ec027c740fd" /><Relationship Type="http://schemas.openxmlformats.org/officeDocument/2006/relationships/worksheet" Target="/xl/worksheets/sheet3.xml" Id="Rb9bbaf6d9bad4754" /><Relationship Type="http://schemas.openxmlformats.org/officeDocument/2006/relationships/worksheet" Target="/xl/worksheets/sheet4.xml" Id="R5fa5407227af4eb0" /><Relationship Type="http://schemas.openxmlformats.org/officeDocument/2006/relationships/worksheet" Target="/xl/worksheets/sheet5.xml" Id="Rb90430dd5fd0454d" /><Relationship Type="http://schemas.openxmlformats.org/officeDocument/2006/relationships/worksheet" Target="/xl/worksheets/sheet6.xml" Id="R4a0f182cc1064f50" /><Relationship Type="http://schemas.openxmlformats.org/officeDocument/2006/relationships/worksheet" Target="/xl/worksheets/sheet7.xml" Id="R2ca71ac267e84b8d" /><Relationship Type="http://schemas.openxmlformats.org/officeDocument/2006/relationships/worksheet" Target="/xl/worksheets/sheet8.xml" Id="Rdb334dafa7814bb3" /><Relationship Type="http://schemas.openxmlformats.org/officeDocument/2006/relationships/worksheet" Target="/xl/worksheets/sheet9.xml" Id="Re50679b1965d4156" /><Relationship Type="http://schemas.openxmlformats.org/officeDocument/2006/relationships/worksheet" Target="/xl/worksheets/sheet10.xml" Id="Rc0d5e5b4d9a24a2b" /><Relationship Type="http://schemas.openxmlformats.org/officeDocument/2006/relationships/worksheet" Target="/xl/worksheets/sheet11.xml" Id="Re2b68b4346b643e0" /><Relationship Type="http://schemas.openxmlformats.org/officeDocument/2006/relationships/worksheet" Target="/xl/worksheets/sheet12.xml" Id="R92f003fc44d84726" /><Relationship Type="http://schemas.openxmlformats.org/officeDocument/2006/relationships/worksheet" Target="/xl/worksheets/sheet13.xml" Id="R4586998b9c694188" /></Relationships>
</file>

<file path=xl/tables/table1.xml><?xml version="1.0" encoding="utf-8"?>
<x:table xmlns:x="http://schemas.openxmlformats.org/spreadsheetml/2006/main" id="12" name="Arquitectura" displayName="Arquitectura" ref="A5:C86" headerRowCount="1" totalsRowCount="0" totalsRowShown="0">
  <x:autoFilter ref="A5:C86"/>
  <x:tableColumns count="3">
    <x:tableColumn id="1" name="Área"/>
    <x:tableColumn id="2" name="Regla / decisión"/>
    <x:tableColumn id="3" name="Especificación"/>
  </x:tableColumns>
  <x:tableStyleInfo name="TableStyleMedium2" showFirstColumn="0" showLastColumn="0" showRowStripes="1" showColumnStripes="0"/>
</x:table>
</file>

<file path=xl/tables/table2.xml><?xml version="1.0" encoding="utf-8"?>
<x:table xmlns:x="http://schemas.openxmlformats.org/spreadsheetml/2006/main" id="14" name="Parametros" displayName="Parametros" ref="A90:C125" headerRowCount="1" totalsRowCount="0" totalsRowShown="0">
  <x:autoFilter ref="A90:C125"/>
  <x:tableColumns count="3">
    <x:tableColumn id="1" name="parameterId"/>
    <x:tableColumn id="2" name="Valor"/>
    <x:tableColumn id="3" name="Unidad / propósito"/>
  </x:tableColumns>
  <x:tableStyleInfo name="TableStyleMedium2" showFirstColumn="0" showLastColumn="0" showRowStripes="1" showColumnStripes="0"/>
</x:table>
</file>

<file path=xl/tables/table3.xml><?xml version="1.0" encoding="utf-8"?>
<x:table xmlns:x="http://schemas.openxmlformats.org/spreadsheetml/2006/main" id="1" name="Indicadores" displayName="Indicadores" ref="A5:M19" headerRowCount="1" totalsRowCount="0" totalsRowShown="0">
  <x:autoFilter ref="A5:M19"/>
  <x:tableColumns count="13">
    <x:tableColumn id="1" name="indicatorId"/>
    <x:tableColumn id="2" name="Nombre"/>
    <x:tableColumn id="3" name="Macro"/>
    <x:tableColumn id="4" name="Definición exacta"/>
    <x:tableColumn id="5" name="Valor alto"/>
    <x:tableColumn id="6" name="Valor bajo"/>
    <x:tableColumn id="7" name="Escala"/>
    <x:tableColumn id="8" name="Inicial propuesto"/>
    <x:tableColumn id="9" name="Visibilidad"/>
    <x:tableColumn id="10" name="MVP"/>
    <x:tableColumn id="11" name="Políticas"/>
    <x:tableColumn id="12" name="Interacciones"/>
    <x:tableColumn id="13" name="Observaciones"/>
  </x:tableColumns>
  <x:tableStyleInfo name="TableStyleMedium2" showFirstColumn="0" showLastColumn="0" showRowStripes="1" showColumnStripes="0"/>
</x:table>
</file>

<file path=xl/tables/table4.xml><?xml version="1.0" encoding="utf-8"?>
<x:table xmlns:x="http://schemas.openxmlformats.org/spreadsheetml/2006/main" id="2" name="Actores" displayName="Actores" ref="A5:N23" headerRowCount="1" totalsRowCount="0" totalsRowShown="0">
  <x:autoFilter ref="A5:N23"/>
  <x:tableColumns count="14">
    <x:tableColumn id="1" name="actorId"/>
    <x:tableColumn id="2" name="Nombre"/>
    <x:tableColumn id="3" name="Familia"/>
    <x:tableColumn id="4" name="Descripción"/>
    <x:tableColumn id="5" name="influence"/>
    <x:tableColumn id="6" name="electoralWeight"/>
    <x:tableColumn id="7" name="interactionDifficulty"/>
    <x:tableColumn id="8" name="Satisfacción inicial"/>
    <x:tableColumn id="9" name="Relación inicial"/>
    <x:tableColumn id="10" name="Canal principal"/>
    <x:tableColumn id="11" name="Canal secundario"/>
    <x:tableColumn id="12" name="Satisfacción alta"/>
    <x:tableColumn id="13" name="Satisfacción baja"/>
    <x:tableColumn id="14" name="Notas de balance"/>
  </x:tableColumns>
  <x:tableStyleInfo name="TableStyleMedium2" showFirstColumn="0" showLastColumn="0" showRowStripes="1" showColumnStripes="0"/>
</x:table>
</file>

<file path=xl/tables/table5.xml><?xml version="1.0" encoding="utf-8"?>
<x:table xmlns:x="http://schemas.openxmlformats.org/spreadsheetml/2006/main" id="3" name="Sensibilidades" displayName="Sensibilidades" ref="A5:F70" headerRowCount="1" totalsRowCount="0" totalsRowShown="0">
  <x:autoFilter ref="A5:F70"/>
  <x:tableColumns count="6">
    <x:tableColumn id="1" name="actorId"/>
    <x:tableColumn id="2" name="indicatorId"/>
    <x:tableColumn id="3" name="Sensibilidad"/>
    <x:tableColumn id="4" name="Prioridad"/>
    <x:tableColumn id="5" name="Dirección"/>
    <x:tableColumn id="6" name="Explicación"/>
  </x:tableColumns>
  <x:tableStyleInfo name="TableStyleMedium2" showFirstColumn="0" showLastColumn="0" showRowStripes="1" showColumnStripes="0"/>
</x:table>
</file>

<file path=xl/tables/table6.xml><?xml version="1.0" encoding="utf-8"?>
<x:table xmlns:x="http://schemas.openxmlformats.org/spreadsheetml/2006/main" id="9" name="Acciones" displayName="Acciones" ref="A5:O53" headerRowCount="1" totalsRowCount="0" totalsRowShown="0">
  <x:autoFilter ref="A5:O53"/>
  <x:tableColumns count="15">
    <x:tableColumn id="1" name="actionId"/>
    <x:tableColumn id="2" name="Nombre visible"/>
    <x:tableColumn id="3" name="Descripción"/>
    <x:tableColumn id="4" name="Categoría UI"/>
    <x:tableColumn id="5" name="Decisión"/>
    <x:tableColumn id="6" name="Costo PA"/>
    <x:tableColumn id="7" name="Caja inmediata U"/>
    <x:tableColumn id="8" name="Cooldown mínimo"/>
    <x:tableColumn id="9" name="Uso máximo por partida"/>
    <x:tableColumn id="10" name="Uso / estrategia"/>
    <x:tableColumn id="11" name="Prerequisitos IDs"/>
    <x:tableColumn id="12" name="Desbloqueos"/>
    <x:tableColumn id="13" name="Origen / fusiones"/>
    <x:tableColumn id="14" name="Relación directa"/>
    <x:tableColumn id="15" name="Notas"/>
  </x:tableColumns>
  <x:tableStyleInfo name="TableStyleMedium2" showFirstColumn="0" showLastColumn="0" showRowStripes="1" showColumnStripes="0"/>
</x:table>
</file>

<file path=xl/tables/table7.xml><?xml version="1.0" encoding="utf-8"?>
<x:table xmlns:x="http://schemas.openxmlformats.org/spreadsheetml/2006/main" id="10" name="Efectos" displayName="Efectos" ref="A5:S166" headerRowCount="1" totalsRowCount="0" totalsRowShown="0">
  <x:autoFilter ref="A5:S166"/>
  <x:tableColumns count="19">
    <x:tableColumn id="1" name="effectId"/>
    <x:tableColumn id="2" name="actionId"/>
    <x:tableColumn id="3" name="targetType"/>
    <x:tableColumn id="4" name="targetId"/>
    <x:tableColumn id="5" name="Magnitud base"/>
    <x:tableColumn id="6" name="Signo"/>
    <x:tableColumn id="7" name="Operación"/>
    <x:tableColumn id="8" name="Fase"/>
    <x:tableColumn id="9" name="Inicio relativo"/>
    <x:tableColumn id="10" name="Duración turnos"/>
    <x:tableColumn id="11" name="Tipo descriptivo"/>
    <x:tableColumn id="12" name="Condición formal"/>
    <x:tableColumn id="13" name="Regla acumulación"/>
    <x:tableColumn id="14" name="Ventana turnos"/>
    <x:tableColumn id="15" name="Apilamiento"/>
    <x:tableColumn id="16" name="Cap / piso"/>
    <x:tableColumn id="17" name="Explicación"/>
    <x:tableColumn id="18" name="Clase de flujo"/>
    <x:tableColumn id="19" name="Expresión magnitud"/>
  </x:tableColumns>
  <x:tableStyleInfo name="TableStyleMedium2" showFirstColumn="0" showLastColumn="0" showRowStripes="1" showColumnStripes="0"/>
</x:table>
</file>

<file path=xl/tables/table8.xml><?xml version="1.0" encoding="utf-8"?>
<x:table xmlns:x="http://schemas.openxmlformats.org/spreadsheetml/2006/main" id="11" name="Desbloqueos" displayName="Desbloqueos" ref="A5:K92" headerRowCount="1" totalsRowCount="0" totalsRowShown="0">
  <x:autoFilter ref="A5:K92"/>
  <x:tableColumns count="11">
    <x:tableColumn id="1" name="conditionId"/>
    <x:tableColumn id="2" name="Acción origen"/>
    <x:tableColumn id="3" name="Acción destino"/>
    <x:tableColumn id="4" name="Tipo"/>
    <x:tableColumn id="5" name="Sujeto"/>
    <x:tableColumn id="6" name="Operador"/>
    <x:tableColumn id="7" name="Umbral / valor"/>
    <x:tableColumn id="8" name="Obligatoria / bonus"/>
    <x:tableColumn id="9" name="Grupo lógico"/>
    <x:tableColumn id="10" name="Efecto"/>
    <x:tableColumn id="11" name="Explicación"/>
  </x:tableColumns>
  <x:tableStyleInfo name="TableStyleMedium2" showFirstColumn="0" showLastColumn="0" showRowStripes="1" showColumnStripes="0"/>
</x:table>
</file>

<file path=xl/tables/table9.xml><?xml version="1.0" encoding="utf-8"?>
<x:table xmlns:x="http://schemas.openxmlformats.org/spreadsheetml/2006/main" id="5" name="Canales" displayName="Canales" ref="A5:K37" headerRowCount="1" totalsRowCount="0" totalsRowShown="0">
  <x:autoFilter ref="A5:K37"/>
  <x:tableColumns count="11">
    <x:tableColumn id="1" name="actorId"/>
    <x:tableColumn id="2" name="Condición"/>
    <x:tableColumn id="3" name="Sistema o indicador"/>
    <x:tableColumn id="4" name="Operación"/>
    <x:tableColumn id="5" name="Magnitud base"/>
    <x:tableColumn id="6" name="Inicio relativo"/>
    <x:tableColumn id="7" name="Duración"/>
    <x:tableColumn id="8" name="Regla exacta"/>
    <x:tableColumn id="9" name="Límite / doble conteo"/>
    <x:tableColumn id="10" name="Apilamiento"/>
    <x:tableColumn id="11" name="Explicación"/>
  </x:tableColumns>
  <x:tableStyleInfo name="TableStyleMedium2" showFirstColumn="0" showLastColumn="0" showRowStripes="1" showColumnStripes="0"/>
</x:table>
</file>

<file path=xl/tables/table10.xml><?xml version="1.0" encoding="utf-8"?>
<x:table xmlns:x="http://schemas.openxmlformats.org/spreadsheetml/2006/main" id="6" name="Reuniones" displayName="Reuniones" ref="A5:K23" headerRowCount="1" totalsRowCount="0" totalsRowShown="0">
  <x:autoFilter ref="A5:K23"/>
  <x:tableColumns count="11">
    <x:tableColumn id="1" name="actorId"/>
    <x:tableColumn id="2" name="Actor"/>
    <x:tableColumn id="3" name="Información revelada"/>
    <x:tableColumn id="4" name="Indicadores discutidos"/>
    <x:tableColumn id="5" name="Ejemplo de demanda"/>
    <x:tableColumn id="6" name="Desbloqueo"/>
    <x:tableColumn id="7" name="Costo U"/>
    <x:tableColumn id="8" name="Costo PA"/>
    <x:tableColumn id="9" name="Vigencia turnos"/>
    <x:tableColumn id="10" name="Qué NO hace"/>
    <x:tableColumn id="11" name="Dificultad"/>
  </x:tableColumns>
  <x:tableStyleInfo name="TableStyleMedium2" showFirstColumn="0" showLastColumn="0" showRowStripes="1" showColumnStripes="0"/>
</x:table>
</file>

<file path=xl/tables/table11.xml><?xml version="1.0" encoding="utf-8"?>
<x:table xmlns:x="http://schemas.openxmlformats.org/spreadsheetml/2006/main" id="7" name="Protocolo" displayName="Protocolo" ref="A29:E43" headerRowCount="1" totalsRowCount="0" totalsRowShown="0">
  <x:autoFilter ref="A29:E43"/>
  <x:tableColumns count="5">
    <x:tableColumn id="1" name="Regla"/>
    <x:tableColumn id="2" name="Estado / vínculo"/>
    <x:tableColumn id="3" name="Datos requeridos"/>
    <x:tableColumn id="4" name="Momento"/>
    <x:tableColumn id="5" name="Semántica"/>
  </x:tableColumns>
  <x:tableStyleInfo name="TableStyleMedium2" showFirstColumn="0" showLastColumn="0" showRowStripes="1" showColumnStripes="0"/>
</x:table>
</file>

<file path=xl/tables/table12.xml><?xml version="1.0" encoding="utf-8"?>
<x:table xmlns:x="http://schemas.openxmlformats.org/spreadsheetml/2006/main" id="4" name="Auditoria" displayName="Auditoria" ref="A5:N66" headerRowCount="1" totalsRowCount="0" totalsRowShown="0">
  <x:autoFilter ref="A5:N66"/>
  <x:tableColumns count="14">
    <x:tableColumn id="1" name="ID actual"/>
    <x:tableColumn id="2" name="Nombre actual"/>
    <x:tableColumn id="3" name="Categoría actual"/>
    <x:tableColumn id="4" name="Caja actual U"/>
    <x:tableColumn id="5" name="Popularidad actual"/>
    <x:tableColumn id="6" name="Grupo directo actual"/>
    <x:tableColumn id="7" name="Cooldown actual"/>
    <x:tableColumn id="8" name="Decisión"/>
    <x:tableColumn id="9" name="Destino propuesto"/>
    <x:tableColumn id="10" name="Justificación"/>
    <x:tableColumn id="11" name="Migración común"/>
    <x:tableColumn id="12" name="Condición actual"/>
    <x:tableColumn id="13" name="Futuros actuales"/>
    <x:tableColumn id="14" name="Fuente"/>
  </x:tableColumns>
  <x:tableStyleInfo name="TableStyleMedium2" showFirstColumn="0" showLastColumn="0" showRowStripes="1" showColumnStripes="0"/>
</x:table>
</file>

<file path=xl/tables/table13.xml><?xml version="1.0" encoding="utf-8"?>
<x:table xmlns:x="http://schemas.openxmlformats.org/spreadsheetml/2006/main" id="8" name="Faltantes" displayName="Faltantes" ref="A5:H14" headerRowCount="1" totalsRowCount="0" totalsRowShown="0">
  <x:autoFilter ref="A5:H14"/>
  <x:tableColumns count="8">
    <x:tableColumn id="1" name="actionId"/>
    <x:tableColumn id="2" name="Propuesta"/>
    <x:tableColumn id="3" name="Hueco sistémico"/>
    <x:tableColumn id="4" name="Por qué no basta lo actual"/>
    <x:tableColumn id="5" name="Costo inicial U"/>
    <x:tableColumn id="6" name="Costo PA"/>
    <x:tableColumn id="7" name="Prioridad"/>
    <x:tableColumn id="8" name="Riesgo / límite"/>
  </x:tableColumns>
  <x:tableStyleInfo name="TableStyleMedium2" showFirstColumn="0" showLastColumn="0" showRowStripes="1" showColumnStripes="0"/>
</x:table>
</file>

<file path=xl/tables/table14.xml><?xml version="1.0" encoding="utf-8"?>
<x:table xmlns:x="http://schemas.openxmlformats.org/spreadsheetml/2006/main" id="15" name="Casos" displayName="Casos" ref="A5:I10" headerRowCount="1" totalsRowCount="0" totalsRowShown="0">
  <x:autoFilter ref="A5:I10"/>
  <x:tableColumns count="9">
    <x:tableColumn id="1" name="scenarioId"/>
    <x:tableColumn id="2" name="Cadena"/>
    <x:tableColumn id="3" name="Qué demuestra"/>
    <x:tableColumn id="4" name="Indicador clave"/>
    <x:tableColumn id="5" name="Cierre T10"/>
    <x:tableColumn id="6" name="Actor clave"/>
    <x:tableColumn id="7" name="S cierre T10"/>
    <x:tableColumn id="8" name="E social T10"/>
    <x:tableColumn id="9" name="Alcance"/>
  </x:tableColumns>
  <x:tableStyleInfo name="TableStyleMedium2" showFirstColumn="0" showLastColumn="0" showRowStripes="1" showColumnStripes="0"/>
</x:table>
</file>

<file path=xl/tables/table15.xml><?xml version="1.0" encoding="utf-8"?>
<x:table xmlns:x="http://schemas.openxmlformats.org/spreadsheetml/2006/main" id="16" name="Caja" displayName="Caja" ref="A14:R64" headerRowCount="1" totalsRowCount="0" totalsRowShown="0">
  <x:autoFilter ref="A14:R64"/>
  <x:tableColumns count="18">
    <x:tableColumn id="1" name="scenarioId"/>
    <x:tableColumn id="2" name="Turno"/>
    <x:tableColumn id="3" name="Comandos confirmados"/>
    <x:tableColumn id="4" name="Caja inicial"/>
    <x:tableColumn id="5" name="Flujos ejecución netos"/>
    <x:tableColumn id="6" name="Recaudación"/>
    <x:tableColumn id="7" name="Gasto recurrente"/>
    <x:tableColumn id="8" name="Intereses"/>
    <x:tableColumn id="9" name="Principal recibido"/>
    <x:tableColumn id="10" name="Principal pagado"/>
    <x:tableColumn id="11" name="Emisión"/>
    <x:tableColumn id="12" name="Caja final"/>
    <x:tableColumn id="13" name="Deuda final"/>
    <x:tableColumn id="14" name="Resultado fiscal U"/>
    <x:tableColumn id="15" name="Margen fiscal"/>
    <x:tableColumn id="16" name="Emisiones ventana5"/>
    <x:tableColumn id="17" name="PA usados"/>
    <x:tableColumn id="18" name="Precondiciones"/>
  </x:tableColumns>
  <x:tableStyleInfo name="TableStyleMedium2" showFirstColumn="0" showLastColumn="0" showRowStripes="1" showColumnStripes="0"/>
</x:table>
</file>

<file path=xl/tables/table16.xml><?xml version="1.0" encoding="utf-8"?>
<x:table xmlns:x="http://schemas.openxmlformats.org/spreadsheetml/2006/main" id="17" name="TrazasIndicador" displayName="TrazasIndicador" ref="A68:L768" headerRowCount="1" totalsRowCount="0" totalsRowShown="0">
  <x:autoFilter ref="A68:L768"/>
  <x:tableColumns count="12">
    <x:tableColumn id="1" name="scenarioId"/>
    <x:tableColumn id="2" name="Turno"/>
    <x:tableColumn id="3" name="indicatorId"/>
    <x:tableColumn id="4" name="Base anterior"/>
    <x:tableColumn id="5" name="Pulsos / trayectoria"/>
    <x:tableColumn id="6" name="Link rezagado"/>
    <x:tableColumn id="7" name="Cambio base con cap"/>
    <x:tableColumn id="8" name="Base nueva"/>
    <x:tableColumn id="9" name="Offset políticas"/>
    <x:tableColumn id="10" name="Offset actores"/>
    <x:tableColumn id="11" name="Valor visible"/>
    <x:tableColumn id="12" name="Trazabilidad"/>
  </x:tableColumns>
  <x:tableStyleInfo name="TableStyleMedium2" showFirstColumn="0" showLastColumn="0" showRowStripes="1" showColumnStripes="0"/>
</x:table>
</file>

<file path=xl/tables/table17.xml><?xml version="1.0" encoding="utf-8"?>
<x:table xmlns:x="http://schemas.openxmlformats.org/spreadsheetml/2006/main" id="18" name="TrazasActor" displayName="TrazasActor" ref="A772:L1672" headerRowCount="1" totalsRowCount="0" totalsRowShown="0">
  <x:autoFilter ref="A772:L1672"/>
  <x:tableColumns count="12">
    <x:tableColumn id="1" name="scenarioId"/>
    <x:tableColumn id="2" name="Turno"/>
    <x:tableColumn id="3" name="actorId"/>
    <x:tableColumn id="4" name="S anterior"/>
    <x:tableColumn id="5" name="S objetivo"/>
    <x:tableColumn id="6" name="S nueva"/>
    <x:tableColumn id="7" name="Relación"/>
    <x:tableColumn id="8" name="Bajo umbral hoy"/>
    <x:tableColumn id="9" name="Conflicto activo"/>
    <x:tableColumn id="10" name="Canal para t+1"/>
    <x:tableColumn id="11" name="E social cierre"/>
    <x:tableColumn id="12" name="Lectura causal"/>
  </x:tableColumns>
  <x:tableStyleInfo name="TableStyleMedium2" showFirstColumn="0" showLastColumn="0" showRowStripes="1" showColumnStripes="0"/>
</x:table>
</file>

<file path=xl/tables/table18.xml><?xml version="1.0" encoding="utf-8"?>
<x:table xmlns:x="http://schemas.openxmlformats.org/spreadsheetml/2006/main" id="19" name="Instancias" displayName="Instancias" ref="A1676:K1750" headerRowCount="1" totalsRowCount="0" totalsRowShown="0">
  <x:autoFilter ref="A1676:K1750"/>
  <x:tableColumns count="11">
    <x:tableColumn id="1" name="scenarioId"/>
    <x:tableColumn id="2" name="Turno ejecución"/>
    <x:tableColumn id="3" name="Turno aplicación"/>
    <x:tableColumn id="4" name="effectId"/>
    <x:tableColumn id="5" name="actionId"/>
    <x:tableColumn id="6" name="targetType"/>
    <x:tableColumn id="7" name="targetId"/>
    <x:tableColumn id="8" name="Operación"/>
    <x:tableColumn id="9" name="Magnitud aplicada"/>
    <x:tableColumn id="10" name="Condición capturada"/>
    <x:tableColumn id="11" name="Causa"/>
  </x:tableColumns>
  <x:tableStyleInfo name="TableStyleMedium2" showFirstColumn="0" showLastColumn="0" showRowStripes="1" showColumnStripes="0"/>
</x:table>
</file>

<file path=xl/tables/table19.xml><?xml version="1.0" encoding="utf-8"?>
<x:table xmlns:x="http://schemas.openxmlformats.org/spreadsheetml/2006/main" id="20" name="Hitos" displayName="Hitos" ref="A1754:E1760" headerRowCount="1" totalsRowCount="0" totalsRowShown="0">
  <x:autoFilter ref="A1754:E1760"/>
  <x:tableColumns count="5">
    <x:tableColumn id="1" name="scenarioId"/>
    <x:tableColumn id="2" name="Turno"/>
    <x:tableColumn id="3" name="Cambio verificable"/>
    <x:tableColumn id="4" name="Valor"/>
    <x:tableColumn id="5" name="Consecuencia"/>
  </x:tableColumns>
  <x:tableStyleInfo name="TableStyleMedium2" showFirstColumn="0" showLastColumn="0" showRowStripes="1" showColumnStripes="0"/>
</x:table>
</file>

<file path=xl/tables/table20.xml><?xml version="1.0" encoding="utf-8"?>
<x:table xmlns:x="http://schemas.openxmlformats.org/spreadsheetml/2006/main" id="13" name="Riesgos" displayName="Riesgos" ref="A5:G28" headerRowCount="1" totalsRowCount="0" totalsRowShown="0">
  <x:autoFilter ref="A5:G28"/>
  <x:tableColumns count="7">
    <x:tableColumn id="1" name="riskId"/>
    <x:tableColumn id="2" name="Severidad"/>
    <x:tableColumn id="3" name="Tema"/>
    <x:tableColumn id="4" name="Riesgo concreto"/>
    <x:tableColumn id="5" name="Estado"/>
    <x:tableColumn id="6" name="Respuesta / decisión"/>
    <x:tableColumn id="7" name="Prueba o decisión humana"/>
  </x:tableColumns>
  <x:tableStyleInfo name="TableStyleMedium2" showFirstColumn="0" showLastColumn="0" showRowStripes="1" showColumnStripes="0"/>
</x:table>
</file>

<file path=xl/tables/table21.xml><?xml version="1.0" encoding="utf-8"?>
<x:table xmlns:x="http://schemas.openxmlformats.org/spreadsheetml/2006/main" id="21" name="Criterios" displayName="Criterios" ref="A33:C43" headerRowCount="1" totalsRowCount="0" totalsRowShown="0">
  <x:autoFilter ref="A33:C43"/>
  <x:tableColumns count="3">
    <x:tableColumn id="1" name="Criterio"/>
    <x:tableColumn id="2" name="Estado"/>
    <x:tableColumn id="3" name="Evidencia / lím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32d50e1ae14a6e" /><Relationship Type="http://schemas.openxmlformats.org/officeDocument/2006/relationships/table" Target="/xl/tables/table2.xml" Id="Rb4ad383ac9774960" /></Relationships>
</file>

<file path=xl/worksheets/_rels/sheet2.xml.rels>&#65279;<?xml version="1.0" encoding="utf-8"?><Relationships xmlns="http://schemas.openxmlformats.org/package/2006/relationships"><Relationship Type="http://schemas.openxmlformats.org/officeDocument/2006/relationships/table" Target="/xl/tables/table3.xml" Id="R9aae02a2a80d460e" /></Relationships>
</file>

<file path=xl/worksheets/_rels/sheet3.xml.rels>&#65279;<?xml version="1.0" encoding="utf-8"?><Relationships xmlns="http://schemas.openxmlformats.org/package/2006/relationships"><Relationship Type="http://schemas.openxmlformats.org/officeDocument/2006/relationships/table" Target="/xl/tables/table4.xml" Id="Rb5e9340649b0475f" /></Relationships>
</file>

<file path=xl/worksheets/_rels/sheet4.xml.rels>&#65279;<?xml version="1.0" encoding="utf-8"?><Relationships xmlns="http://schemas.openxmlformats.org/package/2006/relationships"><Relationship Type="http://schemas.openxmlformats.org/officeDocument/2006/relationships/table" Target="/xl/tables/table5.xml" Id="R940bf26d79144873" /></Relationships>
</file>

<file path=xl/worksheets/_rels/sheet5.xml.rels>&#65279;<?xml version="1.0" encoding="utf-8"?><Relationships xmlns="http://schemas.openxmlformats.org/package/2006/relationships"><Relationship Type="http://schemas.openxmlformats.org/officeDocument/2006/relationships/table" Target="/xl/tables/table6.xml" Id="R31f095286b9546dc" /></Relationships>
</file>

<file path=xl/worksheets/_rels/sheet6.xml.rels>&#65279;<?xml version="1.0" encoding="utf-8"?><Relationships xmlns="http://schemas.openxmlformats.org/package/2006/relationships"><Relationship Type="http://schemas.openxmlformats.org/officeDocument/2006/relationships/table" Target="/xl/tables/table7.xml" Id="R2c2ef4d9a4244243" /></Relationships>
</file>

<file path=xl/worksheets/_rels/sheet7.xml.rels>&#65279;<?xml version="1.0" encoding="utf-8"?><Relationships xmlns="http://schemas.openxmlformats.org/package/2006/relationships"><Relationship Type="http://schemas.openxmlformats.org/officeDocument/2006/relationships/table" Target="/xl/tables/table8.xml" Id="R7d9236152b8a4b20" /></Relationships>
</file>

<file path=xl/worksheets/_rels/sheet8.xml.rels>&#65279;<?xml version="1.0" encoding="utf-8"?><Relationships xmlns="http://schemas.openxmlformats.org/package/2006/relationships"><Relationship Type="http://schemas.openxmlformats.org/officeDocument/2006/relationships/table" Target="/xl/tables/table9.xml" Id="R3012b25448984cab" /></Relationships>
</file>

<file path=xl/worksheets/_rels/sheet9.xml.rels>&#65279;<?xml version="1.0" encoding="utf-8"?><Relationships xmlns="http://schemas.openxmlformats.org/package/2006/relationships"><Relationship Type="http://schemas.openxmlformats.org/officeDocument/2006/relationships/table" Target="/xl/tables/table10.xml" Id="R75abd4975bc4436c" /><Relationship Type="http://schemas.openxmlformats.org/officeDocument/2006/relationships/table" Target="/xl/tables/table11.xml" Id="R71bc556243494c25" /></Relationships>
</file>

<file path=xl/worksheets/_rels/sheet10.xml.rels>&#65279;<?xml version="1.0" encoding="utf-8"?><Relationships xmlns="http://schemas.openxmlformats.org/package/2006/relationships"><Relationship Type="http://schemas.openxmlformats.org/officeDocument/2006/relationships/table" Target="/xl/tables/table12.xml" Id="Rcedc02c3d03d4a64" /></Relationships>
</file>

<file path=xl/worksheets/_rels/sheet11.xml.rels>&#65279;<?xml version="1.0" encoding="utf-8"?><Relationships xmlns="http://schemas.openxmlformats.org/package/2006/relationships"><Relationship Type="http://schemas.openxmlformats.org/officeDocument/2006/relationships/table" Target="/xl/tables/table13.xml" Id="R457f1ba733094bc7" /></Relationships>
</file>

<file path=xl/worksheets/_rels/sheet12.xml.rels>&#65279;<?xml version="1.0" encoding="utf-8"?><Relationships xmlns="http://schemas.openxmlformats.org/package/2006/relationships"><Relationship Type="http://schemas.openxmlformats.org/officeDocument/2006/relationships/table" Target="/xl/tables/table14.xml" Id="R52a88765e6bc4328" /><Relationship Type="http://schemas.openxmlformats.org/officeDocument/2006/relationships/table" Target="/xl/tables/table15.xml" Id="R7ae8ea00e8324caf" /><Relationship Type="http://schemas.openxmlformats.org/officeDocument/2006/relationships/table" Target="/xl/tables/table16.xml" Id="R6852eebe23de4099" /><Relationship Type="http://schemas.openxmlformats.org/officeDocument/2006/relationships/table" Target="/xl/tables/table17.xml" Id="R9ff28eb606d0416a" /><Relationship Type="http://schemas.openxmlformats.org/officeDocument/2006/relationships/table" Target="/xl/tables/table18.xml" Id="Rf02bb5de290d49a5" /><Relationship Type="http://schemas.openxmlformats.org/officeDocument/2006/relationships/table" Target="/xl/tables/table19.xml" Id="Re93b9eb30f67480f" /></Relationships>
</file>

<file path=xl/worksheets/_rels/sheet13.xml.rels>&#65279;<?xml version="1.0" encoding="utf-8"?><Relationships xmlns="http://schemas.openxmlformats.org/package/2006/relationships"><Relationship Type="http://schemas.openxmlformats.org/officeDocument/2006/relationships/table" Target="/xl/tables/table20.xml" Id="R199b368fc2c6478c" /><Relationship Type="http://schemas.openxmlformats.org/officeDocument/2006/relationships/table" Target="/xl/tables/table21.xml" Id="Ra238be2a930a4e52" /></Relationships>
</file>

<file path=xl/worksheets/sheet1.xml><?xml version="1.0" encoding="utf-8"?>
<x:worksheet xmlns:x="http://schemas.openxmlformats.org/spreadsheetml/2006/main">
  <x:sheetPr>
    <x:tabColor rgb="FF133867"/>
  </x:sheetPr>
  <x:sheetViews>
    <x:sheetView showGridLines="0" workbookViewId="0">
      <x:pane xSplit="2" ySplit="5" topLeftCell="C6" activePane="bottomRight" state="frozen"/>
    </x:sheetView>
  </x:sheetViews>
  <x:sheetFormatPr defaultRowHeight="15"/>
  <x:cols>
    <x:col min="1" max="1" width="30" hidden="0" customWidth="1"/>
    <x:col min="2" max="2" width="39" hidden="0" customWidth="1"/>
    <x:col min="3" max="3" width="160" hidden="0" customWidth="1"/>
  </x:cols>
  <x:sheetData>
    <x:row r="2" ht="28" customHeight="1">
      <x:c r="A2" s="1" t="str">
        <x:v>Arquitectura causal</x:v>
      </x:c>
    </x:row>
    <x:row r="3" ht="23" customHeight="1">
      <x:c r="A3" s="11" t="str">
        <x:v>Propuesta de diseño v0.1. Leer primero las reglas temporales y contables; las cifras requieren playtest.</x:v>
      </x:c>
    </x:row>
    <x:row r="5" ht="42" customHeight="1">
      <x:c r="A5" s="9" t="str">
        <x:v>Área</x:v>
      </x:c>
      <x:c r="B5" s="9" t="str">
        <x:v>Regla / decisión</x:v>
      </x:c>
      <x:c r="C5" s="9" t="str">
        <x:v>Especificación</x:v>
      </x:c>
    </x:row>
    <x:row r="6" ht="34" customHeight="1">
      <x:c r="A6" s="5" t="str">
        <x:v>Alcance</x:v>
      </x:c>
      <x:c r="B6" s="5" t="str">
        <x:v>Diseño v0.1, 24-09-2026</x:v>
      </x:c>
      <x:c r="C6" s="5" t="str">
        <x:v>Modelo propuesto para Presidente. No se implementa el motor. Los valores nuevos son hipótesis de juego, no parámetros económicos empíricos.</x:v>
      </x:c>
    </x:row>
    <x:row r="7" ht="42" customHeight="1">
      <x:c r="A7" s="10" t="str">
        <x:v>Fuentes</x:v>
      </x:c>
      <x:c r="B7" s="10" t="str">
        <x:v>Precedencia</x:v>
      </x:c>
      <x:c r="C7" s="10" t="str">
        <x:v>Pedido pegado actual &gt; dump del 23-09 y código vigente &gt; chat de contexto &gt; radiografía anterior. El chat se usa como antecedente, no como instrucción de implementación.</x:v>
      </x:c>
    </x:row>
    <x:row r="8" ht="34" customHeight="1">
      <x:c r="A8" s="5" t="str">
        <x:v>Fuentes</x:v>
      </x:c>
      <x:c r="B8" s="5" t="str">
        <x:v>Verificación</x:v>
      </x:c>
      <x:c r="C8" s="5" t="str">
        <x:v>61 IDs del dump y del actionRegistry.ts coinciden. El registry en la carpeta adjunta y el workspace es idéntico. Referencia git local fe7b884.</x:v>
      </x:c>
    </x:row>
    <x:row r="9" ht="42" customHeight="1">
      <x:c r="A9" s="10" t="str">
        <x:v>Fuentes</x:v>
      </x:c>
      <x:c r="B9" s="10" t="str">
        <x:v>Documentos leídos</x:v>
      </x:c>
      <x:c r="C9" s="10" t="str">
        <x:v>GobernArg_Acciones_Actuales_2026-09-23.xlsx: Acciones actuales, Mecánicas acumulativas, Notas y fuente. chat con contexto del avance.md. actionRegistry.ts, actionEffects.ts y estado inicial de gameEngine.ts.</x:v>
      </x:c>
    </x:row>
    <x:row r="10" ht="42" customHeight="1">
      <x:c r="A10" s="5" t="str">
        <x:v>Cambio</x:v>
      </x:c>
      <x:c r="B10" s="5" t="str">
        <x:v>Descartar herencias</x:v>
      </x:c>
      <x:c r="C10" s="5" t="str">
        <x:v>Eliminar efectos de política sobre popularidad/voto/grupo, antagonismo universal, castigo ideológico, mantenimiento inferido por costo y recaudación inferida por categoría. No migrarlos en paralelo.</x:v>
      </x:c>
    </x:row>
    <x:row r="11" ht="42" customHeight="1">
      <x:c r="A11" s="10" t="str">
        <x:v>Cadena</x:v>
      </x:c>
      <x:c r="B11" s="10" t="str">
        <x:v>Flujo causal</x:v>
      </x:c>
      <x:c r="C11" s="10" t="str">
        <x:v>Decisión → instancias de efecto → indicadores → satisfacción → canales de poder en t+1 y componente electoral social. Relaciones corren por acuerdos, no por el resultado material.</x:v>
      </x:c>
    </x:row>
    <x:row r="12" ht="42" customHeight="1">
      <x:c r="A12" s="5" t="str">
        <x:v>Escalas</x:v>
      </x:c>
      <x:c r="B12" s="5" t="str">
        <x:v>Turnos y acciones</x:v>
      </x:c>
      <x:c r="C12" s="5" t="str">
        <x:v>1 turno = trimestre propuesto. Mandato 16 turnos. 4 PA por turno (el código actual usa 5). Políticas e interacciones comparten PA; no hay bonos por popularidad. Cada comando ocupa 1 PA salvo recargo cultural explícito.</x:v>
      </x:c>
    </x:row>
    <x:row r="13" ht="42" customHeight="1">
      <x:c r="A13" s="10" t="str">
        <x:v>Escalas</x:v>
      </x:c>
      <x:c r="B13" s="10" t="str">
        <x:v>Unidades fiscales</x:v>
      </x:c>
      <x:c r="C13" s="10" t="str">
        <x:v>U = unidad abstracta de presupuesto. No son pesos constantes ni millones reales. Caja inicial 1200 U propuesta (actual 3500). Ingreso basal 500 U/turno, gasto basal 420 U/turno.</x:v>
      </x:c>
    </x:row>
    <x:row r="14" ht="42" customHeight="1">
      <x:c r="A14" s="5" t="str">
        <x:v>Estado</x:v>
      </x:c>
      <x:c r="B14" s="5" t="str">
        <x:v>14 indicadores</x:v>
      </x:c>
      <x:c r="C14" s="5" t="str">
        <x:v>13 editables por efectos y fiscal derivado. Actividad integra oportunidades de empleo; inversión es un efecto demorado. Conectividad integra infraestructura. Calidad institucional se acota a garantías e integridad.</x:v>
      </x:c>
    </x:row>
    <x:row r="15" ht="34" customHeight="1">
      <x:c r="A15" s="10" t="str">
        <x:v>Estado</x:v>
      </x:c>
      <x:c r="B15" s="10" t="str">
        <x:v>Recursos operativos</x:v>
      </x:c>
      <x:c r="C15" s="10" t="str">
        <x:v>cash, debtContracts, activeEffects, history, PA, meetings, offers, agreements y bancas son registros operativos. No se suman como otros indicadores del país.</x:v>
      </x:c>
    </x:row>
    <x:row r="16" ht="34" customHeight="1">
      <x:c r="A16" s="5" t="str">
        <x:v>Estado</x:v>
      </x:c>
      <x:c r="B16" s="5" t="str">
        <x:v>Agregados macro</x:v>
      </x:c>
      <x:c r="C16" s="5" t="str">
        <x:v>Economía, Estado/servicios, Desarrollo e Instituciones/sociedad son vistas sin salida causal. No modifican satisfacción, gobernabilidad ni voto.</x:v>
      </x:c>
    </x:row>
    <x:row r="17" ht="34" customHeight="1">
      <x:c r="A17" s="10" t="str">
        <x:v>Orden</x:v>
      </x:c>
      <x:c r="B17" s="10" t="str">
        <x:v>0. Apertura</x:v>
      </x:c>
      <x:c r="C17" s="10" t="str">
        <x:v>Cargar estado cerrado t−1, efectos activos y avisos. Mostrar caja, compromisos, vencimientos próximos y condiciones. Vencimientos conocidos no consumen PA.</x:v>
      </x:c>
    </x:row>
    <x:row r="18" ht="42" customHeight="1">
      <x:c r="A18" s="5" t="str">
        <x:v>Orden</x:v>
      </x:c>
      <x:c r="B18" s="5" t="str">
        <x:v>1. Confirmar comando</x:v>
      </x:c>
      <x:c r="C18" s="5" t="str">
        <x:v>Validar Presidente, PA, cooldown, usos, disponibilidad y caja neta. La selección no tiene efectos. Al confirmar: descontar PA/caja o acreditar financiamiento, registrar idempotencyKey y snapshot pre.</x:v>
      </x:c>
    </x:row>
    <x:row r="19" ht="42" customHeight="1">
      <x:c r="A19" s="10" t="str">
        <x:v>Orden</x:v>
      </x:c>
      <x:c r="B19" s="10" t="str">
        <x:v>2. Efectos inmediatos</x:v>
      </x:c>
      <x:c r="C19" s="10" t="str">
        <x:v>Caja, préstamos e interacciones se registran al confirmar para financiar acciones siguientes. Indicadores de inicio 0 se encolan para cierre t. La UI muestra resultado previsto. Nunca aplicar el mismo efecto al confirmar y al cerrar.</x:v>
      </x:c>
    </x:row>
    <x:row r="20" ht="42" customHeight="1">
      <x:c r="A20" s="5" t="str">
        <x:v>Orden</x:v>
      </x:c>
      <x:c r="B20" s="5" t="str">
        <x:v>3. Congelar cierre</x:v>
      </x:c>
      <x:c r="C20" s="5" t="str">
        <x:v>Snapshot pre_t = indicadores cerrados t−1. Las condiciones económicas de todas las acciones del turno leen ese snapshot, no el orden de clics. Reunión y caja sí habilitan comandos sucesivos en el turno.</x:v>
      </x:c>
    </x:row>
    <x:row r="21" ht="42" customHeight="1">
      <x:c r="A21" s="10" t="str">
        <x:v>Orden</x:v>
      </x:c>
      <x:c r="B21" s="10" t="str">
        <x:v>4. Agendar efectos</x:v>
      </x:c>
      <x:c r="C21" s="10" t="str">
        <x:v>Crear effectInstance con activationTurn=executionTurn+startOffset. Todas las reglas de conteo usan historia de comandos confirmados. Un mismo actionId sólo puede usarse una vez por turno (interacciones, una por actor).</x:v>
      </x:c>
    </x:row>
    <x:row r="22" ht="42" customHeight="1">
      <x:c r="A22" s="5" t="str">
        <x:v>Orden</x:v>
      </x:c>
      <x:c r="B22" s="5" t="str">
        <x:v>5. Flujos fiscales</x:v>
      </x:c>
      <x:c r="C22" s="5" t="str">
        <x:v>Procesar ingreso recurrente, gastos, intereses y amortización vencida una vez. Los asientos de ejecución ya fueron aplicados. Recaudación=500+2×(actividad(t−1)−50)+revenue_recurring activo.</x:v>
      </x:c>
    </x:row>
    <x:row r="23" ht="42" customHeight="1">
      <x:c r="A23" s="10" t="str">
        <x:v>Orden</x:v>
      </x:c>
      <x:c r="B23" s="10" t="str">
        <x:v>6. Actualizar indicadores</x:v>
      </x:c>
      <x:c r="C23" s="10" t="str">
        <x:v>Retirar offsets vencidos. Sumar pulsos/per_turn activos, links rezagados y offsets de canales programados. Cada regla se ejecuta una vez. No iterar hasta converger ni recalcular dentro del cierre.</x:v>
      </x:c>
    </x:row>
    <x:row r="24" ht="34" customHeight="1">
      <x:c r="A24" s="5" t="str">
        <x:v>Orden</x:v>
      </x:c>
      <x:c r="B24" s="5" t="str">
        <x:v>7. Evaluar actores</x:v>
      </x:c>
      <x:c r="C24" s="5" t="str">
        <x:v>S* pondera sólo su subconjunto de indicadores finales. S=0,65×S anterior+0,35×S*. Procesar cumplimientos de acuerdo y actualizar R de forma independiente.</x:v>
      </x:c>
    </x:row>
    <x:row r="25" ht="42" customHeight="1">
      <x:c r="A25" s="10" t="str">
        <x:v>Orden</x:v>
      </x:c>
      <x:c r="B25" s="10" t="str">
        <x:v>8. Resolver consecuencias</x:v>
      </x:c>
      <x:c r="C25" s="10" t="str">
        <x:v>Evaluar avisos y canales con S/R finales. Guardar efectos para t+1; no retroalimentar indicadores del mismo t. Refrescar apoyo legislativo por billId para el turno siguiente.</x:v>
      </x:c>
    </x:row>
    <x:row r="26" ht="42" customHeight="1">
      <x:c r="A26" s="5" t="str">
        <x:v>Orden</x:v>
      </x:c>
      <x:c r="B26" s="5" t="str">
        <x:v>9. Salidas políticas</x:v>
      </x:c>
      <x:c r="C26" s="5" t="str">
        <x:v>Calcular componente social de elección a partir de S. Mostrar gobernabilidad como resumen de bancas, fricciones y cooperación. Ninguno vuelve a entrar como indicador.</x:v>
      </x:c>
    </x:row>
    <x:row r="27" ht="42" customHeight="1">
      <x:c r="A27" s="10" t="str">
        <x:v>Orden</x:v>
      </x:c>
      <x:c r="B27" s="10" t="str">
        <x:v>10. Cerrar</x:v>
      </x:c>
      <x:c r="C27" s="10" t="str">
        <x:v>Persistir historia, contratos y efecto ya consumido. Incrementar globalTurn y reiniciar PA. En reelección no borrar deuda, estudios, compromisos, historial de emisión ni efectos futuros.</x:v>
      </x:c>
    </x:row>
    <x:row r="28" ht="42" customHeight="1">
      <x:c r="A28" s="5" t="str">
        <x:v>Temporalidad</x:v>
      </x:c>
      <x:c r="B28" s="5" t="str">
        <x:v>Intervalos</x:v>
      </x:c>
      <x:c r="C28" s="5" t="str">
        <x:v>Un efecto con start=k y duration=d&gt;0 está activo en t+k hasta t+k+d−1 inclusive. duration=1 dispara una vez. duration=0 sólo en flows estructurales, hasta fin de partida o cancelación diseñada posteriormente.</x:v>
      </x:c>
    </x:row>
    <x:row r="29" ht="42" customHeight="1">
      <x:c r="A29" s="10" t="str">
        <x:v>Temporalidad</x:v>
      </x:c>
      <x:c r="B29" s="10" t="str">
        <x:v>Cooldown</x:v>
      </x:c>
      <x:c r="C29" s="10" t="str">
        <x:v>cd es distancia mínima entre ejecuciones: nextEligible=lastExecution+cd. cd=1 permite turno siguiente. cd=4 usado en t2 vuelve en t6. Nunca ambiguo entre turnos bloqueados y distancia.</x:v>
      </x:c>
    </x:row>
    <x:row r="30" ht="42" customHeight="1">
      <x:c r="A30" s="5" t="str">
        <x:v>Temporalidad</x:v>
      </x:c>
      <x:c r="B30" s="5" t="str">
        <x:v>Pulse</x:v>
      </x:c>
      <x:c r="C30" s="5" t="str">
        <x:v>Suma al stock base una vez al activar. El beneficio queda en el nivel hasta nuevos efectos o dinámica endógena. Un hospital mejora salud una vez; no suma +9 cada trimestre.</x:v>
      </x:c>
    </x:row>
    <x:row r="31" ht="42" customHeight="1">
      <x:c r="A31" s="10" t="str">
        <x:v>Temporalidad</x:v>
      </x:c>
      <x:c r="B31" s="10" t="str">
        <x:v>Offset</x:v>
      </x:c>
      <x:c r="C31" s="10" t="str">
        <x:v>Modificador temporal del nivel, recalculado desde base+offsets activos. +2 durante 4 turnos mantiene +2, no +8. Se retira exacto al expirar. Clamp sólo la vista, no perder el offset por saturación.</x:v>
      </x:c>
    </x:row>
    <x:row r="32" ht="42" customHeight="1">
      <x:c r="A32" s="5" t="str">
        <x:v>Temporalidad</x:v>
      </x:c>
      <x:c r="B32" s="5" t="str">
        <x:v>Per_turn</x:v>
      </x:c>
      <x:c r="C32" s="5" t="str">
        <x:v>Suma magnitud al stock base en cada cierre activo. Se reserva para trayectorias explícitas como estabilización −3 por cierre ×3. Nunca inferir por descripción.</x:v>
      </x:c>
    </x:row>
    <x:row r="33" ht="42" customHeight="1">
      <x:c r="A33" s="10" t="str">
        <x:v>Temporalidad</x:v>
      </x:c>
      <x:c r="B33" s="10" t="str">
        <x:v>Base y límites</x:v>
      </x:c>
      <x:c r="C33" s="10" t="str">
        <x:v>base_i en 0..100. Cambios de base endógenos+pulsos se limitan a ±12 por cierre. Luego clamp de base; visible=clamp(base+offsets,0,100). La entrada/salida de offsets no usa cap ±12, evitando beneficios residuales.</x:v>
      </x:c>
    </x:row>
    <x:row r="34" ht="42" customHeight="1">
      <x:c r="A34" s="5" t="str">
        <x:v>Temporalidad</x:v>
      </x:c>
      <x:c r="B34" s="5" t="str">
        <x:v>Eficacia política</x:v>
      </x:c>
      <x:c r="C34" s="5" t="str">
        <x:v>Fricciones de 07 y bonus 06 multiplican sólo efectos beneficiosos: signo positivo salvo inflación. Costos y perjuicios se mantienen. Capturar el multiplicador al ejecutar; no volver a bonificar cada activación. Total entre 0,65 y 1,20.</x:v>
      </x:c>
    </x:row>
    <x:row r="35" ht="42" customHeight="1">
      <x:c r="A35" s="10" t="str">
        <x:v>Temporalidad</x:v>
      </x:c>
      <x:c r="B35" s="10" t="str">
        <x:v>No doble bonus federal</x:v>
      </x:c>
      <x:c r="C35" s="10" t="str">
        <x:v>Si conviven pacto_federal específico y cooperación de gobernadores, usar máximo bonus, no producto. Para fricciones independientes sumar reducciones y aplicar piso 0,65.</x:v>
      </x:c>
    </x:row>
    <x:row r="36" ht="42" customHeight="1">
      <x:c r="A36" s="5" t="str">
        <x:v>Repetición</x:v>
      </x:c>
      <x:c r="B36" s="5" t="str">
        <x:v>R_EMISION</x:v>
      </x:c>
      <x:c r="C36" s="5" t="str">
        <x:v>c=countConfirmed(emitir_dinero,[t−4,t]) incluyendo uso actual. Pulso en t+1: 1 base +2×max(0,c−2)^2 +2 si inflacion_pre&gt;=60. Sobrecarga es otra fila para auditar, no otro contador.</x:v>
      </x:c>
    </x:row>
    <x:row r="37" ht="42" customHeight="1">
      <x:c r="A37" s="10" t="str">
        <x:v>Repetición</x:v>
      </x:c>
      <x:c r="B37" s="10" t="str">
        <x:v>Casos frontera</x:v>
      </x:c>
      <x:c r="C37" s="10" t="str">
        <x:v>c=1→1; c=2→1; c=3→3; c=4→9; c=5→19, luego cap conjunto de base ±12. La sexta emisión en turnos consecutivos mantiene c=5; no escala infinitamente por contador vitalicio.</x:v>
      </x:c>
    </x:row>
    <x:row r="38" ht="42" customHeight="1">
      <x:c r="A38" s="5" t="str">
        <x:v>Repetición</x:v>
      </x:c>
      <x:c r="B38" s="5" t="str">
        <x:v>Ventana y exposición</x:v>
      </x:c>
      <x:c r="C38" s="5" t="str">
        <x:v>t=6 excluye t1 e incluye t2..t6. No ejecutar no crea nuevos pulsos, pero la inflación ya acumulada no desaparece. No se reinicia por mandato. Cooldown emisión 1 hace alcanzable 3/5.</x:v>
      </x:c>
    </x:row>
    <x:row r="39" ht="42" customHeight="1">
      <x:c r="A39" s="10" t="str">
        <x:v>Repetición</x:v>
      </x:c>
      <x:c r="B39" s="10" t="str">
        <x:v>Persistencia apilada</x:v>
      </x:c>
      <x:c r="C39" s="10" t="str">
        <x:v>Pulsos y flujos de instancias distintas suman una vez; offsets de la misma actionId se rechazan si siguen activos. Excepción emisión: renovar duración al nuevo uso, máximo offset actividad +2. No apilar +2 por cada emisión.</x:v>
      </x:c>
    </x:row>
    <x:row r="40" ht="42" customHeight="1">
      <x:c r="A40" s="5" t="str">
        <x:v>Repetición</x:v>
      </x:c>
      <x:c r="B40" s="5" t="str">
        <x:v>Programas estructurales</x:v>
      </x:c>
      <x:c r="C40" s="5" t="str">
        <x:v>maxUses de 04 gobierna toda la partida. Gastos recurrentes no reciben rendimiento decreciente. Obras grandes max2 y programas max1; salarios max2. Evita compras indefinidas de stocks sin compromisos.</x:v>
      </x:c>
    </x:row>
    <x:row r="41" ht="34" customHeight="1">
      <x:c r="A41" s="10" t="str">
        <x:v>Fiscal</x:v>
      </x:c>
      <x:c r="B41" s="10" t="str">
        <x:v>Caja</x:v>
      </x:c>
      <x:c r="C41" s="10" t="str">
        <x:v>cashFinal=cashInicial+ingresos−gastos+emisión+principalRecibido−principalAmortizado. Las columnas de 04 son resumen de 05, nunca otro flujo.</x:v>
      </x:c>
    </x:row>
    <x:row r="42" ht="42" customHeight="1">
      <x:c r="A42" s="5" t="str">
        <x:v>Fiscal</x:v>
      </x:c>
      <x:c r="B42" s="5" t="str">
        <x:v>Resultado del período</x:v>
      </x:c>
      <x:c r="C42" s="5" t="str">
        <x:v>Ingresos tributarios y otros no financieros menos gastos de ejecución y recurrentes e intereses. Excluye principal recibido/pagado y emisión. Obras cuentan como gasto del período.</x:v>
      </x:c>
    </x:row>
    <x:row r="43" ht="42" customHeight="1">
      <x:c r="A43" s="10" t="str">
        <x:v>Fiscal</x:v>
      </x:c>
      <x:c r="B43" s="10" t="str">
        <x:v>Indicador derivado</x:v>
      </x:c>
      <x:c r="C43" s="10" t="str">
        <x:v>fiscal=clamp(50+50×(recaudación−gastoRecurrente−intereses)/500−MIN(20,deudaPendiente/100),0,100). Una carga por flujo más una por exposición de stock; no castiga dos veces el interés.</x:v>
      </x:c>
    </x:row>
    <x:row r="44" ht="42" customHeight="1">
      <x:c r="A44" s="5" t="str">
        <x:v>Fiscal</x:v>
      </x:c>
      <x:c r="B44" s="5" t="str">
        <x:v>Lectura del indicador</x:v>
      </x:c>
      <x:c r="C44" s="5" t="str">
        <x:v>El margen estructural excluye gastos únicos: dos turnos con igual indicador pueden tener caja y resultado diferentes. UI muestra las tres medidas juntas, sin convertir caja en votos.</x:v>
      </x:c>
    </x:row>
    <x:row r="45" ht="42" customHeight="1">
      <x:c r="A45" s="10" t="str">
        <x:v>Fiscal</x:v>
      </x:c>
      <x:c r="B45" s="10" t="str">
        <x:v>Préstamo externo</x:v>
      </x:c>
      <x:c r="C45" s="10" t="str">
        <x:v>Desembolso 800 al confirmar. Interés 24 en cierres t+1..t+8 inclusive. Principal 800 al cierre t+8, después del interés. Deuda abierta&lt;=1600 después de desembolso.</x:v>
      </x:c>
    </x:row>
    <x:row r="46" ht="34" customHeight="1">
      <x:c r="A46" s="5" t="str">
        <x:v>Fiscal</x:v>
      </x:c>
      <x:c r="B46" s="5" t="str">
        <x:v>Préstamo local</x:v>
      </x:c>
      <x:c r="C46" s="5" t="str">
        <x:v>Desembolso 500 al confirmar. Interés 20 en t+1..t+6 inclusive. Principal 500 al cierre t+6. Desplaza crédito −3 como offset durante t..t+2.</x:v>
      </x:c>
    </x:row>
    <x:row r="47" ht="42" customHeight="1">
      <x:c r="A47" s="10" t="str">
        <x:v>Fiscal</x:v>
      </x:c>
      <x:c r="B47" s="10" t="str">
        <x:v>Reperfilamiento</x:v>
      </x:c>
      <x:c r="C47" s="10" t="str">
        <x:v>Sólo contrato elegido vigente y no reestructurado; reunión y acuerdo previos. Vencimiento&lt;=2 turnos. Mantiene principal, difiere 4 turnos e interés ×1,25 desde t+1. Coste administrativo 80. No repetir.</x:v>
      </x:c>
    </x:row>
    <x:row r="48" ht="42" customHeight="1">
      <x:c r="A48" s="5" t="str">
        <x:v>Fiscal</x:v>
      </x:c>
      <x:c r="B48" s="5" t="str">
        <x:v>Insolvencia y mora</x:v>
      </x:c>
      <x:c r="C48" s="5" t="str">
        <x:v>Gasto voluntario sólo con caja suficiente. Al cierre, obligaciones se pagan hasta agotar caja. Faltante se registra como arrears, sin clamp que lo borre. Si arrears&gt;0: impide nuevos gastos discrecionales y préstamos normales; permite emisión, negociación y reperfilamiento.</x:v>
      </x:c>
    </x:row>
    <x:row r="49" ht="42" customHeight="1">
      <x:c r="A49" s="10" t="str">
        <x:v>Fiscal</x:v>
      </x:c>
      <x:c r="B49" s="10" t="str">
        <x:v>Mora priorizada</x:v>
      </x:c>
      <x:c r="C49" s="10" t="str">
        <x:v>Prioridad: gasto recurrente básico, intereses, programas y finalmente principal. Saldo impago mantiene principal y/o crea arrears. Fiscal se limita a 20 mientras haya atrasos. Aviso primer cierre; dos cierres consecutivos con atrasos disparan crisis fiscal a resolver, no derrota automática por caja negativa.</x:v>
      </x:c>
    </x:row>
    <x:row r="50" ht="34" customHeight="1">
      <x:c r="A50" s="5" t="str">
        <x:v>Links</x:v>
      </x:c>
      <x:c r="B50" s="5" t="str">
        <x:v>L01: inflación</x:v>
      </x:c>
      <x:c r="C50" s="5" t="str">
        <x:v>Δbase_inflacion=−0,10×(base_inflacion(t−1)−40). Reversión de presión hacia escenario 40; no representa meta de inflación real. Se suma a los pulsos.</x:v>
      </x:c>
    </x:row>
    <x:row r="51" ht="34" customHeight="1">
      <x:c r="A51" s="10" t="str">
        <x:v>Links</x:v>
      </x:c>
      <x:c r="B51" s="10" t="str">
        <x:v>L02: actividad</x:v>
      </x:c>
      <x:c r="C51" s="10" t="str">
        <x:v>Δbase_actividad=−0,20×(base_actividad(t−1)−50)+0,08×(credito(t−1)−45)+0,06×(infraestructura(t−1)−45)+0,05×(externo(t−1)−45). Cap conjunto ±12.</x:v>
      </x:c>
    </x:row>
    <x:row r="52" ht="42" customHeight="1">
      <x:c r="A52" s="5" t="str">
        <x:v>Links</x:v>
      </x:c>
      <x:c r="B52" s="5" t="str">
        <x:v>L03: ingreso</x:v>
      </x:c>
      <x:c r="C52" s="5" t="str">
        <x:v>Δbase_ingreso_real=0,15×[actividad(t−1)−actividad(t−2)]−0,35×[inflacion(t−1)−inflacion(t−2)]. t0=t−1 iniciales. No además castigo directo de emisión al ingreso.</x:v>
      </x:c>
    </x:row>
    <x:row r="53" ht="34" customHeight="1">
      <x:c r="A53" s="10" t="str">
        <x:v>Links</x:v>
      </x:c>
      <x:c r="B53" s="10" t="str">
        <x:v>L04: crédito</x:v>
      </x:c>
      <x:c r="C53" s="10" t="str">
        <x:v>Δbase_credito=−0,15×(base_credito(t−1)−45)−0,20×[inflacion(t−1)−inflacion(t−2)]+0,02×[fiscal(t−1)−58].</x:v>
      </x:c>
    </x:row>
    <x:row r="54" ht="42" customHeight="1">
      <x:c r="A54" s="5" t="str">
        <x:v>Links</x:v>
      </x:c>
      <x:c r="B54" s="5" t="str">
        <x:v>Otros indicadores</x:v>
      </x:c>
      <x:c r="C54" s="5" t="str">
        <x:v>Sin links automáticos adicionales en v0.1. Educación puede habilitar ciencia por prerequisitos y efectos explícitos; no genera cada turno mejoras gratuitas. Declarar interacción conceptual no agrega otro efecto.</x:v>
      </x:c>
    </x:row>
    <x:row r="55" ht="42" customHeight="1">
      <x:c r="A55" s="10" t="str">
        <x:v>Actores</x:v>
      </x:c>
      <x:c r="B55" s="10" t="str">
        <x:v>Sensibilidad</x:v>
      </x:c>
      <x:c r="C55" s="10" t="str">
        <x:v>Escala entera −10..+10 sin cero en matriz larga. |w| es importancia relativa dentro del actor. Signo indica dirección. No significa puntos de satisfacción por cada punto del indicador.</x:v>
      </x:c>
    </x:row>
    <x:row r="56" ht="34" customHeight="1">
      <x:c r="A56" s="5" t="str">
        <x:v>Actores</x:v>
      </x:c>
      <x:c r="B56" s="5" t="str">
        <x:v>Satisfacción</x:v>
      </x:c>
      <x:c r="C56" s="5" t="str">
        <x:v>U_i=x_i si w&gt;0, 100−x_i si w&lt;0. S*=SUM(|w|×U)/SUM(|w|). S_t=clamp(0,65×S_(t−1)+0,35×S*,0,100). Inicial S*=estado inicial por escenario.</x:v>
      </x:c>
    </x:row>
    <x:row r="57" ht="42" customHeight="1">
      <x:c r="A57" s="10" t="str">
        <x:v>Actores</x:v>
      </x:c>
      <x:c r="B57" s="10" t="str">
        <x:v>Inflación versus ingreso</x:v>
      </x:c>
      <x:c r="C57" s="10" t="str">
        <x:v>Inflación pesa sólo como previsibilidad de contratos; poder adquisitivo captura compra. Clase media baja peso inflación a 4. Si el test muestra penalización duplicada, quitar inflación de ese actor.</x:v>
      </x:c>
    </x:row>
    <x:row r="58" ht="42" customHeight="1">
      <x:c r="A58" s="5" t="str">
        <x:v>Actores</x:v>
      </x:c>
      <x:c r="B58" s="5" t="str">
        <x:v>Relación</x:v>
      </x:c>
      <x:c r="C58" s="5" t="str">
        <x:v>R guarda confianza de acuerdos. S y R nunca se suman en una única barra. Reunirse es información y acceso; cumplir +8 R, incumplir −12 R. No tocar S por firma o reunión.</x:v>
      </x:c>
    </x:row>
    <x:row r="59" ht="42" customHeight="1">
      <x:c r="A59" s="10" t="str">
        <x:v>Actores</x:v>
      </x:c>
      <x:c r="B59" s="10" t="str">
        <x:v>Inercia y señales</x:v>
      </x:c>
      <x:c r="C59" s="10" t="str">
        <x:v>El primer cierre bajo umbral avisa. Dos cierres consecutivos habilitan conflicto en t+1. Umbral de salida: S&gt;=40 o R&gt;=50, salvo S&lt;20; no alternar activación por décimas.</x:v>
      </x:c>
    </x:row>
    <x:row r="60" ht="42" customHeight="1">
      <x:c r="A60" s="5" t="str">
        <x:v>Actores</x:v>
      </x:c>
      <x:c r="B60" s="5" t="str">
        <x:v>Histéresis</x:v>
      </x:c>
      <x:c r="C60" s="5" t="str">
        <x:v>Un conflicto activo continúa si S&lt;40 y R&lt;50, o S&lt;25. Se cancela cuando no cumple esa condición. Cooperación necesita S&gt;=65, R&gt;=55 y acuerdoActivo cada cierre, sin memoria extra.</x:v>
      </x:c>
    </x:row>
    <x:row r="61" ht="42" customHeight="1">
      <x:c r="A61" s="10" t="str">
        <x:v>Actores</x:v>
      </x:c>
      <x:c r="B61" s="10" t="str">
        <x:v>Gobernar sin reuniones</x:v>
      </x:c>
      <x:c r="C61" s="10" t="str">
        <x:v>Permite todas las rutas nacionales salvo acuerdos específicos. Falta de relación reduce cooperación y hace más difíciles leyes y ejecución. No imponer 18 reuniones periódicas como impuesto de tiempo.</x:v>
      </x:c>
    </x:row>
    <x:row r="62" ht="42" customHeight="1">
      <x:c r="A62" s="5" t="str">
        <x:v>Gobernabilidad</x:v>
      </x:c>
      <x:c r="B62" s="5" t="str">
        <x:v>Bancas</x:v>
      </x:c>
      <x:c r="C62" s="5" t="str">
        <x:v>Oficialismo 40, aliados 15, oposición 45. Peso influence no es cantidad de bancas. Apoyo se deriva por proyecto de 07 y cambia cada cierre. Nunca null durante año 1. Leyes requieren &gt;=51.</x:v>
      </x:c>
    </x:row>
    <x:row r="63" ht="42" customHeight="1">
      <x:c r="A63" s="10" t="str">
        <x:v>Gobernabilidad</x:v>
      </x:c>
      <x:c r="B63" s="10" t="str">
        <x:v>Ruta accesible</x:v>
      </x:c>
      <x:c r="C63" s="10" t="str">
        <x:v>Relación inicial oficialismo60 permite disposición ~0,67; aliados con acuerdo concreto llevan bloque cerca de 0,80; oposición puede pactar un proyecto. Una reforma no exige ganar una legislativa previa para empezar a negociar.</x:v>
      </x:c>
    </x:row>
    <x:row r="64" ht="42" customHeight="1">
      <x:c r="A64" s="5" t="str">
        <x:v>Gobernabilidad</x:v>
      </x:c>
      <x:c r="B64" s="5" t="str">
        <x:v>Leyes y alternativas</x:v>
      </x:c>
      <x:c r="C64" s="5" t="str">
        <x:v>Acuerdos de procedimiento válidos para billId generan cooperación aun si el actor compite electoralmente. Sin acuerdo puede gobernarse mediante políticas ejecutivas y mejoras graduales de S/R.</x:v>
      </x:c>
    </x:row>
    <x:row r="65" ht="42" customHeight="1">
      <x:c r="A65" s="10" t="str">
        <x:v>Electoral</x:v>
      </x:c>
      <x:c r="B65" s="10" t="str">
        <x:v>Componente social</x:v>
      </x:c>
      <x:c r="C65" s="10" t="str">
        <x:v>Índice E_social=SUM(peso×S)/SUM(peso) sólo sobre 14 actores sociales con peso&gt;0. Es contribución disponible para futura fórmula, no intención de voto porcentual. No se fija mezcla final ni umbral de victoria.</x:v>
      </x:c>
    </x:row>
    <x:row r="66" ht="42" customHeight="1">
      <x:c r="A66" s="5" t="str">
        <x:v>Electoral</x:v>
      </x:c>
      <x:c r="B66" s="5" t="str">
        <x:v>Pesos cero</x:v>
      </x:c>
      <x:c r="C66" s="5" t="str">
        <x:v>Los cuatro actores políticos no entran en E_social. Sus pesos anteriores (7,4,7,8) duplicaban estructura/territorio y confundían oposición satisfecha con adhesión. Se pospone movilización electoral política a un módulo separado.</x:v>
      </x:c>
    </x:row>
    <x:row r="67" ht="42" customHeight="1">
      <x:c r="A67" s="10" t="str">
        <x:v>Electoral</x:v>
      </x:c>
      <x:c r="B67" s="10" t="str">
        <x:v>Solapamiento</x:v>
      </x:c>
      <x:c r="C67" s="10" t="str">
        <x:v>Pesos normalizan exposición a agendas, no suman población. Clase media, docentes y sindicatos se superponen. E_social es proxy; no interpretar su 100 como padrón ni sumar votos por actor.</x:v>
      </x:c>
    </x:row>
    <x:row r="68" ht="42" customHeight="1">
      <x:c r="A68" s="5" t="str">
        <x:v>Electoral</x:v>
      </x:c>
      <x:c r="B68" s="5" t="str">
        <x:v>Sin doble conteo</x:v>
      </x:c>
      <x:c r="C68" s="5" t="str">
        <x:v>Prohibidos indicador→voto, caja→voto, gobernabilidad→voto y popularidad que replique S. Futuras campañas o liderazgo necesitan evidencia distinta o tratamiento de atribución, no otra copia del desempeño.</x:v>
      </x:c>
    </x:row>
    <x:row r="69" ht="42" customHeight="1">
      <x:c r="A69" s="10" t="str">
        <x:v>Electoral</x:v>
      </x:c>
      <x:c r="B69" s="10" t="str">
        <x:v>No linealidad abierta</x:v>
      </x:c>
      <x:c r="C69" s="10" t="str">
        <x:v>El vínculo de indicadores a S es ponderado e inercial. El resultado electoral final queda abierto; no se promete no linealidad de una fórmula todavía inexistente. Pesos, demoras, distribución de beneficios y otros componentes evitan equivalencia con economía agregada.</x:v>
      </x:c>
    </x:row>
    <x:row r="70" ht="42" customHeight="1">
      <x:c r="A70" s="5" t="str">
        <x:v>Árbol</x:v>
      </x:c>
      <x:c r="B70" s="5" t="str">
        <x:v>Factibilidad por proyecto</x:v>
      </x:c>
      <x:c r="C70" s="5" t="str">
        <x:v>Estudio fija projectId obligatorio, habilita t+1..t+6 y se consume sólo para la obra elegida. No descuento de 20% para toda infraestructura ni cadena de aeropuertos innecesaria.</x:v>
      </x:c>
    </x:row>
    <x:row r="71" ht="42" customHeight="1">
      <x:c r="A71" s="10" t="str">
        <x:v>Árbol</x:v>
      </x:c>
      <x:c r="B71" s="10" t="str">
        <x:v>G_GLOBAL</x:v>
      </x:c>
      <x:c r="C71" s="10" t="str">
        <x:v>cargo=presidente; PA&gt;=costo; t&gt;=last+cooldown; maxUses válido; no mismo actionId confirmado en t; saldo suficiente; no offset propio activo (excepto renovación monetaria); referencias válidas.</x:v>
      </x:c>
    </x:row>
    <x:row r="72" ht="42" customHeight="1">
      <x:c r="A72" s="5" t="str">
        <x:v>Árbol</x:v>
      </x:c>
      <x:c r="B72" s="5" t="str">
        <x:v>Cumplimiento y desbloqueo</x:v>
      </x:c>
      <x:c r="C72" s="5" t="str">
        <x:v>completed(actionId) existe desde cierre de su ejecución. No exige que finalicen todos los efectos. Un prerequisito de estudio usa token activo, no historial permanente. Condiciones futuras no garantizan eficacia de todos los efectos.</x:v>
      </x:c>
    </x:row>
    <x:row r="73" ht="42" customHeight="1">
      <x:c r="A73" s="10" t="str">
        <x:v>Árbol</x:v>
      </x:c>
      <x:c r="B73" s="10" t="str">
        <x:v>Bonificaciones</x:v>
      </x:c>
      <x:c r="C73" s="10" t="str">
        <x:v>Bonos reducen costo sólo cuando se confirma la acción. Máximo descuento de costo 10%, sin afectar mantenimiento. Eficacia positiva cap1,20. El costo presupuestado debe recalcularse antes de admisión.</x:v>
      </x:c>
    </x:row>
    <x:row r="74" ht="42" customHeight="1">
      <x:c r="A74" s="5" t="str">
        <x:v>Árbol</x:v>
      </x:c>
      <x:c r="B74" s="5" t="str">
        <x:v>Eventos mínimos</x:v>
      </x:c>
      <x:c r="C74" s="5" t="str">
        <x:v>crisis_hidrica se activa si ambiente&lt;30 en dos cierres y se desactiva al ambiente&gt;=40. Sólo habilita bonus hídrico; sin castigo adicional automático. Otros riesgos están en efectos condicionales; no se inventa probabilidad por categoría.</x:v>
      </x:c>
    </x:row>
    <x:row r="75" ht="42" customHeight="1">
      <x:c r="A75" s="10" t="str">
        <x:v>Datos</x:v>
      </x:c>
      <x:c r="B75" s="10" t="str">
        <x:v>EffectInstance</x:v>
      </x:c>
      <x:c r="C75" s="10" t="str">
        <x:v>instanceId, sourceActionExecutionId, effectId, targetType/targetId, executionTurn, activationTurn, endExclusive, capturedMagnitude, stackKey, lastAppliedTurn, causalRootId. IDs únicos persistidos evitan doble aplicación al recargar.</x:v>
      </x:c>
    </x:row>
    <x:row r="76" ht="42" customHeight="1">
      <x:c r="A76" s="5" t="str">
        <x:v>Datos</x:v>
      </x:c>
      <x:c r="B76" s="5" t="str">
        <x:v>Tipos permitidos</x:v>
      </x:c>
      <x:c r="C76" s="5" t="str">
        <x:v>targetType: indicator, ledger, loan, token, interaction, agreement. operation: pulse, offset, per_turn, flow, originate, reschedule, grant, meet, negotiate, sign. Cualquier par fuera de catálogo debe fallar validación.</x:v>
      </x:c>
    </x:row>
    <x:row r="77" ht="42" customHeight="1">
      <x:c r="A77" s="10" t="str">
        <x:v>Datos</x:v>
      </x:c>
      <x:c r="B77" s="10" t="str">
        <x:v>Condiciones</x:v>
      </x:c>
      <x:c r="C77" s="10" t="str">
        <x:v>DSL: true; pre.&lt;indicatorId&gt; comparador número; AND. pre es snapshot de cierre anterior al ejecutar. Sólo condiciones 05 se capturan al ejecutar; 06 se valida al confirmar con registros operativos actuales. No evaluar código arbitrario.</x:v>
      </x:c>
    </x:row>
    <x:row r="78" ht="42" customHeight="1">
      <x:c r="A78" s="5" t="str">
        <x:v>Datos</x:v>
      </x:c>
      <x:c r="B78" s="5" t="str">
        <x:v>Repetición y signos</x:v>
      </x:c>
      <x:c r="C78" s="5" t="str">
        <x:v>magnitud es firmada. Signo es metadato derivado, no se multiplica dos veces. expresión de 05 sustituye magnitud base cuando ruleId existe. count5 incluye uso que origina la fila.</x:v>
      </x:c>
    </x:row>
    <x:row r="79" ht="42" customHeight="1">
      <x:c r="A79" s="10" t="str">
        <x:v>Datos</x:v>
      </x:c>
      <x:c r="B79" s="10" t="str">
        <x:v>Clases de flujo</x:v>
      </x:c>
      <x:c r="C79" s="10" t="str">
        <x:v>expense_once, revenue_once, expense_recurring, revenue_recurring, financing_issue. Montos de expense son positivos si gasto, negativos si ahorro. La polaridad contable depende de clase, no de nombre UI.</x:v>
      </x:c>
    </x:row>
    <x:row r="80" ht="42" customHeight="1">
      <x:c r="A80" s="5" t="str">
        <x:v>Datos</x:v>
      </x:c>
      <x:c r="B80" s="5" t="str">
        <x:v>History</x:v>
      </x:c>
      <x:c r="C80" s="5" t="str">
        <x:v>executionId, actionId, actorId/projectId opcionales, globalTurn, committedAt, amount, snapshotId. Deshacer una selección no crea uso. Confirmación fallida no crea historial ni efectos.</x:v>
      </x:c>
    </x:row>
    <x:row r="81" ht="42" customHeight="1">
      <x:c r="A81" s="10" t="str">
        <x:v>Datos</x:v>
      </x:c>
      <x:c r="B81" s="10" t="str">
        <x:v>Acuerdos</x:v>
      </x:c>
      <x:c r="C81" s="10" t="str">
        <x:v>agreementId, templateId, actorId, billId/projectId/loanId opcional, signedTurn, baseline, comparator, threshold, deadline, counterpart, status, resolvedTurn. Una causa material modifica indicador una vez; cumplimiento sólo R.</x:v>
      </x:c>
    </x:row>
    <x:row r="82" ht="42" customHeight="1">
      <x:c r="A82" s="5" t="str">
        <x:v>Datos</x:v>
      </x:c>
      <x:c r="B82" s="5" t="str">
        <x:v>Trazabilidad al jugador</x:v>
      </x:c>
      <x:c r="C82" s="5" t="str">
        <x:v>Mostrar por indicador: estado anterior, aportes por effectId, links, canales, expiraciones y estado final. Por actor: indicadores observados, pesos revelados, objetivo S*, S anterior y nuevo, R aparte.</x:v>
      </x:c>
    </x:row>
    <x:row r="83" ht="42" customHeight="1">
      <x:c r="A83" s="10" t="str">
        <x:v>Auditoría</x:v>
      </x:c>
      <x:c r="B83" s="10" t="str">
        <x:v>61 a catálogo nuevo</x:v>
      </x:c>
      <x:c r="C83" s="10" t="str">
        <x:v>48 definiciones finales: 45 políticas y 3 interacciones. Auditoría fila a fila en 09. No quedan acciones viejas sin destino. Todos los efectos directos antiguos se reemplazan.</x:v>
      </x:c>
    </x:row>
    <x:row r="84" ht="42" customHeight="1">
      <x:c r="A84" s="5" t="str">
        <x:v>Auditoría</x:v>
      </x:c>
      <x:c r="B84" s="5" t="str">
        <x:v>Categorías</x:v>
      </x:c>
      <x:c r="C84" s="5" t="str">
        <x:v>Cultura tenía 8 acciones muy próximas, infraestructura 14 y economía 12. Se concentran retornos repetidos. Faltaban herramientas diferenciadas de crédito, ciencia, integridad y manejo de vencimientos.</x:v>
      </x:c>
    </x:row>
    <x:row r="85" ht="42" customHeight="1">
      <x:c r="A85" s="10" t="str">
        <x:v>Validación</x:v>
      </x:c>
      <x:c r="B85" s="10" t="str">
        <x:v>Qué demuestran los ejemplos</x:v>
      </x:c>
      <x:c r="C85" s="10" t="str">
        <x:v>11 contiene cinco escenarios de diez turnos con fórmulas: caja/deuda, bases/offsets, links, satisfacción de los 18, canales y E_social. Son pruebas deterministas sin azar, no balance validado por playtests.</x:v>
      </x:c>
    </x:row>
    <x:row r="86" ht="42" customHeight="1">
      <x:c r="A86" s="5" t="str">
        <x:v>Decisiones abiertas</x:v>
      </x:c>
      <x:c r="B86" s="5" t="str">
        <x:v>Antes de implementar</x:v>
      </x:c>
      <x:c r="C86" s="5" t="str">
        <x:v>Aprobar 14 indicadores y fusiones; ratificar exclusión electoral política; calibrar 4 PA, caja1200, sensibilidades, duraciones y caps. Diseñar cancelación de programas, segmentación distributiva y fórmula electoral final después.</x:v>
      </x:c>
    </x:row>
    <x:row r="90" ht="42" customHeight="1">
      <x:c r="A90" s="9" t="str">
        <x:v>parameterId</x:v>
      </x:c>
      <x:c r="B90" s="9" t="str">
        <x:v>Valor</x:v>
      </x:c>
      <x:c r="C90" s="9" t="str">
        <x:v>Unidad / propósito</x:v>
      </x:c>
    </x:row>
    <x:row r="91" ht="34" customHeight="1">
      <x:c r="A91" s="5" t="str">
        <x:v>cash_initial</x:v>
      </x:c>
      <x:c r="B91" s="20" t="n">
        <x:v>1200</x:v>
      </x:c>
      <x:c r="C91" s="5" t="str">
        <x:v>Caja de apertura U</x:v>
      </x:c>
    </x:row>
    <x:row r="92" ht="34" customHeight="1">
      <x:c r="A92" s="10" t="str">
        <x:v>revenue_base</x:v>
      </x:c>
      <x:c r="B92" s="20" t="n">
        <x:v>500</x:v>
      </x:c>
      <x:c r="C92" s="10" t="str">
        <x:v>Recaudación basal U/turno</x:v>
      </x:c>
    </x:row>
    <x:row r="93" ht="34" customHeight="1">
      <x:c r="A93" s="5" t="str">
        <x:v>spending_base</x:v>
      </x:c>
      <x:c r="B93" s="20" t="n">
        <x:v>420</x:v>
      </x:c>
      <x:c r="C93" s="5" t="str">
        <x:v>Gasto recurrente basal U/turno</x:v>
      </x:c>
    </x:row>
    <x:row r="94" ht="34" customHeight="1">
      <x:c r="A94" s="10" t="str">
        <x:v>activity_tax</x:v>
      </x:c>
      <x:c r="B94" s="20" t="n">
        <x:v>2</x:v>
      </x:c>
      <x:c r="C94" s="10" t="str">
        <x:v>Ingreso U por punto de actividad sobre50</x:v>
      </x:c>
    </x:row>
    <x:row r="95" ht="34" customHeight="1">
      <x:c r="A95" s="5" t="str">
        <x:v>smoothing</x:v>
      </x:c>
      <x:c r="B95" s="20" t="n">
        <x:v>0.35</x:v>
      </x:c>
      <x:c r="C95" s="5" t="str">
        <x:v>Fracción de satisfacción objetivo incorporada por cierre</x:v>
      </x:c>
    </x:row>
    <x:row r="96" ht="34" customHeight="1">
      <x:c r="A96" s="10" t="str">
        <x:v>inflation_revert</x:v>
      </x:c>
      <x:c r="B96" s="20" t="n">
        <x:v>0.1</x:v>
      </x:c>
      <x:c r="C96" s="10" t="str">
        <x:v>Reversión por cierre hacia40</x:v>
      </x:c>
    </x:row>
    <x:row r="97" ht="34" customHeight="1">
      <x:c r="A97" s="5" t="str">
        <x:v>activity_revert</x:v>
      </x:c>
      <x:c r="B97" s="20" t="n">
        <x:v>0.2</x:v>
      </x:c>
      <x:c r="C97" s="5" t="str">
        <x:v>Reversión base hacia50</x:v>
      </x:c>
    </x:row>
    <x:row r="98" ht="34" customHeight="1">
      <x:c r="A98" s="10" t="str">
        <x:v>credit_to_activity</x:v>
      </x:c>
      <x:c r="B98" s="20" t="n">
        <x:v>0.08</x:v>
      </x:c>
      <x:c r="C98" s="10" t="str">
        <x:v>Efecto de nivel crédito45 sobre actividad</x:v>
      </x:c>
    </x:row>
    <x:row r="99" ht="34" customHeight="1">
      <x:c r="A99" s="5" t="str">
        <x:v>infra_to_activity</x:v>
      </x:c>
      <x:c r="B99" s="20" t="n">
        <x:v>0.06</x:v>
      </x:c>
      <x:c r="C99" s="5" t="str">
        <x:v>Efecto infraestructura45 sobre actividad</x:v>
      </x:c>
    </x:row>
    <x:row r="100" ht="34" customHeight="1">
      <x:c r="A100" s="10" t="str">
        <x:v>external_to_activity</x:v>
      </x:c>
      <x:c r="B100" s="20" t="n">
        <x:v>0.05</x:v>
      </x:c>
      <x:c r="C100" s="10" t="str">
        <x:v>Efecto externo45 sobre actividad</x:v>
      </x:c>
    </x:row>
    <x:row r="101" ht="34" customHeight="1">
      <x:c r="A101" s="5" t="str">
        <x:v>activity_to_income</x:v>
      </x:c>
      <x:c r="B101" s="20" t="n">
        <x:v>0.15</x:v>
      </x:c>
      <x:c r="C101" s="5" t="str">
        <x:v>Efecto de variación actividad sobre ingreso, rezago1</x:v>
      </x:c>
    </x:row>
    <x:row r="102" ht="34" customHeight="1">
      <x:c r="A102" s="10" t="str">
        <x:v>inflation_to_income</x:v>
      </x:c>
      <x:c r="B102" s="20" t="n">
        <x:v>-0.35</x:v>
      </x:c>
      <x:c r="C102" s="10" t="str">
        <x:v>Efecto de variación inflación sobre ingreso, rezago1</x:v>
      </x:c>
    </x:row>
    <x:row r="103" ht="34" customHeight="1">
      <x:c r="A103" s="5" t="str">
        <x:v>credit_revert</x:v>
      </x:c>
      <x:c r="B103" s="20" t="n">
        <x:v>0.15</x:v>
      </x:c>
      <x:c r="C103" s="5" t="str">
        <x:v>Reversión base crédito hacia45</x:v>
      </x:c>
    </x:row>
    <x:row r="104" ht="34" customHeight="1">
      <x:c r="A104" s="10" t="str">
        <x:v>inflation_to_credit</x:v>
      </x:c>
      <x:c r="B104" s="20" t="n">
        <x:v>-0.2</x:v>
      </x:c>
      <x:c r="C104" s="10" t="str">
        <x:v>Variación inflación al crédito, rezago1</x:v>
      </x:c>
    </x:row>
    <x:row r="105" ht="34" customHeight="1">
      <x:c r="A105" s="5" t="str">
        <x:v>fiscal_to_credit</x:v>
      </x:c>
      <x:c r="B105" s="20" t="n">
        <x:v>0.02</x:v>
      </x:c>
      <x:c r="C105" s="5" t="str">
        <x:v>Nivel fiscal58 al crédito, rezago1</x:v>
      </x:c>
    </x:row>
    <x:row r="106" ht="34" customHeight="1">
      <x:c r="A106" s="10" t="str">
        <x:v>delta_cap</x:v>
      </x:c>
      <x:c r="B106" s="20" t="n">
        <x:v>12</x:v>
      </x:c>
      <x:c r="C106" s="10" t="str">
        <x:v>Máximo cambio absoluto base por cierre</x:v>
      </x:c>
    </x:row>
    <x:row r="107" ht="34" customHeight="1">
      <x:c r="A107" s="5" t="str">
        <x:v>channel_cap</x:v>
      </x:c>
      <x:c r="B107" s="20" t="n">
        <x:v>3</x:v>
      </x:c>
      <x:c r="C107" s="5" t="str">
        <x:v>Máximo offset neto de canales por indicador</x:v>
      </x:c>
    </x:row>
    <x:row r="108" ht="34" customHeight="1">
      <x:c r="A108" s="10" t="str">
        <x:v>emission_multiplier</x:v>
      </x:c>
      <x:c r="B108" s="20" t="n">
        <x:v>2</x:v>
      </x:c>
      <x:c r="C108" s="10" t="str">
        <x:v>Sobrecarga por exceso al cuadrado</x:v>
      </x:c>
    </x:row>
    <x:row r="109" ht="34" customHeight="1">
      <x:c r="A109" s="5" t="str">
        <x:v>emission_threshold</x:v>
      </x:c>
      <x:c r="B109" s="20" t="n">
        <x:v>2</x:v>
      </x:c>
      <x:c r="C109" s="5" t="str">
        <x:v>Usos tolerados en5 turnos</x:v>
      </x:c>
    </x:row>
    <x:row r="110" ht="34" customHeight="1">
      <x:c r="A110" s="10" t="str">
        <x:v>inflation_condition</x:v>
      </x:c>
      <x:c r="B110" s="20" t="n">
        <x:v>60</x:v>
      </x:c>
      <x:c r="C110" s="10" t="str">
        <x:v>Umbral agravamiento emisión</x:v>
      </x:c>
    </x:row>
    <x:row r="111" ht="34" customHeight="1">
      <x:c r="A111" s="5" t="str">
        <x:v>emission_high</x:v>
      </x:c>
      <x:c r="B111" s="20" t="n">
        <x:v>2</x:v>
      </x:c>
      <x:c r="C111" s="5" t="str">
        <x:v>Sobrecarga adicional con inflación alta</x:v>
      </x:c>
    </x:row>
    <x:row r="112" ht="34" customHeight="1">
      <x:c r="A112" s="10" t="str">
        <x:v>external_interest</x:v>
      </x:c>
      <x:c r="B112" s="20" t="n">
        <x:v>24</x:v>
      </x:c>
      <x:c r="C112" s="10" t="str">
        <x:v>Interés por turno de cada préstamo800</x:v>
      </x:c>
    </x:row>
    <x:row r="113" ht="34" customHeight="1">
      <x:c r="A113" s="5" t="str">
        <x:v>domestic_interest</x:v>
      </x:c>
      <x:c r="B113" s="20" t="n">
        <x:v>20</x:v>
      </x:c>
      <x:c r="C113" s="5" t="str">
        <x:v>Interés por turno de cada préstamo500</x:v>
      </x:c>
    </x:row>
    <x:row r="114" ht="34" customHeight="1">
      <x:c r="A114" s="10" t="str">
        <x:v>fiscal_neutral</x:v>
      </x:c>
      <x:c r="B114" s="20" t="n">
        <x:v>50</x:v>
      </x:c>
      <x:c r="C114" s="10" t="str">
        <x:v>Centro del índice fiscal</x:v>
      </x:c>
    </x:row>
    <x:row r="115" ht="34" customHeight="1">
      <x:c r="A115" s="5" t="str">
        <x:v>debt_divisor</x:v>
      </x:c>
      <x:c r="B115" s="20" t="n">
        <x:v>100</x:v>
      </x:c>
      <x:c r="C115" s="5" t="str">
        <x:v>U de deuda por punto de carga</x:v>
      </x:c>
    </x:row>
    <x:row r="116" ht="34" customHeight="1">
      <x:c r="A116" s="10" t="str">
        <x:v>debt_cap</x:v>
      </x:c>
      <x:c r="B116" s="20" t="n">
        <x:v>20</x:v>
      </x:c>
      <x:c r="C116" s="10" t="str">
        <x:v>Cap de castigo por exposición</x:v>
      </x:c>
    </x:row>
    <x:row r="117" ht="34" customHeight="1">
      <x:c r="A117" s="5" t="str">
        <x:v>fiscal_initial</x:v>
      </x:c>
      <x:c r="B117" s="20" t="n">
        <x:v>58</x:v>
      </x:c>
      <x:c r="C117" s="5" t="str">
        <x:v>Inicial coherente con500/420 y deuda0</x:v>
      </x:c>
    </x:row>
    <x:row r="118" ht="34" customHeight="1">
      <x:c r="A118" s="10" t="str">
        <x:v>lowS</x:v>
      </x:c>
      <x:c r="B118" s="20" t="n">
        <x:v>35</x:v>
      </x:c>
      <x:c r="C118" s="10" t="str">
        <x:v>Inicio de conflicto, dos cierres</x:v>
      </x:c>
    </x:row>
    <x:row r="119" ht="34" customHeight="1">
      <x:c r="A119" s="5" t="str">
        <x:v>lowR</x:v>
      </x:c>
      <x:c r="B119" s="20" t="n">
        <x:v>45</x:v>
      </x:c>
      <x:c r="C119" s="5" t="str">
        <x:v>Relación baja para conflicto</x:v>
      </x:c>
    </x:row>
    <x:row r="120" ht="34" customHeight="1">
      <x:c r="A120" s="10" t="str">
        <x:v>criticalS</x:v>
      </x:c>
      <x:c r="B120" s="20" t="n">
        <x:v>20</x:v>
      </x:c>
      <x:c r="C120" s="10" t="str">
        <x:v>Conflicto aunque R sea alta</x:v>
      </x:c>
    </x:row>
    <x:row r="121" ht="34" customHeight="1">
      <x:c r="A121" s="5" t="str">
        <x:v>exitS</x:v>
      </x:c>
      <x:c r="B121" s="20" t="n">
        <x:v>40</x:v>
      </x:c>
      <x:c r="C121" s="5" t="str">
        <x:v>Umbral S salida conflicto</x:v>
      </x:c>
    </x:row>
    <x:row r="122" ht="34" customHeight="1">
      <x:c r="A122" s="10" t="str">
        <x:v>exitR</x:v>
      </x:c>
      <x:c r="B122" s="20" t="n">
        <x:v>50</x:v>
      </x:c>
      <x:c r="C122" s="10" t="str">
        <x:v>Umbral R salida conflicto</x:v>
      </x:c>
    </x:row>
    <x:row r="123" ht="34" customHeight="1">
      <x:c r="A123" s="5" t="str">
        <x:v>criticalExit</x:v>
      </x:c>
      <x:c r="B123" s="20" t="n">
        <x:v>25</x:v>
      </x:c>
      <x:c r="C123" s="5" t="str">
        <x:v>Piso crítico para mantener conflicto</x:v>
      </x:c>
    </x:row>
    <x:row r="124" ht="34" customHeight="1">
      <x:c r="A124" s="10" t="str">
        <x:v>meeting_base</x:v>
      </x:c>
      <x:c r="B124" s="20" t="n">
        <x:v>10</x:v>
      </x:c>
      <x:c r="C124" s="10" t="str">
        <x:v>Costo fijo reunión U</x:v>
      </x:c>
    </x:row>
    <x:row r="125" ht="34" customHeight="1">
      <x:c r="A125" s="5" t="str">
        <x:v>meeting_difficulty</x:v>
      </x:c>
      <x:c r="B125" s="20" t="n">
        <x:v>5</x:v>
      </x:c>
      <x:c r="C125" s="5" t="str">
        <x:v>Costo U por punto de dificultad</x:v>
      </x:c>
    </x:row>
  </x:sheetData>
  <x:pageMargins left="0.7" right="0.7" top="0.75" bottom="0.75" header="0.3" footer="0.3"/>
  <x:tableParts count="2">
    <x:tablePart xmlns:r="http://schemas.openxmlformats.org/officeDocument/2006/relationships" r:id="R9932d50e1ae14a6e"/>
    <x:tablePart xmlns:r="http://schemas.openxmlformats.org/officeDocument/2006/relationships" r:id="Rb4ad383ac9774960"/>
  </x:tableParts>
</x:worksheet>
</file>

<file path=xl/worksheets/sheet2.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3" hidden="0" customWidth="1"/>
    <x:col min="2" max="2" width="29" hidden="0" customWidth="1"/>
    <x:col min="3" max="3" width="22" hidden="0" customWidth="1"/>
    <x:col min="4" max="4" width="60" hidden="0" customWidth="1"/>
    <x:col min="5" max="5" width="32" hidden="0" customWidth="1"/>
    <x:col min="6" max="6" width="32" hidden="0" customWidth="1"/>
    <x:col min="7" max="7" width="20" hidden="0" customWidth="1"/>
    <x:col min="8" max="8" width="19" hidden="0" customWidth="1"/>
    <x:col min="9" max="9" width="31" hidden="0" customWidth="1"/>
    <x:col min="10" max="10" width="32" hidden="0" customWidth="1"/>
    <x:col min="11" max="11" width="47" hidden="0" customWidth="1"/>
    <x:col min="12" max="12" width="47" hidden="0" customWidth="1"/>
    <x:col min="13" max="13" width="58" hidden="0" customWidth="1"/>
  </x:cols>
  <x:sheetData>
    <x:row r="2" ht="28" customHeight="1">
      <x:c r="A2" s="12" t="str">
        <x:v>Indicadores del país</x:v>
      </x:c>
      <x:c r="B2" s="13"/>
      <x:c r="C2" s="13"/>
      <x:c r="D2" s="13"/>
      <x:c r="E2" s="13"/>
      <x:c r="F2" s="13"/>
      <x:c r="G2" s="13"/>
      <x:c r="H2" s="13"/>
      <x:c r="I2" s="13"/>
      <x:c r="J2" s="13"/>
      <x:c r="K2" s="13"/>
      <x:c r="L2" s="13"/>
      <x:c r="M2" s="13"/>
    </x:row>
    <x:row r="3" ht="23" customHeight="1">
      <x:c r="A3" s="14" t="str">
        <x:v>14 indicadores. Calibración propuesta v0.1. Los cuatro resúmenes macro son sólo visuales.</x:v>
      </x:c>
      <x:c r="B3" s="13"/>
      <x:c r="C3" s="13"/>
      <x:c r="D3" s="13"/>
      <x:c r="E3" s="13"/>
      <x:c r="F3" s="13"/>
      <x:c r="G3" s="13"/>
      <x:c r="H3" s="13"/>
      <x:c r="I3" s="13"/>
      <x:c r="J3" s="13"/>
      <x:c r="K3" s="13"/>
      <x:c r="L3" s="13"/>
      <x:c r="M3" s="13"/>
    </x:row>
    <x:row r="4">
      <x:c r="A4" s="13"/>
      <x:c r="B4" s="13"/>
      <x:c r="C4" s="13"/>
      <x:c r="D4" s="13"/>
      <x:c r="E4" s="13"/>
      <x:c r="F4" s="13"/>
      <x:c r="G4" s="13"/>
      <x:c r="H4" s="13"/>
      <x:c r="I4" s="13"/>
      <x:c r="J4" s="13"/>
      <x:c r="K4" s="13"/>
      <x:c r="L4" s="13"/>
      <x:c r="M4" s="13"/>
    </x:row>
    <x:row r="5" ht="42" customHeight="1">
      <x:c r="A5" s="15" t="str">
        <x:v>indicatorId</x:v>
      </x:c>
      <x:c r="B5" s="15" t="str">
        <x:v>Nombre</x:v>
      </x:c>
      <x:c r="C5" s="15" t="str">
        <x:v>Macro</x:v>
      </x:c>
      <x:c r="D5" s="15" t="str">
        <x:v>Definición exacta</x:v>
      </x:c>
      <x:c r="E5" s="15" t="str">
        <x:v>Valor alto</x:v>
      </x:c>
      <x:c r="F5" s="15" t="str">
        <x:v>Valor bajo</x:v>
      </x:c>
      <x:c r="G5" s="15" t="str">
        <x:v>Escala</x:v>
      </x:c>
      <x:c r="H5" s="15" t="str">
        <x:v>Inicial propuesto</x:v>
      </x:c>
      <x:c r="I5" s="15" t="str">
        <x:v>Visibilidad</x:v>
      </x:c>
      <x:c r="J5" s="15" t="str">
        <x:v>MVP</x:v>
      </x:c>
      <x:c r="K5" s="15" t="str">
        <x:v>Políticas</x:v>
      </x:c>
      <x:c r="L5" s="15" t="str">
        <x:v>Interacciones</x:v>
      </x:c>
      <x:c r="M5" s="15" t="str">
        <x:v>Observaciones</x:v>
      </x:c>
    </x:row>
    <x:row r="6" ht="42" customHeight="1">
      <x:c r="A6" s="16" t="str">
        <x:v>inflacion</x:v>
      </x:c>
      <x:c r="B6" s="16" t="str">
        <x:v>Presión inflacionaria</x:v>
      </x:c>
      <x:c r="C6" s="16" t="str">
        <x:v>Economía</x:v>
      </x:c>
      <x:c r="D6" s="16" t="str">
        <x:v>Inestabilidad de precios y contratos. Índice de presión, no tasa porcentual.</x:v>
      </x:c>
      <x:c r="E6" s="16" t="str">
        <x:v>Precios difíciles de anticipar</x:v>
      </x:c>
      <x:c r="F6" s="16" t="str">
        <x:v>Precios estables</x:v>
      </x:c>
      <x:c r="G6" s="16" t="str">
        <x:v>0–100, puntos</x:v>
      </x:c>
      <x:c r="H6" s="21" t="n">
        <x:v>40</x:v>
      </x:c>
      <x:c r="I6" s="16" t="str">
        <x:v>Visible: valor y tendencia</x:v>
      </x:c>
      <x:c r="J6" s="16" t="str">
        <x:v>Indispensable en esta propuesta</x:v>
      </x:c>
      <x:c r="K6" s="16" t="str">
        <x:v>Emisión, estabilización, precios temporales</x:v>
      </x:c>
      <x:c r="L6" s="16" t="str">
        <x:v>Erosiona ingreso y crédito con un turno de rezago</x:v>
      </x:c>
      <x:c r="M6" s="16" t="str">
        <x:v>Se observa incertidumbre, no se vuelve a cobrar la pérdida de ingreso.</x:v>
      </x:c>
    </x:row>
    <x:row r="7" ht="42" customHeight="1">
      <x:c r="A7" s="17" t="str">
        <x:v>actividad</x:v>
      </x:c>
      <x:c r="B7" s="17" t="str">
        <x:v>Actividad y empleo</x:v>
      </x:c>
      <x:c r="C7" s="17" t="str">
        <x:v>Economía</x:v>
      </x:c>
      <x:c r="D7" s="17" t="str">
        <x:v>Oportunidades productivas y laborales. Proxy único de producción y absorción de trabajo.</x:v>
      </x:c>
      <x:c r="E7" s="17" t="str">
        <x:v>Demanda y oportunidades laborales amplias</x:v>
      </x:c>
      <x:c r="F7" s="17" t="str">
        <x:v>Recesión y escasez de trabajo</x:v>
      </x:c>
      <x:c r="G7" s="17" t="str">
        <x:v>0–100, puntos</x:v>
      </x:c>
      <x:c r="H7" s="21" t="n">
        <x:v>50</x:v>
      </x:c>
      <x:c r="I7" s="17" t="str">
        <x:v>Visible: valor y tendencia</x:v>
      </x:c>
      <x:c r="J7" s="17" t="str">
        <x:v>Indispensable en esta propuesta</x:v>
      </x:c>
      <x:c r="K7" s="17" t="str">
        <x:v>Obras, incentivos, empleo joven, ajuste</x:v>
      </x:c>
      <x:c r="L7" s="17" t="str">
        <x:v>Crédito, infraestructura y sector externo la sostienen</x:v>
      </x:c>
      <x:c r="M7" s="17" t="str">
        <x:v>Fusión MVP: no representa crecimiento sin empleo. Separar sólo si el playtest lo exige.</x:v>
      </x:c>
    </x:row>
    <x:row r="8" ht="42" customHeight="1">
      <x:c r="A8" s="16" t="str">
        <x:v>ingreso_real</x:v>
      </x:c>
      <x:c r="B8" s="16" t="str">
        <x:v>Poder adquisitivo</x:v>
      </x:c>
      <x:c r="C8" s="16" t="str">
        <x:v>Economía</x:v>
      </x:c>
      <x:c r="D8" s="16" t="str">
        <x:v>Capacidad de compra del ingreso laboral y de hogares, antes del acceso a prestaciones en especie.</x:v>
      </x:c>
      <x:c r="E8" s="16" t="str">
        <x:v>Mejor capacidad de compra</x:v>
      </x:c>
      <x:c r="F8" s="16" t="str">
        <x:v>Ingresos insuficientes</x:v>
      </x:c>
      <x:c r="G8" s="16" t="str">
        <x:v>0–100, puntos</x:v>
      </x:c>
      <x:c r="H8" s="21" t="n">
        <x:v>45</x:v>
      </x:c>
      <x:c r="I8" s="16" t="str">
        <x:v>Visible: valor y tendencia</x:v>
      </x:c>
      <x:c r="J8" s="16" t="str">
        <x:v>Indispensable en esta propuesta</x:v>
      </x:c>
      <x:c r="K8" s="16" t="str">
        <x:v>Salarios públicos y piso salarial, alivio impositivo</x:v>
      </x:c>
      <x:c r="L8" s="16" t="str">
        <x:v>Recibe cambios rezagados de inflación y actividad</x:v>
      </x:c>
      <x:c r="M8" s="16" t="str">
        <x:v>No incluye cobertura social: transferencias se abstraen en protección para no duplicarlas.</x:v>
      </x:c>
    </x:row>
    <x:row r="9" ht="42" customHeight="1">
      <x:c r="A9" s="17" t="str">
        <x:v>credito</x:v>
      </x:c>
      <x:c r="B9" s="17" t="str">
        <x:v>Crédito productivo</x:v>
      </x:c>
      <x:c r="C9" s="17" t="str">
        <x:v>Economía</x:v>
      </x:c>
      <x:c r="D9" s="17" t="str">
        <x:v>Acceso efectivo de hogares y empresas a financiamiento sostenible. No rentabilidad bancaria ni tasa de interés.</x:v>
      </x:c>
      <x:c r="E9" s="17" t="str">
        <x:v>Financiamiento accesible y solvente</x:v>
      </x:c>
      <x:c r="F9" s="17" t="str">
        <x:v>Racionamiento de crédito</x:v>
      </x:c>
      <x:c r="G9" s="17" t="str">
        <x:v>0–100, puntos</x:v>
      </x:c>
      <x:c r="H9" s="21" t="n">
        <x:v>45</x:v>
      </x:c>
      <x:c r="I9" s="17" t="str">
        <x:v>Visible: valor y tendencia</x:v>
      </x:c>
      <x:c r="J9" s="17" t="str">
        <x:v>Indispensable en esta propuesta</x:v>
      </x:c>
      <x:c r="K9" s="17" t="str">
        <x:v>Garantías PyME, préstamo local, estabilización</x:v>
      </x:c>
      <x:c r="L9" s="17" t="str">
        <x:v>Actividad, inflación, margen fiscal</x:v>
      </x:c>
      <x:c r="M9" s="17" t="str">
        <x:v>El sector financiero valora solvencia y volumen. No gana automáticamente con crédito caro.</x:v>
      </x:c>
    </x:row>
    <x:row r="10" ht="57" customHeight="1">
      <x:c r="A10" s="16" t="str">
        <x:v>fiscal</x:v>
      </x:c>
      <x:c r="B10" s="16" t="str">
        <x:v>Margen fiscal estructural</x:v>
      </x:c>
      <x:c r="C10" s="16" t="str">
        <x:v>Economía</x:v>
      </x:c>
      <x:c r="D10" s="16" t="str">
        <x:v>Índice derivado de ingresos, gasto recurrente, intereses y exposición de deuda. Nunca se modifica con un efecto directo.</x:v>
      </x:c>
      <x:c r="E10" s="16" t="str">
        <x:v>Financiamiento sostenible de compromisos</x:v>
      </x:c>
      <x:c r="F10" s="16" t="str">
        <x:v>Rigidez fiscal o carga de deuda excesiva</x:v>
      </x:c>
      <x:c r="G10" s="16" t="str">
        <x:v>0–100, puntos</x:v>
      </x:c>
      <x:c r="H10" s="21" t="n">
        <x:v>58</x:v>
      </x:c>
      <x:c r="I10" s="16" t="str">
        <x:v>Visible: valor y tendencia</x:v>
      </x:c>
      <x:c r="J10" s="16" t="str">
        <x:v>Indispensable en esta propuesta</x:v>
      </x:c>
      <x:c r="K10" s="16" t="str">
        <x:v>Recaudación, impuestos, gasto permanente, préstamos</x:v>
      </x:c>
      <x:c r="L10" s="16" t="str">
        <x:v>Registro fiscal; acceso a préstamos y crédito</x:v>
      </x:c>
      <x:c r="M10" s="16" t="str">
        <x:v>Separar caja y resultado del período. La deuda financia caja, no ingresos.</x:v>
      </x:c>
    </x:row>
    <x:row r="11" ht="42" customHeight="1">
      <x:c r="A11" s="17" t="str">
        <x:v>externo</x:v>
      </x:c>
      <x:c r="B11" s="17" t="str">
        <x:v>Capacidad exportadora</x:v>
      </x:c>
      <x:c r="C11" s="17" t="str">
        <x:v>Economía</x:v>
      </x:c>
      <x:c r="D11" s="17" t="str">
        <x:v>Capacidad de vender al exterior y sostener el abastecimiento externo. Proxy de competitividad y logística.</x:v>
      </x:c>
      <x:c r="E11" s="17" t="str">
        <x:v>Menos restricciones externas</x:v>
      </x:c>
      <x:c r="F11" s="17" t="str">
        <x:v>Cuellos exportadores y externos</x:v>
      </x:c>
      <x:c r="G11" s="17" t="str">
        <x:v>0–100, puntos</x:v>
      </x:c>
      <x:c r="H11" s="21" t="n">
        <x:v>45</x:v>
      </x:c>
      <x:c r="I11" s="17" t="str">
        <x:v>Visible: valor y tendencia</x:v>
      </x:c>
      <x:c r="J11" s="17" t="str">
        <x:v>Indispensable en esta propuesta</x:v>
      </x:c>
      <x:c r="K11" s="17" t="str">
        <x:v>Exportación, comercio, vialidad, energía</x:v>
      </x:c>
      <x:c r="L11" s="17" t="str">
        <x:v>Actividad y acceso externo</x:v>
      </x:c>
      <x:c r="M11" s="17" t="str">
        <x:v>No es tipo de cambio ni reservas. Se excluye una simulación cambiaria.</x:v>
      </x:c>
    </x:row>
    <x:row r="12" ht="42" customHeight="1">
      <x:c r="A12" s="16" t="str">
        <x:v>infraestructura</x:v>
      </x:c>
      <x:c r="B12" s="16" t="str">
        <x:v>Infraestructura operativa</x:v>
      </x:c>
      <x:c r="C12" s="16" t="str">
        <x:v>Estado y servicios</x:v>
      </x:c>
      <x:c r="D12" s="16" t="str">
        <x:v>Disponibilidad de redes de transporte, agua, energía y conectividad en condiciones de uso.</x:v>
      </x:c>
      <x:c r="E12" s="16" t="str">
        <x:v>Redes confiables</x:v>
      </x:c>
      <x:c r="F12" s="16" t="str">
        <x:v>Cuellos y deterioro</x:v>
      </x:c>
      <x:c r="G12" s="16" t="str">
        <x:v>0–100, puntos</x:v>
      </x:c>
      <x:c r="H12" s="21" t="n">
        <x:v>45</x:v>
      </x:c>
      <x:c r="I12" s="16" t="str">
        <x:v>Visible: valor y tendencia</x:v>
      </x:c>
      <x:c r="J12" s="16" t="str">
        <x:v>Indispensable en esta propuesta</x:v>
      </x:c>
      <x:c r="K12" s="16" t="str">
        <x:v>Obras y mantenimiento</x:v>
      </x:c>
      <x:c r="L12" s="16" t="str">
        <x:v>Actividad, exportación; mantenimiento fiscal explícito</x:v>
      </x:c>
      <x:c r="M12" s="16" t="str">
        <x:v>Conectividad integrada. Una obra no da recaudación automática por categoría.</x:v>
      </x:c>
    </x:row>
    <x:row r="13" ht="42" customHeight="1">
      <x:c r="A13" s="17" t="str">
        <x:v>educacion</x:v>
      </x:c>
      <x:c r="B13" s="17" t="str">
        <x:v>Educación</x:v>
      </x:c>
      <x:c r="C13" s="17" t="str">
        <x:v>Estado y servicios</x:v>
      </x:c>
      <x:c r="D13" s="17" t="str">
        <x:v>Acceso y calidad de formación general, técnica y alfabetización.</x:v>
      </x:c>
      <x:c r="E13" s="17" t="str">
        <x:v>Aprendizaje y acceso amplios</x:v>
      </x:c>
      <x:c r="F13" s="17" t="str">
        <x:v>Deterioro educativo</x:v>
      </x:c>
      <x:c r="G13" s="17" t="str">
        <x:v>0–100, puntos</x:v>
      </x:c>
      <x:c r="H13" s="21" t="n">
        <x:v>50</x:v>
      </x:c>
      <x:c r="I13" s="17" t="str">
        <x:v>Visible: valor y tendencia</x:v>
      </x:c>
      <x:c r="J13" s="17" t="str">
        <x:v>Indispensable en esta propuesta</x:v>
      </x:c>
      <x:c r="K13" s="17" t="str">
        <x:v>Programa educativo, alfabetización, becas</x:v>
      </x:c>
      <x:c r="L13" s="17" t="str">
        <x:v>Ciencia tras demora; docentes y estudiantes</x:v>
      </x:c>
      <x:c r="M13" s="17" t="str">
        <x:v>No se suma automáticamente a empleo: su retorno es lento y acotado.</x:v>
      </x:c>
    </x:row>
    <x:row r="14" ht="42" customHeight="1">
      <x:c r="A14" s="16" t="str">
        <x:v>salud</x:v>
      </x:c>
      <x:c r="B14" s="16" t="str">
        <x:v>Salud</x:v>
      </x:c>
      <x:c r="C14" s="16" t="str">
        <x:v>Estado y servicios</x:v>
      </x:c>
      <x:c r="D14" s="16" t="str">
        <x:v>Cobertura y calidad sanitaria efectiva, incluyendo prevención y hospitales operativos.</x:v>
      </x:c>
      <x:c r="E14" s="16" t="str">
        <x:v>Atención accesible y efectiva</x:v>
      </x:c>
      <x:c r="F14" s="16" t="str">
        <x:v>Necesidades sanitarias sin respuesta</x:v>
      </x:c>
      <x:c r="G14" s="16" t="str">
        <x:v>0–100, puntos</x:v>
      </x:c>
      <x:c r="H14" s="21" t="n">
        <x:v>50</x:v>
      </x:c>
      <x:c r="I14" s="16" t="str">
        <x:v>Visible: valor y tendencia</x:v>
      </x:c>
      <x:c r="J14" s="16" t="str">
        <x:v>Indispensable en esta propuesta</x:v>
      </x:c>
      <x:c r="K14" s="16" t="str">
        <x:v>Prevención, hospitales, agua</x:v>
      </x:c>
      <x:c r="L14" s="16" t="str">
        <x:v>Protección y ejecución federal como contexto</x:v>
      </x:c>
      <x:c r="M14" s="16" t="str">
        <x:v>Se conserva separado de educación porque compiten por presupuesto.</x:v>
      </x:c>
    </x:row>
    <x:row r="15" ht="42" customHeight="1">
      <x:c r="A15" s="17" t="str">
        <x:v>proteccion</x:v>
      </x:c>
      <x:c r="B15" s="17" t="str">
        <x:v>Protección social y vivienda</x:v>
      </x:c>
      <x:c r="C15" s="17" t="str">
        <x:v>Estado y servicios</x:v>
      </x:c>
      <x:c r="D15" s="17" t="str">
        <x:v>Acceso a vivienda, alimentación y apoyos a hogares vulnerables.</x:v>
      </x:c>
      <x:c r="E15" s="17" t="str">
        <x:v>Menor desprotección</x:v>
      </x:c>
      <x:c r="F15" s="17" t="str">
        <x:v>Privaciones graves</x:v>
      </x:c>
      <x:c r="G15" s="17" t="str">
        <x:v>0–100, puntos</x:v>
      </x:c>
      <x:c r="H15" s="21" t="n">
        <x:v>45</x:v>
      </x:c>
      <x:c r="I15" s="17" t="str">
        <x:v>Visible: valor y tendencia</x:v>
      </x:c>
      <x:c r="J15" s="17" t="str">
        <x:v>Indispensable en esta propuesta</x:v>
      </x:c>
      <x:c r="K15" s="17" t="str">
        <x:v>Vivienda, cobertura, alimentación, cuidados</x:v>
      </x:c>
      <x:c r="L15" s="17" t="str">
        <x:v>Actividad afecta demanda de apoyo; canales sociales</x:v>
      </x:c>
      <x:c r="M15" s="17" t="str">
        <x:v>No replica ingreso real. Representa prestaciones y cobertura, no salario.</x:v>
      </x:c>
    </x:row>
    <x:row r="16" ht="42" customHeight="1">
      <x:c r="A16" s="16" t="str">
        <x:v>seguridad</x:v>
      </x:c>
      <x:c r="B16" s="16" t="str">
        <x:v>Seguridad cotidiana</x:v>
      </x:c>
      <x:c r="C16" s="16" t="str">
        <x:v>Instituciones y sociedad</x:v>
      </x:c>
      <x:c r="D16" s="16" t="str">
        <x:v>Reducción de exposición al delito y capacidad de respuesta preventiva.</x:v>
      </x:c>
      <x:c r="E16" s="16" t="str">
        <x:v>Menor victimización</x:v>
      </x:c>
      <x:c r="F16" s="16" t="str">
        <x:v>Delito y vulnerabilidad</x:v>
      </x:c>
      <x:c r="G16" s="16" t="str">
        <x:v>0–100, puntos</x:v>
      </x:c>
      <x:c r="H16" s="21" t="n">
        <x:v>45</x:v>
      </x:c>
      <x:c r="I16" s="16" t="str">
        <x:v>Visible: valor y tendencia</x:v>
      </x:c>
      <x:c r="J16" s="16" t="str">
        <x:v>Indispensable en esta propuesta</x:v>
      </x:c>
      <x:c r="K16" s="16" t="str">
        <x:v>Prevención, proximidad, justicia, vigilancia</x:v>
      </x:c>
      <x:c r="L16" s="16" t="str">
        <x:v>Derechos pueden mejorar o deteriorarse según instrumentos</x:v>
      </x:c>
      <x:c r="M16" s="16" t="str">
        <x:v>No incluye represión del disenso. Protesta no equivale a delito.</x:v>
      </x:c>
    </x:row>
    <x:row r="17" ht="42" customHeight="1">
      <x:c r="A17" s="17" t="str">
        <x:v>ciencia</x:v>
      </x:c>
      <x:c r="B17" s="17" t="str">
        <x:v>Ciencia e innovación</x:v>
      </x:c>
      <x:c r="C17" s="17" t="str">
        <x:v>Desarrollo</x:v>
      </x:c>
      <x:c r="D17" s="17" t="str">
        <x:v>Capacidad de investigación, continuidad de equipos y transferencia tecnológica.</x:v>
      </x:c>
      <x:c r="E17" s="17" t="str">
        <x:v>Equipos y capacidades sostenidos</x:v>
      </x:c>
      <x:c r="F17" s="17" t="str">
        <x:v>Pérdida de capacidades</x:v>
      </x:c>
      <x:c r="G17" s="17" t="str">
        <x:v>0–100, puntos</x:v>
      </x:c>
      <x:c r="H17" s="21" t="n">
        <x:v>40</x:v>
      </x:c>
      <x:c r="I17" s="17" t="str">
        <x:v>Visible: valor y tendencia</x:v>
      </x:c>
      <x:c r="J17" s="17" t="str">
        <x:v>Indispensable en esta propuesta</x:v>
      </x:c>
      <x:c r="K17" s="17" t="str">
        <x:v>Carrera científica, transferencia, cooperación</x:v>
      </x:c>
      <x:c r="L17" s="17" t="str">
        <x:v>Educación e inversiones con demora</x:v>
      </x:c>
      <x:c r="M17" s="17" t="str">
        <x:v>Se conserva por identidad jugable de investigadores y horizontes largos.</x:v>
      </x:c>
    </x:row>
    <x:row r="18" ht="42" customHeight="1">
      <x:c r="A18" s="16" t="str">
        <x:v>derechos</x:v>
      </x:c>
      <x:c r="B18" s="16" t="str">
        <x:v>Garantías e integridad pública</x:v>
      </x:c>
      <x:c r="C18" s="16" t="str">
        <x:v>Instituciones y sociedad</x:v>
      </x:c>
      <x:c r="D18" s="16" t="str">
        <x:v>Protección efectiva de derechos, debido proceso, transparencia y control de poder.</x:v>
      </x:c>
      <x:c r="E18" s="16" t="str">
        <x:v>Garantías y controles efectivos</x:v>
      </x:c>
      <x:c r="F18" s="16" t="str">
        <x:v>Abusos y arbitrariedad</x:v>
      </x:c>
      <x:c r="G18" s="16" t="str">
        <x:v>0–100, puntos</x:v>
      </x:c>
      <x:c r="H18" s="21" t="n">
        <x:v>55</x:v>
      </x:c>
      <x:c r="I18" s="16" t="str">
        <x:v>Visible: valor y tendencia</x:v>
      </x:c>
      <x:c r="J18" s="16" t="str">
        <x:v>Indispensable en esta propuesta</x:v>
      </x:c>
      <x:c r="K18" s="16" t="str">
        <x:v>Justicia, transparencia, igualdad, salvaguardas</x:v>
      </x:c>
      <x:c r="L18" s="16" t="str">
        <x:v>Canales institucionales y viabilidad de vigilancia</x:v>
      </x:c>
      <x:c r="M18" s="16" t="str">
        <x:v>Fusión acotada. No mide aprobación política, cultura ni popularidad.</x:v>
      </x:c>
    </x:row>
    <x:row r="19" ht="42" customHeight="1">
      <x:c r="A19" s="17" t="str">
        <x:v>ambiente</x:v>
      </x:c>
      <x:c r="B19" s="17" t="str">
        <x:v>Sostenibilidad ambiental</x:v>
      </x:c>
      <x:c r="C19" s="17" t="str">
        <x:v>Instituciones y sociedad</x:v>
      </x:c>
      <x:c r="D19" s="17" t="str">
        <x:v>Estado ambiental y capacidad de sostener proyectos sin daños acumulados.</x:v>
      </x:c>
      <x:c r="E19" s="17" t="str">
        <x:v>Recursos y ecosistemas preservados</x:v>
      </x:c>
      <x:c r="F19" s="17" t="str">
        <x:v>Deterioro y conflictos por daño</x:v>
      </x:c>
      <x:c r="G19" s="17" t="str">
        <x:v>0–100, puntos</x:v>
      </x:c>
      <x:c r="H19" s="21" t="n">
        <x:v>50</x:v>
      </x:c>
      <x:c r="I19" s="17" t="str">
        <x:v>Visible: valor y tendencia</x:v>
      </x:c>
      <x:c r="J19" s="17" t="str">
        <x:v>Indispensable en esta propuesta</x:v>
      </x:c>
      <x:c r="K19" s="17" t="str">
        <x:v>Reforestación, transición energética, obras</x:v>
      </x:c>
      <x:c r="L19" s="17" t="str">
        <x:v>Viabilidad de proyectos y sector agropecuario</x:v>
      </x:c>
      <x:c r="M19" s="17" t="str">
        <x:v>Evaluación ambiental se aplica por proyecto, no veto universal.</x:v>
      </x:c>
    </x:row>
  </x:sheetData>
  <x:pageMargins left="0.7" right="0.7" top="0.75" bottom="0.75" header="0.3" footer="0.3"/>
  <x:tableParts count="1">
    <x:tablePart xmlns:r="http://schemas.openxmlformats.org/officeDocument/2006/relationships" r:id="R9aae02a2a80d460e"/>
  </x:tableParts>
</x:worksheet>
</file>

<file path=xl/worksheets/sheet3.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2" hidden="0" customWidth="1"/>
    <x:col min="2" max="2" width="32" hidden="0" customWidth="1"/>
    <x:col min="3" max="3" width="23" hidden="0" customWidth="1"/>
    <x:col min="4" max="4" width="52" hidden="0" customWidth="1"/>
    <x:col min="5" max="5" width="14" hidden="0" customWidth="1"/>
    <x:col min="6" max="6" width="18" hidden="0" customWidth="1"/>
    <x:col min="7" max="7" width="22" hidden="0" customWidth="1"/>
    <x:col min="8" max="8" width="22" hidden="0" customWidth="1"/>
    <x:col min="9" max="9" width="19" hidden="0" customWidth="1"/>
    <x:col min="10" max="10" width="35" hidden="0" customWidth="1"/>
    <x:col min="11" max="11" width="37" hidden="0" customWidth="1"/>
    <x:col min="12" max="12" width="58" hidden="0" customWidth="1"/>
    <x:col min="13" max="13" width="64" hidden="0" customWidth="1"/>
    <x:col min="14" max="14" width="75" hidden="0" customWidth="1"/>
  </x:cols>
  <x:sheetData>
    <x:row r="2" ht="28" customHeight="1">
      <x:c r="A2" s="12" t="str">
        <x:v>Actores y atributos</x:v>
      </x:c>
      <x:c r="B2" s="13"/>
      <x:c r="C2" s="13"/>
      <x:c r="D2" s="13"/>
      <x:c r="E2" s="13"/>
      <x:c r="F2" s="13"/>
      <x:c r="G2" s="13"/>
      <x:c r="H2" s="13"/>
      <x:c r="I2" s="13"/>
      <x:c r="J2" s="13"/>
      <x:c r="K2" s="13"/>
      <x:c r="L2" s="13"/>
      <x:c r="M2" s="13"/>
      <x:c r="N2" s="13"/>
    </x:row>
    <x:row r="3" ht="23" customHeight="1">
      <x:c r="A3" s="14" t="str">
        <x:v>18 actores. Influence y dificultad: 1–10. Peso electoral: 0–10; cero excluye del componente social.</x:v>
      </x:c>
      <x:c r="B3" s="13"/>
      <x:c r="C3" s="13"/>
      <x:c r="D3" s="13"/>
      <x:c r="E3" s="13"/>
      <x:c r="F3" s="13"/>
      <x:c r="G3" s="13"/>
      <x:c r="H3" s="13"/>
      <x:c r="I3" s="13"/>
      <x:c r="J3" s="13"/>
      <x:c r="K3" s="13"/>
      <x:c r="L3" s="13"/>
      <x:c r="M3" s="13"/>
      <x:c r="N3" s="13"/>
    </x:row>
    <x:row r="4">
      <x:c r="A4" s="13"/>
      <x:c r="B4" s="13"/>
      <x:c r="C4" s="13"/>
      <x:c r="D4" s="13"/>
      <x:c r="E4" s="13"/>
      <x:c r="F4" s="13"/>
      <x:c r="G4" s="13"/>
      <x:c r="H4" s="13"/>
      <x:c r="I4" s="13"/>
      <x:c r="J4" s="13"/>
      <x:c r="K4" s="13"/>
      <x:c r="L4" s="13"/>
      <x:c r="M4" s="13"/>
      <x:c r="N4" s="13"/>
    </x:row>
    <x:row r="5" ht="42" customHeight="1">
      <x:c r="A5" s="15" t="str">
        <x:v>actorId</x:v>
      </x:c>
      <x:c r="B5" s="15" t="str">
        <x:v>Nombre</x:v>
      </x:c>
      <x:c r="C5" s="15" t="str">
        <x:v>Familia</x:v>
      </x:c>
      <x:c r="D5" s="15" t="str">
        <x:v>Descripción</x:v>
      </x:c>
      <x:c r="E5" s="15" t="str">
        <x:v>influence</x:v>
      </x:c>
      <x:c r="F5" s="15" t="str">
        <x:v>electoralWeight</x:v>
      </x:c>
      <x:c r="G5" s="15" t="str">
        <x:v>interactionDifficulty</x:v>
      </x:c>
      <x:c r="H5" s="15" t="str">
        <x:v>Satisfacción inicial</x:v>
      </x:c>
      <x:c r="I5" s="15" t="str">
        <x:v>Relación inicial</x:v>
      </x:c>
      <x:c r="J5" s="15" t="str">
        <x:v>Canal principal</x:v>
      </x:c>
      <x:c r="K5" s="15" t="str">
        <x:v>Canal secundario</x:v>
      </x:c>
      <x:c r="L5" s="15" t="str">
        <x:v>Satisfacción alta</x:v>
      </x:c>
      <x:c r="M5" s="15" t="str">
        <x:v>Satisfacción baja</x:v>
      </x:c>
      <x:c r="N5" s="15" t="str">
        <x:v>Notas de balance</x:v>
      </x:c>
    </x:row>
    <x:row r="6" ht="42" customHeight="1">
      <x:c r="A6" s="16" t="str">
        <x:v>industria</x:v>
      </x:c>
      <x:c r="B6" s="16" t="str">
        <x:v>Industria y grandes empresas</x:v>
      </x:c>
      <x:c r="C6" s="16" t="str">
        <x:v>Producción</x:v>
      </x:c>
      <x:c r="D6" s="16" t="str">
        <x:v>Crédito productivo, Actividad y empleo, Infraestructura operativa, Capacidad exportadora</x:v>
      </x:c>
      <x:c r="E6" s="22" t="n">
        <x:v>8</x:v>
      </x:c>
      <x:c r="F6" s="22" t="n">
        <x:v>5</x:v>
      </x:c>
      <x:c r="G6" s="22" t="n">
        <x:v>7</x:v>
      </x:c>
      <x:c r="H6" s="16"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I6" s="16" t="n">
        <x:v>45</x:v>
      </x:c>
      <x:c r="J6" s="16" t="str">
        <x:v>Inversión ejecutada</x:v>
      </x:c>
      <x:c r="K6" s="16" t="str">
        <x:v>Componente electoral ponderado</x:v>
      </x:c>
      <x:c r="L6" s="16" t="str">
        <x:v>Habilita cooperación si relación ≥55 y existe acuerdo pertinente</x:v>
      </x:c>
      <x:c r="M6" s="16" t="str">
        <x:v>Activa riesgo de conflicto si S&lt;35 y R&lt;45; crítico S&lt;20 incluso con buena R</x:v>
      </x:c>
      <x:c r="N6" s="16" t="str">
        <x:v>Inversión diferida y acotada. No rentabilidad financiera.</x:v>
      </x:c>
    </x:row>
    <x:row r="7" ht="42" customHeight="1">
      <x:c r="A7" s="17" t="str">
        <x:v>agro</x:v>
      </x:c>
      <x:c r="B7" s="17" t="str">
        <x:v>Sector agropecuario</x:v>
      </x:c>
      <x:c r="C7" s="17" t="str">
        <x:v>Producción</x:v>
      </x:c>
      <x:c r="D7" s="17" t="str">
        <x:v>Capacidad exportadora, Infraestructura operativa, Sostenibilidad ambiental, Crédito productivo</x:v>
      </x:c>
      <x:c r="E7" s="22" t="n">
        <x:v>7</x:v>
      </x:c>
      <x:c r="F7" s="22" t="n">
        <x:v>6</x:v>
      </x:c>
      <x:c r="G7" s="22" t="n">
        <x:v>6</x:v>
      </x:c>
      <x:c r="H7" s="17"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I7" s="17" t="n">
        <x:v>45</x:v>
      </x:c>
      <x:c r="J7" s="17" t="str">
        <x:v>Oferta exportable</x:v>
      </x:c>
      <x:c r="K7" s="17" t="str">
        <x:v>Componente electoral ponderado</x:v>
      </x:c>
      <x:c r="L7" s="17" t="str">
        <x:v>Habilita cooperación si relación ≥55 y existe acuerdo pertinente</x:v>
      </x:c>
      <x:c r="M7" s="17" t="str">
        <x:v>Activa riesgo de conflicto si S&lt;35 y R&lt;45; crítico S&lt;20 incluso con buena R</x:v>
      </x:c>
      <x:c r="N7" s="17" t="str">
        <x:v>Ambiente representa sostenibilidad productiva, no adhesión a toda regulación.</x:v>
      </x:c>
    </x:row>
    <x:row r="8" ht="57" customHeight="1">
      <x:c r="A8" s="16" t="str">
        <x:v>financiero</x:v>
      </x:c>
      <x:c r="B8" s="16" t="str">
        <x:v>Sector financiero</x:v>
      </x:c>
      <x:c r="C8" s="16" t="str">
        <x:v>Producción</x:v>
      </x:c>
      <x:c r="D8" s="16" t="str">
        <x:v>Margen fiscal estructural, Presión inflacionaria, Crédito productivo, Garantías e integridad pública</x:v>
      </x:c>
      <x:c r="E8" s="22" t="n">
        <x:v>8</x:v>
      </x:c>
      <x:c r="F8" s="22" t="n">
        <x:v>3</x:v>
      </x:c>
      <x:c r="G8" s="22" t="n">
        <x:v>8</x:v>
      </x:c>
      <x:c r="H8" s="16"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01_Indicadores'!$H$18,'01_Indicadores'!$H$18))/(ABS('03_Sensibilidades'!C14)+ABS('03_Sensibilidades'!C15)+ABS('03_Sensibilidades'!C16)+ABS('03_Sensibilidades'!C17))</x:f>
        <x:v>55</x:v>
      </x:c>
      <x:c r="I8" s="16" t="n">
        <x:v>45</x:v>
      </x:c>
      <x:c r="J8" s="16" t="str">
        <x:v>Oferta de crédito</x:v>
      </x:c>
      <x:c r="K8" s="16" t="str">
        <x:v>Componente electoral ponderado</x:v>
      </x:c>
      <x:c r="L8" s="16" t="str">
        <x:v>Habilita cooperación si relación ≥55 y existe acuerdo pertinente</x:v>
      </x:c>
      <x:c r="M8" s="16" t="str">
        <x:v>Activa riesgo de conflicto si S&lt;35 y R&lt;45; crítico S&lt;20 incluso con buena R</x:v>
      </x:c>
      <x:c r="N8" s="16" t="str">
        <x:v>Baja influence 9 a 8: limitar dominio sistémico y exposición.</x:v>
      </x:c>
    </x:row>
    <x:row r="9" ht="57" customHeight="1">
      <x:c r="A9" s="17" t="str">
        <x:v>sindicatos</x:v>
      </x:c>
      <x:c r="B9" s="17" t="str">
        <x:v>Sindicatos</x:v>
      </x:c>
      <x:c r="C9" s="17" t="str">
        <x:v>Trabajo</x:v>
      </x:c>
      <x:c r="D9" s="17" t="str">
        <x:v>Poder adquisitivo, Actividad y empleo, Protección social y vivienda, Garantías e integridad pública</x:v>
      </x:c>
      <x:c r="E9" s="22" t="n">
        <x:v>8</x:v>
      </x:c>
      <x:c r="F9" s="22" t="n">
        <x:v>7</x:v>
      </x:c>
      <x:c r="G9" s="22" t="n">
        <x:v>7</x:v>
      </x:c>
      <x:c r="H9" s="17"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01_Indicadores'!$H$18,'01_Indicadores'!$H$18))/(ABS('03_Sensibilidades'!C18)+ABS('03_Sensibilidades'!C19)+ABS('03_Sensibilidades'!C20)+ABS('03_Sensibilidades'!C21))</x:f>
        <x:v>47.93103448275862</x:v>
      </x:c>
      <x:c r="I9" s="17" t="n">
        <x:v>45</x:v>
      </x:c>
      <x:c r="J9" s="17" t="str">
        <x:v>Conflicto laboral</x:v>
      </x:c>
      <x:c r="K9" s="17" t="str">
        <x:v>Componente electoral ponderado</x:v>
      </x:c>
      <x:c r="L9" s="17" t="str">
        <x:v>Habilita cooperación si relación ≥55 y existe acuerdo pertinente</x:v>
      </x:c>
      <x:c r="M9" s="17" t="str">
        <x:v>Activa riesgo de conflicto si S&lt;35 y R&lt;45; crítico S&lt;20 incluso con buena R</x:v>
      </x:c>
      <x:c r="N9" s="17" t="str">
        <x:v>Empleo y salario pesan distinto, sin castigo por felicidad empresarial.</x:v>
      </x:c>
    </x:row>
    <x:row r="10" ht="42" customHeight="1">
      <x:c r="A10" s="16" t="str">
        <x:v>pymes</x:v>
      </x:c>
      <x:c r="B10" s="16" t="str">
        <x:v>PyMEs y comercio</x:v>
      </x:c>
      <x:c r="C10" s="16" t="str">
        <x:v>Producción</x:v>
      </x:c>
      <x:c r="D10" s="16" t="str">
        <x:v>Crédito productivo, Actividad y empleo, Infraestructura operativa, Presión inflacionaria</x:v>
      </x:c>
      <x:c r="E10" s="22" t="n">
        <x:v>6</x:v>
      </x:c>
      <x:c r="F10" s="22" t="n">
        <x:v>7</x:v>
      </x:c>
      <x:c r="G10" s="22" t="n">
        <x:v>5</x:v>
      </x:c>
      <x:c r="H10" s="16"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I10" s="16" t="n">
        <x:v>45</x:v>
      </x:c>
      <x:c r="J10" s="16" t="str">
        <x:v>Contratación y actividad local</x:v>
      </x:c>
      <x:c r="K10" s="16" t="str">
        <x:v>Componente electoral ponderado</x:v>
      </x:c>
      <x:c r="L10" s="16" t="str">
        <x:v>Habilita cooperación si relación ≥55 y existe acuerdo pertinente</x:v>
      </x:c>
      <x:c r="M10" s="16" t="str">
        <x:v>Activa riesgo de conflicto si S&lt;35 y R&lt;45; crítico S&lt;20 incluso con buena R</x:v>
      </x:c>
      <x:c r="N10" s="16" t="str">
        <x:v>Peso 6 a 7. Representa exposición electoral, no cantidad literal de empresas.</x:v>
      </x:c>
    </x:row>
    <x:row r="11" ht="42" customHeight="1">
      <x:c r="A11" s="17" t="str">
        <x:v>clase_media</x:v>
      </x:c>
      <x:c r="B11" s="17" t="str">
        <x:v>Hogares de ingresos medios</x:v>
      </x:c>
      <x:c r="C11" s="17" t="str">
        <x:v>Hogares</x:v>
      </x:c>
      <x:c r="D11" s="17" t="str">
        <x:v>Poder adquisitivo, Seguridad cotidiana, Educación, Presión inflacionaria</x:v>
      </x:c>
      <x:c r="E11" s="22" t="n">
        <x:v>5</x:v>
      </x:c>
      <x:c r="F11" s="22" t="n">
        <x:v>10</x:v>
      </x:c>
      <x:c r="G11" s="22" t="n">
        <x:v>4</x:v>
      </x:c>
      <x:c r="H11" s="17"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I11" s="17" t="n">
        <x:v>45</x:v>
      </x:c>
      <x:c r="J11" s="17" t="str">
        <x:v>Componente electoral</x:v>
      </x:c>
      <x:c r="K11" s="17" t="str">
        <x:v>Componente electoral ponderado</x:v>
      </x:c>
      <x:c r="L11" s="17" t="str">
        <x:v>Habilita cooperación si relación ≥55 y existe acuerdo pertinente</x:v>
      </x:c>
      <x:c r="M11" s="17" t="str">
        <x:v>Activa riesgo de conflicto si S&lt;35 y R&lt;45; crítico S&lt;20 incluso con buena R</x:v>
      </x:c>
      <x:c r="N11" s="17" t="str">
        <x:v>Influence 7 a 5: segmento difuso, no organización capaz de huelga unificada.</x:v>
      </x:c>
    </x:row>
    <x:row r="12" ht="57" customHeight="1">
      <x:c r="A12" s="16" t="str">
        <x:v>cooperativas</x:v>
      </x:c>
      <x:c r="B12" s="16" t="str">
        <x:v>Cooperativas y economía social</x:v>
      </x:c>
      <x:c r="C12" s="16" t="str">
        <x:v>Trabajo</x:v>
      </x:c>
      <x:c r="D12" s="16" t="str">
        <x:v>Crédito productivo, Actividad y empleo, Protección social y vivienda, Garantías e integridad pública</x:v>
      </x:c>
      <x:c r="E12" s="22" t="n">
        <x:v>4</x:v>
      </x:c>
      <x:c r="F12" s="22" t="n">
        <x:v>4</x:v>
      </x:c>
      <x:c r="G12" s="22" t="n">
        <x:v>4</x:v>
      </x:c>
      <x:c r="H12" s="16"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01_Indicadores'!$H$18,'01_Indicadores'!$H$18))/(ABS('03_Sensibilidades'!C30)+ABS('03_Sensibilidades'!C31)+ABS('03_Sensibilidades'!C32)+ABS('03_Sensibilidades'!C33))</x:f>
        <x:v>47.77777777777778</x:v>
      </x:c>
      <x:c r="I12" s="16" t="n">
        <x:v>45</x:v>
      </x:c>
      <x:c r="J12" s="16" t="str">
        <x:v>Redes de contención</x:v>
      </x:c>
      <x:c r="K12" s="16" t="str">
        <x:v>Componente electoral ponderado</x:v>
      </x:c>
      <x:c r="L12" s="16" t="str">
        <x:v>Habilita cooperación si relación ≥55 y existe acuerdo pertinente</x:v>
      </x:c>
      <x:c r="M12" s="16" t="str">
        <x:v>Activa riesgo de conflicto si S&lt;35 y R&lt;45; crítico S&lt;20 incluso con buena R</x:v>
      </x:c>
      <x:c r="N12" s="16" t="str">
        <x:v>Baja 5/5 a 4/4 por solapamiento con organizaciones sociales.</x:v>
      </x:c>
    </x:row>
    <x:row r="13" ht="42" customHeight="1">
      <x:c r="A13" s="17" t="str">
        <x:v>estudiantes</x:v>
      </x:c>
      <x:c r="B13" s="17" t="str">
        <x:v>Estudiantes</x:v>
      </x:c>
      <x:c r="C13" s="17" t="str">
        <x:v>Conocimiento</x:v>
      </x:c>
      <x:c r="D13" s="17" t="str">
        <x:v>Educación, Poder adquisitivo, Garantías e integridad pública, Ciencia e innovación</x:v>
      </x:c>
      <x:c r="E13" s="22" t="n">
        <x:v>5</x:v>
      </x:c>
      <x:c r="F13" s="22" t="n">
        <x:v>5</x:v>
      </x:c>
      <x:c r="G13" s="22" t="n">
        <x:v>3</x:v>
      </x:c>
      <x:c r="H13" s="17" t="n">
        <x:f>(ABS('03_Sensibilidades'!C34)*IF('03_Sensibilidades'!C34&lt;0,100-'01_Indicadores'!$H$13,'01_Indicadores'!$H$13)+ABS('03_Sensibilidades'!C35)*IF('03_Sensibilidades'!C35&lt;0,100-'01_Indicadores'!$H$8,'01_Indicadores'!$H$8)+ABS('03_Sensibilidades'!C36)*IF('03_Sensibilidades'!C36&lt;0,100-'01_Indicadores'!$H$18,'01_Indicadores'!$H$18)+ABS('03_Sensibilidades'!C37)*IF('03_Sensibilidades'!C37&lt;0,100-'01_Indicadores'!$H$17,'01_Indicadores'!$H$17))/(ABS('03_Sensibilidades'!C34)+ABS('03_Sensibilidades'!C35)+ABS('03_Sensibilidades'!C36)+ABS('03_Sensibilidades'!C37))</x:f>
        <x:v>49.2</x:v>
      </x:c>
      <x:c r="I13" s="17" t="n">
        <x:v>45</x:v>
      </x:c>
      <x:c r="J13" s="17" t="str">
        <x:v>Movilización estudiantil</x:v>
      </x:c>
      <x:c r="K13" s="17" t="str">
        <x:v>Componente electoral ponderado</x:v>
      </x:c>
      <x:c r="L13" s="17" t="str">
        <x:v>Habilita cooperación si relación ≥55 y existe acuerdo pertinente</x:v>
      </x:c>
      <x:c r="M13" s="17" t="str">
        <x:v>Activa riesgo de conflicto si S&lt;35 y R&lt;45; crítico S&lt;20 incluso con buena R</x:v>
      </x:c>
      <x:c r="N13" s="17" t="str">
        <x:v>Peso 6 a 5; movilización retrasa ejecución, no castiga votos dos veces.</x:v>
      </x:c>
    </x:row>
    <x:row r="14" ht="42" customHeight="1">
      <x:c r="A14" s="16" t="str">
        <x:v>docentes</x:v>
      </x:c>
      <x:c r="B14" s="16" t="str">
        <x:v>Docentes</x:v>
      </x:c>
      <x:c r="C14" s="16" t="str">
        <x:v>Conocimiento</x:v>
      </x:c>
      <x:c r="D14" s="16" t="str">
        <x:v>Educación, Poder adquisitivo, Garantías e integridad pública</x:v>
      </x:c>
      <x:c r="E14" s="22" t="n">
        <x:v>6</x:v>
      </x:c>
      <x:c r="F14" s="22" t="n">
        <x:v>6</x:v>
      </x:c>
      <x:c r="G14" s="22" t="n">
        <x:v>5</x:v>
      </x:c>
      <x:c r="H14" s="16" t="n">
        <x:f>(ABS('03_Sensibilidades'!C38)*IF('03_Sensibilidades'!C38&lt;0,100-'01_Indicadores'!$H$13,'01_Indicadores'!$H$13)+ABS('03_Sensibilidades'!C39)*IF('03_Sensibilidades'!C39&lt;0,100-'01_Indicadores'!$H$8,'01_Indicadores'!$H$8)+ABS('03_Sensibilidades'!C40)*IF('03_Sensibilidades'!C40&lt;0,100-'01_Indicadores'!$H$18,'01_Indicadores'!$H$18))/(ABS('03_Sensibilidades'!C38)+ABS('03_Sensibilidades'!C39)+ABS('03_Sensibilidades'!C40))</x:f>
        <x:v>48.91304347826087</x:v>
      </x:c>
      <x:c r="I14" s="16" t="n">
        <x:v>45</x:v>
      </x:c>
      <x:c r="J14" s="16" t="str">
        <x:v>Continuidad educativa</x:v>
      </x:c>
      <x:c r="K14" s="16" t="str">
        <x:v>Componente electoral ponderado</x:v>
      </x:c>
      <x:c r="L14" s="16" t="str">
        <x:v>Habilita cooperación si relación ≥55 y existe acuerdo pertinente</x:v>
      </x:c>
      <x:c r="M14" s="16" t="str">
        <x:v>Activa riesgo de conflicto si S&lt;35 y R&lt;45; crítico S&lt;20 incluso con buena R</x:v>
      </x:c>
      <x:c r="N14" s="16" t="str">
        <x:v>Canal separado de conflicto laboral general; cap por indicador.</x:v>
      </x:c>
    </x:row>
    <x:row r="15" ht="42" customHeight="1">
      <x:c r="A15" s="17" t="str">
        <x:v>cientificos</x:v>
      </x:c>
      <x:c r="B15" s="17" t="str">
        <x:v>Científicos e investigadores</x:v>
      </x:c>
      <x:c r="C15" s="17" t="str">
        <x:v>Conocimiento</x:v>
      </x:c>
      <x:c r="D15" s="17" t="str">
        <x:v>Ciencia e innovación, Educación, Garantías e integridad pública</x:v>
      </x:c>
      <x:c r="E15" s="22" t="n">
        <x:v>4</x:v>
      </x:c>
      <x:c r="F15" s="22" t="n">
        <x:v>2</x:v>
      </x:c>
      <x:c r="G15" s="22" t="n">
        <x:v>5</x:v>
      </x:c>
      <x:c r="H15" s="17" t="n">
        <x:f>(ABS('03_Sensibilidades'!C41)*IF('03_Sensibilidades'!C41&lt;0,100-'01_Indicadores'!$H$17,'01_Indicadores'!$H$17)+ABS('03_Sensibilidades'!C42)*IF('03_Sensibilidades'!C42&lt;0,100-'01_Indicadores'!$H$13,'01_Indicadores'!$H$13)+ABS('03_Sensibilidades'!C43)*IF('03_Sensibilidades'!C43&lt;0,100-'01_Indicadores'!$H$18,'01_Indicadores'!$H$18))/(ABS('03_Sensibilidades'!C41)+ABS('03_Sensibilidades'!C42)+ABS('03_Sensibilidades'!C43))</x:f>
        <x:v>46.59090909090909</x:v>
      </x:c>
      <x:c r="I15" s="17" t="n">
        <x:v>45</x:v>
      </x:c>
      <x:c r="J15" s="17" t="str">
        <x:v>Continuidad de equipos</x:v>
      </x:c>
      <x:c r="K15" s="17" t="str">
        <x:v>Componente electoral ponderado</x:v>
      </x:c>
      <x:c r="L15" s="17" t="str">
        <x:v>Habilita cooperación si relación ≥55 y existe acuerdo pertinente</x:v>
      </x:c>
      <x:c r="M15" s="17" t="str">
        <x:v>Activa riesgo de conflicto si S&lt;35 y R&lt;45; crítico S&lt;20 incluso con buena R</x:v>
      </x:c>
      <x:c r="N15" s="17" t="str">
        <x:v>6/3 a 4/2. Retorno demorado; no misma presión coyuntural que sindicatos.</x:v>
      </x:c>
    </x:row>
    <x:row r="16" ht="42" customHeight="1">
      <x:c r="A16" s="16" t="str">
        <x:v>organizaciones</x:v>
      </x:c>
      <x:c r="B16" s="16" t="str">
        <x:v>Organizaciones sociales</x:v>
      </x:c>
      <x:c r="C16" s="16" t="str">
        <x:v>Sociedad civil</x:v>
      </x:c>
      <x:c r="D16" s="16" t="str">
        <x:v>Protección social y vivienda, Salud, Actividad y empleo, Garantías e integridad pública</x:v>
      </x:c>
      <x:c r="E16" s="22" t="n">
        <x:v>6</x:v>
      </x:c>
      <x:c r="F16" s="22" t="n">
        <x:v>6</x:v>
      </x:c>
      <x:c r="G16" s="22" t="n">
        <x:v>5</x:v>
      </x:c>
      <x:c r="H16" s="16"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01_Indicadores'!$H$18,'01_Indicadores'!$H$18))/(ABS('03_Sensibilidades'!C44)+ABS('03_Sensibilidades'!C45)+ABS('03_Sensibilidades'!C46)+ABS('03_Sensibilidades'!C47))</x:f>
        <x:v>49.107142857142854</x:v>
      </x:c>
      <x:c r="I16" s="16" t="n">
        <x:v>45</x:v>
      </x:c>
      <x:c r="J16" s="16" t="str">
        <x:v>Contención y movilización</x:v>
      </x:c>
      <x:c r="K16" s="16" t="str">
        <x:v>Componente electoral ponderado</x:v>
      </x:c>
      <x:c r="L16" s="16" t="str">
        <x:v>Habilita cooperación si relación ≥55 y existe acuerdo pertinente</x:v>
      </x:c>
      <x:c r="M16" s="16" t="str">
        <x:v>Activa riesgo de conflicto si S&lt;35 y R&lt;45; crítico S&lt;20 incluso con buena R</x:v>
      </x:c>
      <x:c r="N16" s="16" t="str">
        <x:v>Representación imperfecta de hogares vulnerables: riesgo a validar.</x:v>
      </x:c>
    </x:row>
    <x:row r="17" ht="42" customHeight="1">
      <x:c r="A17" s="17" t="str">
        <x:v>ddhh</x:v>
      </x:c>
      <x:c r="B17" s="17" t="str">
        <x:v>Organizaciones de derechos</x:v>
      </x:c>
      <x:c r="C17" s="17" t="str">
        <x:v>Sociedad civil</x:v>
      </x:c>
      <x:c r="D17" s="17" t="str">
        <x:v>Garantías e integridad pública, Seguridad cotidiana, Protección social y vivienda</x:v>
      </x:c>
      <x:c r="E17" s="22" t="n">
        <x:v>5</x:v>
      </x:c>
      <x:c r="F17" s="22" t="n">
        <x:v>3</x:v>
      </x:c>
      <x:c r="G17" s="22" t="n">
        <x:v>6</x:v>
      </x:c>
      <x:c r="H17" s="17" t="n">
        <x:f>(ABS('03_Sensibilidades'!C48)*IF('03_Sensibilidades'!C48&lt;0,100-'01_Indicadores'!$H$18,'01_Indicadores'!$H$18)+ABS('03_Sensibilidades'!C49)*IF('03_Sensibilidades'!C49&lt;0,100-'01_Indicadores'!$H$16,'01_Indicadores'!$H$16)+ABS('03_Sensibilidades'!C50)*IF('03_Sensibilidades'!C50&lt;0,100-'01_Indicadores'!$H$15,'01_Indicadores'!$H$15))/(ABS('03_Sensibilidades'!C48)+ABS('03_Sensibilidades'!C49)+ABS('03_Sensibilidades'!C50))</x:f>
        <x:v>50.88235294117647</x:v>
      </x:c>
      <x:c r="I17" s="17" t="n">
        <x:v>45</x:v>
      </x:c>
      <x:c r="J17" s="17" t="str">
        <x:v>Control institucional</x:v>
      </x:c>
      <x:c r="K17" s="17" t="str">
        <x:v>Componente electoral ponderado</x:v>
      </x:c>
      <x:c r="L17" s="17" t="str">
        <x:v>Habilita cooperación si relación ≥55 y existe acuerdo pertinente</x:v>
      </x:c>
      <x:c r="M17" s="17" t="str">
        <x:v>Activa riesgo de conflicto si S&lt;35 y R&lt;45; crítico S&lt;20 incluso con buena R</x:v>
      </x:c>
      <x:c r="N17" s="17" t="str">
        <x:v>6/5 a 5/3; observan garantías, no son propietarios del indicador.</x:v>
      </x:c>
    </x:row>
    <x:row r="18" ht="42" customHeight="1">
      <x:c r="A18" s="16" t="str">
        <x:v>ambientalistas</x:v>
      </x:c>
      <x:c r="B18" s="16" t="str">
        <x:v>Organizaciones ambientales</x:v>
      </x:c>
      <x:c r="C18" s="16" t="str">
        <x:v>Sociedad civil</x:v>
      </x:c>
      <x:c r="D18" s="16" t="str">
        <x:v>Sostenibilidad ambiental, Garantías e integridad pública, Salud</x:v>
      </x:c>
      <x:c r="E18" s="22" t="n">
        <x:v>4</x:v>
      </x:c>
      <x:c r="F18" s="22" t="n">
        <x:v>3</x:v>
      </x:c>
      <x:c r="G18" s="22" t="n">
        <x:v>5</x:v>
      </x:c>
      <x:c r="H18" s="16" t="n">
        <x:f>(ABS('03_Sensibilidades'!C51)*IF('03_Sensibilidades'!C51&lt;0,100-'01_Indicadores'!$H$19,'01_Indicadores'!$H$19)+ABS('03_Sensibilidades'!C52)*IF('03_Sensibilidades'!C52&lt;0,100-'01_Indicadores'!$H$18,'01_Indicadores'!$H$18)+ABS('03_Sensibilidades'!C53)*IF('03_Sensibilidades'!C53&lt;0,100-'01_Indicadores'!$H$14,'01_Indicadores'!$H$14))/(ABS('03_Sensibilidades'!C51)+ABS('03_Sensibilidades'!C52)+ABS('03_Sensibilidades'!C53))</x:f>
        <x:v>51.388888888888886</x:v>
      </x:c>
      <x:c r="I18" s="16" t="n">
        <x:v>45</x:v>
      </x:c>
      <x:c r="J18" s="16" t="str">
        <x:v>Condiciones de viabilidad</x:v>
      </x:c>
      <x:c r="K18" s="16" t="str">
        <x:v>Componente electoral ponderado</x:v>
      </x:c>
      <x:c r="L18" s="16" t="str">
        <x:v>Habilita cooperación si relación ≥55 y existe acuerdo pertinente</x:v>
      </x:c>
      <x:c r="M18" s="16" t="str">
        <x:v>Activa riesgo de conflicto si S&lt;35 y R&lt;45; crítico S&lt;20 incluso con buena R</x:v>
      </x:c>
      <x:c r="N18" s="16" t="str">
        <x:v>6/5 a 4/3; inciden en obra de riesgo, no bloquean todo el Estado.</x:v>
      </x:c>
    </x:row>
    <x:row r="19" ht="42" customHeight="1">
      <x:c r="A19" s="17" t="str">
        <x:v>cultura</x:v>
      </x:c>
      <x:c r="B19" s="17" t="str">
        <x:v>Sector cultural</x:v>
      </x:c>
      <x:c r="C19" s="17" t="str">
        <x:v>Sociedad civil</x:v>
      </x:c>
      <x:c r="D19" s="17" t="str">
        <x:v>Garantías e integridad pública, Educación, Poder adquisitivo</x:v>
      </x:c>
      <x:c r="E19" s="22" t="n">
        <x:v>4</x:v>
      </x:c>
      <x:c r="F19" s="22" t="n">
        <x:v>3</x:v>
      </x:c>
      <x:c r="G19" s="22" t="n">
        <x:v>4</x:v>
      </x:c>
      <x:c r="H19" s="17" t="n">
        <x:f>(ABS('03_Sensibilidades'!C54)*IF('03_Sensibilidades'!C54&lt;0,100-'01_Indicadores'!$H$18,'01_Indicadores'!$H$18)+ABS('03_Sensibilidades'!C55)*IF('03_Sensibilidades'!C55&lt;0,100-'01_Indicadores'!$H$13,'01_Indicadores'!$H$13)+ABS('03_Sensibilidades'!C56)*IF('03_Sensibilidades'!C56&lt;0,100-'01_Indicadores'!$H$8,'01_Indicadores'!$H$8))/(ABS('03_Sensibilidades'!C54)+ABS('03_Sensibilidades'!C55)+ABS('03_Sensibilidades'!C56))</x:f>
        <x:v>50.78947368421053</x:v>
      </x:c>
      <x:c r="I19" s="17" t="n">
        <x:v>45</x:v>
      </x:c>
      <x:c r="J19" s="17" t="str">
        <x:v>Agenda y deliberación</x:v>
      </x:c>
      <x:c r="K19" s="17" t="str">
        <x:v>Componente electoral ponderado</x:v>
      </x:c>
      <x:c r="L19" s="17" t="str">
        <x:v>Habilita cooperación si relación ≥55 y existe acuerdo pertinente</x:v>
      </x:c>
      <x:c r="M19" s="17" t="str">
        <x:v>Activa riesgo de conflicto si S&lt;35 y R&lt;45; crítico S&lt;20 incluso con buena R</x:v>
      </x:c>
      <x:c r="N19" s="17" t="str">
        <x:v>5/4 a 4/3. Canal de información; sin popularidad extra.</x:v>
      </x:c>
    </x:row>
    <x:row r="20" ht="57" customHeight="1">
      <x:c r="A20" s="16" t="str">
        <x:v>oficialismo</x:v>
      </x:c>
      <x:c r="B20" s="16" t="str">
        <x:v>Oficialismo / partido propio</x:v>
      </x:c>
      <x:c r="C20" s="16" t="str">
        <x:v>Política</x:v>
      </x:c>
      <x:c r="D20" s="16" t="str">
        <x:v>Garantías e integridad pública, Actividad y empleo, Margen fiscal estructural, Protección social y vivienda</x:v>
      </x:c>
      <x:c r="E20" s="22" t="n">
        <x:v>8</x:v>
      </x:c>
      <x:c r="F20" s="22" t="n">
        <x:v>0</x:v>
      </x:c>
      <x:c r="G20" s="22" t="n">
        <x:v>4</x:v>
      </x:c>
      <x:c r="H20" s="16" t="n">
        <x:f>(ABS('03_Sensibilidades'!C57)*IF('03_Sensibilidades'!C57&lt;0,100-'01_Indicadores'!$H$18,'01_Indicadores'!$H$18)+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52.12</x:v>
      </x:c>
      <x:c r="I20" s="16" t="n">
        <x:v>60</x:v>
      </x:c>
      <x:c r="J20" s="16" t="str">
        <x:v>Disciplina de bancada</x:v>
      </x:c>
      <x:c r="K20" s="16" t="str">
        <x:v>Ninguno electoral en v0.1</x:v>
      </x:c>
      <x:c r="L20" s="16" t="str">
        <x:v>Habilita cooperación si relación ≥55 y existe acuerdo pertinente</x:v>
      </x:c>
      <x:c r="M20" s="16" t="str">
        <x:v>Activa riesgo de conflicto si S&lt;35 y R&lt;45; crítico S&lt;20 incluso con buena R</x:v>
      </x:c>
      <x:c r="N20" s="16" t="str">
        <x:v>Peso 7 a 0: estructura política se canaliza por bancas, no vuelve a sumar al voto social.</x:v>
      </x:c>
    </x:row>
    <x:row r="21" ht="42" customHeight="1">
      <x:c r="A21" s="17" t="str">
        <x:v>aliados</x:v>
      </x:c>
      <x:c r="B21" s="17" t="str">
        <x:v>Aliados / coalición</x:v>
      </x:c>
      <x:c r="C21" s="17" t="str">
        <x:v>Política</x:v>
      </x:c>
      <x:c r="D21" s="17" t="str">
        <x:v>Garantías e integridad pública, Margen fiscal estructural, Infraestructura operativa</x:v>
      </x:c>
      <x:c r="E21" s="22" t="n">
        <x:v>7</x:v>
      </x:c>
      <x:c r="F21" s="22" t="n">
        <x:v>0</x:v>
      </x:c>
      <x:c r="G21" s="22" t="n">
        <x:v>7</x:v>
      </x:c>
      <x:c r="H21" s="17" t="n">
        <x:f>(ABS('03_Sensibilidades'!C61)*IF('03_Sensibilidades'!C61&lt;0,100-'01_Indicadores'!$H$18,'01_Indicadores'!$H$18)+ABS('03_Sensibilidades'!C62)*IF('03_Sensibilidades'!C62&lt;0,100-'01_Indicadores'!$H$10,'01_Indicadores'!$H$10)+ABS('03_Sensibilidades'!C63)*IF('03_Sensibilidades'!C63&lt;0,100-'01_Indicadores'!$H$12,'01_Indicadores'!$H$12))/(ABS('03_Sensibilidades'!C61)+ABS('03_Sensibilidades'!C62)+ABS('03_Sensibilidades'!C63))</x:f>
        <x:v>53.142857142857146</x:v>
      </x:c>
      <x:c r="I21" s="17" t="n">
        <x:v>45</x:v>
      </x:c>
      <x:c r="J21" s="17" t="str">
        <x:v>Cooperación parlamentaria</x:v>
      </x:c>
      <x:c r="K21" s="17" t="str">
        <x:v>Ninguno electoral en v0.1</x:v>
      </x:c>
      <x:c r="L21" s="17" t="str">
        <x:v>Habilita cooperación si relación ≥55 y existe acuerdo pertinente</x:v>
      </x:c>
      <x:c r="M21" s="17" t="str">
        <x:v>Activa riesgo de conflicto si S&lt;35 y R&lt;45; crítico S&lt;20 incluso con buena R</x:v>
      </x:c>
      <x:c r="N21" s="17" t="str">
        <x:v>Peso 4 a 0. Bancas 15; el acuerdo activa su disposición, no satisfacción comprada.</x:v>
      </x:c>
    </x:row>
    <x:row r="22" ht="42" customHeight="1">
      <x:c r="A22" s="16" t="str">
        <x:v>oposicion</x:v>
      </x:c>
      <x:c r="B22" s="16" t="str">
        <x:v>Oposición democrática</x:v>
      </x:c>
      <x:c r="C22" s="16" t="str">
        <x:v>Política</x:v>
      </x:c>
      <x:c r="D22" s="16" t="str">
        <x:v>Garantías e integridad pública, Margen fiscal estructural, Seguridad cotidiana</x:v>
      </x:c>
      <x:c r="E22" s="22" t="n">
        <x:v>7</x:v>
      </x:c>
      <x:c r="F22" s="22" t="n">
        <x:v>0</x:v>
      </x:c>
      <x:c r="G22" s="22" t="n">
        <x:v>8</x:v>
      </x:c>
      <x:c r="H22" s="16" t="n">
        <x:f>(ABS('03_Sensibilidades'!C64)*IF('03_Sensibilidades'!C64&lt;0,100-'01_Indicadores'!$H$18,'01_Indicadores'!$H$18)+ABS('03_Sensibilidades'!C65)*IF('03_Sensibilidades'!C65&lt;0,100-'01_Indicadores'!$H$10,'01_Indicadores'!$H$10)+ABS('03_Sensibilidades'!C66)*IF('03_Sensibilidades'!C66&lt;0,100-'01_Indicadores'!$H$16,'01_Indicadores'!$H$16))/(ABS('03_Sensibilidades'!C64)+ABS('03_Sensibilidades'!C65)+ABS('03_Sensibilidades'!C66))</x:f>
        <x:v>53.9</x:v>
      </x:c>
      <x:c r="I22" s="16" t="n">
        <x:v>30</x:v>
      </x:c>
      <x:c r="J22" s="16" t="str">
        <x:v>Negociación institucional</x:v>
      </x:c>
      <x:c r="K22" s="16" t="str">
        <x:v>Ninguno electoral en v0.1</x:v>
      </x:c>
      <x:c r="L22" s="16" t="str">
        <x:v>Habilita cooperación si relación ≥55 y existe acuerdo pertinente</x:v>
      </x:c>
      <x:c r="M22" s="16" t="str">
        <x:v>Activa riesgo de conflicto si S&lt;35 y R&lt;45; crítico S&lt;20 incluso con buena R</x:v>
      </x:c>
      <x:c r="N22" s="16" t="str">
        <x:v>Peso 7 a 0. Satisfecha con garantías no significa apoyo al Ejecutivo. Bancas 45.</x:v>
      </x:c>
    </x:row>
    <x:row r="23" ht="42" customHeight="1">
      <x:c r="A23" s="17" t="str">
        <x:v>gobernadores</x:v>
      </x:c>
      <x:c r="B23" s="17" t="str">
        <x:v>Gobernadores y provincias</x:v>
      </x:c>
      <x:c r="C23" s="17" t="str">
        <x:v>Política</x:v>
      </x:c>
      <x:c r="D23" s="17" t="str">
        <x:v>Infraestructura operativa, Salud, Educación, Margen fiscal estructural</x:v>
      </x:c>
      <x:c r="E23" s="22" t="n">
        <x:v>8</x:v>
      </x:c>
      <x:c r="F23" s="22" t="n">
        <x:v>0</x:v>
      </x:c>
      <x:c r="G23" s="22" t="n">
        <x:v>7</x:v>
      </x:c>
      <x:c r="H23" s="17"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I23" s="17" t="n">
        <x:v>45</x:v>
      </x:c>
      <x:c r="J23" s="17" t="str">
        <x:v>Ejecución federal</x:v>
      </x:c>
      <x:c r="K23" s="17" t="str">
        <x:v>Ninguno electoral en v0.1</x:v>
      </x:c>
      <x:c r="L23" s="17" t="str">
        <x:v>Habilita cooperación si relación ≥55 y existe acuerdo pertinente</x:v>
      </x:c>
      <x:c r="M23" s="17" t="str">
        <x:v>Activa riesgo de conflicto si S&lt;35 y R&lt;45; crítico S&lt;20 incluso con buena R</x:v>
      </x:c>
      <x:c r="N23" s="17" t="str">
        <x:v>Peso 8 a 0: la implementación afecta resultados, sin sumar de nuevo votos territoriales.</x:v>
      </x:c>
    </x:row>
  </x:sheetData>
  <x:dataValidations count="3">
    <x:dataValidation type="whole" operator="between" sqref="E6:E23">
      <x:formula1>1</x:formula1>
      <x:formula2>10</x:formula2>
    </x:dataValidation>
    <x:dataValidation type="whole" operator="between" sqref="F6:F23">
      <x:formula1>0</x:formula1>
      <x:formula2>10</x:formula2>
    </x:dataValidation>
    <x:dataValidation type="whole" operator="between" sqref="G6:G23">
      <x:formula1>1</x:formula1>
      <x:formula2>10</x:formula2>
    </x:dataValidation>
  </x:dataValidations>
  <x:pageMargins left="0.7" right="0.7" top="0.75" bottom="0.75" header="0.3" footer="0.3"/>
  <x:tableParts count="1">
    <x:tablePart xmlns:r="http://schemas.openxmlformats.org/officeDocument/2006/relationships" r:id="Rb5e9340649b0475f"/>
  </x:tableParts>
</x:worksheet>
</file>

<file path=xl/worksheets/sheet4.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3" hidden="0" customWidth="1"/>
    <x:col min="2" max="2" width="24" hidden="0" customWidth="1"/>
    <x:col min="3" max="3" width="20" hidden="0" customWidth="1"/>
    <x:col min="4" max="4" width="20" hidden="0" customWidth="1"/>
    <x:col min="5" max="5" width="27" hidden="0" customWidth="1"/>
    <x:col min="6" max="6" width="92" hidden="0" customWidth="1"/>
  </x:cols>
  <x:sheetData>
    <x:row r="2" ht="28" customHeight="1">
      <x:c r="A2" s="12" t="str">
        <x:v>Qué observa cada actor</x:v>
      </x:c>
      <x:c r="B2" s="13"/>
      <x:c r="C2" s="13"/>
      <x:c r="D2" s="13"/>
      <x:c r="E2" s="13"/>
      <x:c r="F2" s="13"/>
    </x:row>
    <x:row r="3" ht="23" customHeight="1">
      <x:c r="A3" s="14" t="str">
        <x:v>S*=SUM(|w|×utilidad)/SUM(|w|). S(t)=0,65×S(t−1)+0,35×S*. Utilidad negativa: 100−indicador.</x:v>
      </x:c>
      <x:c r="B3" s="13"/>
      <x:c r="C3" s="13"/>
      <x:c r="D3" s="13"/>
      <x:c r="E3" s="13"/>
      <x:c r="F3" s="13"/>
    </x:row>
    <x:row r="4">
      <x:c r="A4" s="13"/>
      <x:c r="B4" s="13"/>
      <x:c r="C4" s="13"/>
      <x:c r="D4" s="13"/>
      <x:c r="E4" s="13"/>
      <x:c r="F4" s="13"/>
    </x:row>
    <x:row r="5" ht="42" customHeight="1">
      <x:c r="A5" s="15" t="str">
        <x:v>actorId</x:v>
      </x:c>
      <x:c r="B5" s="15" t="str">
        <x:v>indicatorId</x:v>
      </x:c>
      <x:c r="C5" s="15" t="str">
        <x:v>Sensibilidad</x:v>
      </x:c>
      <x:c r="D5" s="15" t="str">
        <x:v>Prioridad</x:v>
      </x:c>
      <x:c r="E5" s="15" t="str">
        <x:v>Dirección</x:v>
      </x:c>
      <x:c r="F5" s="15" t="str">
        <x:v>Explicación</x:v>
      </x:c>
    </x:row>
    <x:row r="6" ht="42" customHeight="1">
      <x:c r="A6" s="16" t="str">
        <x:v>industria</x:v>
      </x:c>
      <x:c r="B6" s="16" t="str">
        <x:v>credito</x:v>
      </x:c>
      <x:c r="C6" s="22" t="n">
        <x:v>8</x:v>
      </x:c>
      <x:c r="D6" s="16" t="str">
        <x:v>Alta</x:v>
      </x:c>
      <x:c r="E6" s="16" t="str">
        <x:v>Mayor es mejor</x:v>
      </x:c>
      <x:c r="F6" s="16" t="str">
        <x:v>Peso 8 sobre la suma absoluta del actor. Acceso efectivo de hogares y empresas a financiamiento sostenible. No rentabilidad bancaria ni tasa de interés.</x:v>
      </x:c>
    </x:row>
    <x:row r="7" ht="42" customHeight="1">
      <x:c r="A7" s="17" t="str">
        <x:v>industria</x:v>
      </x:c>
      <x:c r="B7" s="17" t="str">
        <x:v>actividad</x:v>
      </x:c>
      <x:c r="C7" s="22" t="n">
        <x:v>8</x:v>
      </x:c>
      <x:c r="D7" s="17" t="str">
        <x:v>Alta</x:v>
      </x:c>
      <x:c r="E7" s="17" t="str">
        <x:v>Mayor es mejor</x:v>
      </x:c>
      <x:c r="F7" s="17" t="str">
        <x:v>Peso 8 sobre la suma absoluta del actor. Oportunidades productivas y laborales. Proxy único de producción y absorción de trabajo.</x:v>
      </x:c>
    </x:row>
    <x:row r="8" ht="42" customHeight="1">
      <x:c r="A8" s="16" t="str">
        <x:v>industria</x:v>
      </x:c>
      <x:c r="B8" s="16" t="str">
        <x:v>infraestructura</x:v>
      </x:c>
      <x:c r="C8" s="22" t="n">
        <x:v>7</x:v>
      </x:c>
      <x:c r="D8" s="16" t="str">
        <x:v>Alta</x:v>
      </x:c>
      <x:c r="E8" s="16" t="str">
        <x:v>Mayor es mejor</x:v>
      </x:c>
      <x:c r="F8" s="16" t="str">
        <x:v>Peso 7 sobre la suma absoluta del actor. Disponibilidad de redes de transporte, agua, energía y conectividad en condiciones de uso.</x:v>
      </x:c>
    </x:row>
    <x:row r="9" ht="42" customHeight="1">
      <x:c r="A9" s="17" t="str">
        <x:v>industria</x:v>
      </x:c>
      <x:c r="B9" s="17" t="str">
        <x:v>externo</x:v>
      </x:c>
      <x:c r="C9" s="22" t="n">
        <x:v>4</x:v>
      </x:c>
      <x:c r="D9" s="17" t="str">
        <x:v>Secundaria</x:v>
      </x:c>
      <x:c r="E9" s="17" t="str">
        <x:v>Mayor es mejor</x:v>
      </x:c>
      <x:c r="F9" s="17" t="str">
        <x:v>Peso 4 sobre la suma absoluta del actor. Capacidad de vender al exterior y sostener el abastecimiento externo. Proxy de competitividad y logística.</x:v>
      </x:c>
    </x:row>
    <x:row r="10" ht="42" customHeight="1">
      <x:c r="A10" s="16" t="str">
        <x:v>agro</x:v>
      </x:c>
      <x:c r="B10" s="16" t="str">
        <x:v>externo</x:v>
      </x:c>
      <x:c r="C10" s="22" t="n">
        <x:v>10</x:v>
      </x:c>
      <x:c r="D10" s="16" t="str">
        <x:v>Crítica</x:v>
      </x:c>
      <x:c r="E10" s="16" t="str">
        <x:v>Mayor es mejor</x:v>
      </x:c>
      <x:c r="F10" s="16" t="str">
        <x:v>Peso 10 sobre la suma absoluta del actor. Capacidad de vender al exterior y sostener el abastecimiento externo. Proxy de competitividad y logística.</x:v>
      </x:c>
    </x:row>
    <x:row r="11" ht="42" customHeight="1">
      <x:c r="A11" s="17" t="str">
        <x:v>agro</x:v>
      </x:c>
      <x:c r="B11" s="17" t="str">
        <x:v>infraestructura</x:v>
      </x:c>
      <x:c r="C11" s="22" t="n">
        <x:v>8</x:v>
      </x:c>
      <x:c r="D11" s="17" t="str">
        <x:v>Alta</x:v>
      </x:c>
      <x:c r="E11" s="17" t="str">
        <x:v>Mayor es mejor</x:v>
      </x:c>
      <x:c r="F11" s="17" t="str">
        <x:v>Peso 8 sobre la suma absoluta del actor. Disponibilidad de redes de transporte, agua, energía y conectividad en condiciones de uso.</x:v>
      </x:c>
    </x:row>
    <x:row r="12" ht="42" customHeight="1">
      <x:c r="A12" s="16" t="str">
        <x:v>agro</x:v>
      </x:c>
      <x:c r="B12" s="16" t="str">
        <x:v>ambiente</x:v>
      </x:c>
      <x:c r="C12" s="22" t="n">
        <x:v>5</x:v>
      </x:c>
      <x:c r="D12" s="16" t="str">
        <x:v>Secundaria</x:v>
      </x:c>
      <x:c r="E12" s="16" t="str">
        <x:v>Mayor es mejor</x:v>
      </x:c>
      <x:c r="F12" s="16" t="str">
        <x:v>Peso 5 sobre la suma absoluta del actor. Estado ambiental y capacidad de sostener proyectos sin daños acumulados.</x:v>
      </x:c>
    </x:row>
    <x:row r="13" ht="42" customHeight="1">
      <x:c r="A13" s="17" t="str">
        <x:v>agro</x:v>
      </x:c>
      <x:c r="B13" s="17" t="str">
        <x:v>credito</x:v>
      </x:c>
      <x:c r="C13" s="22" t="n">
        <x:v>5</x:v>
      </x:c>
      <x:c r="D13" s="17" t="str">
        <x:v>Secundaria</x:v>
      </x:c>
      <x:c r="E13" s="17" t="str">
        <x:v>Mayor es mejor</x:v>
      </x:c>
      <x:c r="F13" s="17" t="str">
        <x:v>Peso 5 sobre la suma absoluta del actor. Acceso efectivo de hogares y empresas a financiamiento sostenible. No rentabilidad bancaria ni tasa de interés.</x:v>
      </x:c>
    </x:row>
    <x:row r="14" ht="42" customHeight="1">
      <x:c r="A14" s="16" t="str">
        <x:v>financiero</x:v>
      </x:c>
      <x:c r="B14" s="16" t="str">
        <x:v>fiscal</x:v>
      </x:c>
      <x:c r="C14" s="22" t="n">
        <x:v>10</x:v>
      </x:c>
      <x:c r="D14" s="16" t="str">
        <x:v>Crítica</x:v>
      </x:c>
      <x:c r="E14" s="16" t="str">
        <x:v>Mayor es mejor</x:v>
      </x:c>
      <x:c r="F14" s="16" t="str">
        <x:v>Peso 10 sobre la suma absoluta del actor. Índice derivado de ingresos, gasto recurrente, intereses y exposición de deuda. Nunca se modifica con un efecto directo.</x:v>
      </x:c>
    </x:row>
    <x:row r="15" ht="42" customHeight="1">
      <x:c r="A15" s="17" t="str">
        <x:v>financiero</x:v>
      </x:c>
      <x:c r="B15" s="17" t="str">
        <x:v>inflacion</x:v>
      </x:c>
      <x:c r="C15" s="22" t="n">
        <x:v>-8</x:v>
      </x:c>
      <x:c r="D15" s="17" t="str">
        <x:v>Alta</x:v>
      </x:c>
      <x:c r="E15" s="17" t="str">
        <x:v>Menor es mejor</x:v>
      </x:c>
      <x:c r="F15" s="17" t="str">
        <x:v>Peso 8 sobre la suma absoluta del actor. Valora previsibilidad de contratos; la pérdida de compra ya está en ingreso_real.</x:v>
      </x:c>
    </x:row>
    <x:row r="16" ht="42" customHeight="1">
      <x:c r="A16" s="16" t="str">
        <x:v>financiero</x:v>
      </x:c>
      <x:c r="B16" s="16" t="str">
        <x:v>credito</x:v>
      </x:c>
      <x:c r="C16" s="22" t="n">
        <x:v>7</x:v>
      </x:c>
      <x:c r="D16" s="16" t="str">
        <x:v>Alta</x:v>
      </x:c>
      <x:c r="E16" s="16" t="str">
        <x:v>Mayor es mejor</x:v>
      </x:c>
      <x:c r="F16" s="16" t="str">
        <x:v>Peso 7 sobre la suma absoluta del actor. Acceso efectivo de hogares y empresas a financiamiento sostenible. No rentabilidad bancaria ni tasa de interés.</x:v>
      </x:c>
    </x:row>
    <x:row r="17" ht="42" customHeight="1">
      <x:c r="A17" s="17" t="str">
        <x:v>financiero</x:v>
      </x:c>
      <x:c r="B17" s="17" t="str">
        <x:v>derechos</x:v>
      </x:c>
      <x:c r="C17" s="22" t="n">
        <x:v>4</x:v>
      </x:c>
      <x:c r="D17" s="17" t="str">
        <x:v>Secundaria</x:v>
      </x:c>
      <x:c r="E17" s="17" t="str">
        <x:v>Mayor es mejor</x:v>
      </x:c>
      <x:c r="F17" s="17" t="str">
        <x:v>Peso 4 sobre la suma absoluta del actor. Protección efectiva de derechos, debido proceso, transparencia y control de poder.</x:v>
      </x:c>
    </x:row>
    <x:row r="18" ht="42" customHeight="1">
      <x:c r="A18" s="16" t="str">
        <x:v>sindicatos</x:v>
      </x:c>
      <x:c r="B18" s="16" t="str">
        <x:v>ingreso_real</x:v>
      </x:c>
      <x:c r="C18" s="22" t="n">
        <x:v>10</x:v>
      </x:c>
      <x:c r="D18" s="16" t="str">
        <x:v>Crítica</x:v>
      </x:c>
      <x:c r="E18" s="16" t="str">
        <x:v>Mayor es mejor</x:v>
      </x:c>
      <x:c r="F18" s="16" t="str">
        <x:v>Peso 10 sobre la suma absoluta del actor. Capacidad de compra del ingreso laboral y de hogares, antes del acceso a prestaciones en especie.</x:v>
      </x:c>
    </x:row>
    <x:row r="19" ht="42" customHeight="1">
      <x:c r="A19" s="17" t="str">
        <x:v>sindicatos</x:v>
      </x:c>
      <x:c r="B19" s="17" t="str">
        <x:v>actividad</x:v>
      </x:c>
      <x:c r="C19" s="22" t="n">
        <x:v>9</x:v>
      </x:c>
      <x:c r="D19" s="17" t="str">
        <x:v>Crítica</x:v>
      </x:c>
      <x:c r="E19" s="17" t="str">
        <x:v>Mayor es mejor</x:v>
      </x:c>
      <x:c r="F19" s="17" t="str">
        <x:v>Peso 9 sobre la suma absoluta del actor. Oportunidades productivas y laborales. Proxy único de producción y absorción de trabajo.</x:v>
      </x:c>
    </x:row>
    <x:row r="20" ht="42" customHeight="1">
      <x:c r="A20" s="16" t="str">
        <x:v>sindicatos</x:v>
      </x:c>
      <x:c r="B20" s="16" t="str">
        <x:v>proteccion</x:v>
      </x:c>
      <x:c r="C20" s="22" t="n">
        <x:v>6</x:v>
      </x:c>
      <x:c r="D20" s="16" t="str">
        <x:v>Alta</x:v>
      </x:c>
      <x:c r="E20" s="16" t="str">
        <x:v>Mayor es mejor</x:v>
      </x:c>
      <x:c r="F20" s="16" t="str">
        <x:v>Peso 6 sobre la suma absoluta del actor. Acceso a vivienda, alimentación y apoyos a hogares vulnerables.</x:v>
      </x:c>
    </x:row>
    <x:row r="21" ht="42" customHeight="1">
      <x:c r="A21" s="17" t="str">
        <x:v>sindicatos</x:v>
      </x:c>
      <x:c r="B21" s="17" t="str">
        <x:v>derechos</x:v>
      </x:c>
      <x:c r="C21" s="22" t="n">
        <x:v>4</x:v>
      </x:c>
      <x:c r="D21" s="17" t="str">
        <x:v>Secundaria</x:v>
      </x:c>
      <x:c r="E21" s="17" t="str">
        <x:v>Mayor es mejor</x:v>
      </x:c>
      <x:c r="F21" s="17" t="str">
        <x:v>Peso 4 sobre la suma absoluta del actor. Protección efectiva de derechos, debido proceso, transparencia y control de poder.</x:v>
      </x:c>
    </x:row>
    <x:row r="22" ht="42" customHeight="1">
      <x:c r="A22" s="16" t="str">
        <x:v>pymes</x:v>
      </x:c>
      <x:c r="B22" s="16" t="str">
        <x:v>credito</x:v>
      </x:c>
      <x:c r="C22" s="22" t="n">
        <x:v>10</x:v>
      </x:c>
      <x:c r="D22" s="16" t="str">
        <x:v>Crítica</x:v>
      </x:c>
      <x:c r="E22" s="16" t="str">
        <x:v>Mayor es mejor</x:v>
      </x:c>
      <x:c r="F22" s="16" t="str">
        <x:v>Peso 10 sobre la suma absoluta del actor. Acceso efectivo de hogares y empresas a financiamiento sostenible. No rentabilidad bancaria ni tasa de interés.</x:v>
      </x:c>
    </x:row>
    <x:row r="23" ht="42" customHeight="1">
      <x:c r="A23" s="17" t="str">
        <x:v>pymes</x:v>
      </x:c>
      <x:c r="B23" s="17" t="str">
        <x:v>actividad</x:v>
      </x:c>
      <x:c r="C23" s="22" t="n">
        <x:v>9</x:v>
      </x:c>
      <x:c r="D23" s="17" t="str">
        <x:v>Crítica</x:v>
      </x:c>
      <x:c r="E23" s="17" t="str">
        <x:v>Mayor es mejor</x:v>
      </x:c>
      <x:c r="F23" s="17" t="str">
        <x:v>Peso 9 sobre la suma absoluta del actor. Oportunidades productivas y laborales. Proxy único de producción y absorción de trabajo.</x:v>
      </x:c>
    </x:row>
    <x:row r="24" ht="42" customHeight="1">
      <x:c r="A24" s="16" t="str">
        <x:v>pymes</x:v>
      </x:c>
      <x:c r="B24" s="16" t="str">
        <x:v>infraestructura</x:v>
      </x:c>
      <x:c r="C24" s="22" t="n">
        <x:v>5</x:v>
      </x:c>
      <x:c r="D24" s="16" t="str">
        <x:v>Secundaria</x:v>
      </x:c>
      <x:c r="E24" s="16" t="str">
        <x:v>Mayor es mejor</x:v>
      </x:c>
      <x:c r="F24" s="16" t="str">
        <x:v>Peso 5 sobre la suma absoluta del actor. Disponibilidad de redes de transporte, agua, energía y conectividad en condiciones de uso.</x:v>
      </x:c>
    </x:row>
    <x:row r="25" ht="42" customHeight="1">
      <x:c r="A25" s="17" t="str">
        <x:v>pymes</x:v>
      </x:c>
      <x:c r="B25" s="17" t="str">
        <x:v>inflacion</x:v>
      </x:c>
      <x:c r="C25" s="22" t="n">
        <x:v>-5</x:v>
      </x:c>
      <x:c r="D25" s="17" t="str">
        <x:v>Secundaria</x:v>
      </x:c>
      <x:c r="E25" s="17" t="str">
        <x:v>Menor es mejor</x:v>
      </x:c>
      <x:c r="F25" s="17" t="str">
        <x:v>Peso 5 sobre la suma absoluta del actor. Valora previsibilidad de contratos; la pérdida de compra ya está en ingreso_real.</x:v>
      </x:c>
    </x:row>
    <x:row r="26" ht="42" customHeight="1">
      <x:c r="A26" s="16" t="str">
        <x:v>clase_media</x:v>
      </x:c>
      <x:c r="B26" s="16" t="str">
        <x:v>ingreso_real</x:v>
      </x:c>
      <x:c r="C26" s="22" t="n">
        <x:v>10</x:v>
      </x:c>
      <x:c r="D26" s="16" t="str">
        <x:v>Crítica</x:v>
      </x:c>
      <x:c r="E26" s="16" t="str">
        <x:v>Mayor es mejor</x:v>
      </x:c>
      <x:c r="F26" s="16" t="str">
        <x:v>Peso 10 sobre la suma absoluta del actor. Capacidad de compra del ingreso laboral y de hogares, antes del acceso a prestaciones en especie.</x:v>
      </x:c>
    </x:row>
    <x:row r="27" ht="42" customHeight="1">
      <x:c r="A27" s="17" t="str">
        <x:v>clase_media</x:v>
      </x:c>
      <x:c r="B27" s="17" t="str">
        <x:v>seguridad</x:v>
      </x:c>
      <x:c r="C27" s="22" t="n">
        <x:v>7</x:v>
      </x:c>
      <x:c r="D27" s="17" t="str">
        <x:v>Alta</x:v>
      </x:c>
      <x:c r="E27" s="17" t="str">
        <x:v>Mayor es mejor</x:v>
      </x:c>
      <x:c r="F27" s="17" t="str">
        <x:v>Peso 7 sobre la suma absoluta del actor. Reducción de exposición al delito y capacidad de respuesta preventiva.</x:v>
      </x:c>
    </x:row>
    <x:row r="28" ht="42" customHeight="1">
      <x:c r="A28" s="16" t="str">
        <x:v>clase_media</x:v>
      </x:c>
      <x:c r="B28" s="16" t="str">
        <x:v>educacion</x:v>
      </x:c>
      <x:c r="C28" s="22" t="n">
        <x:v>6</x:v>
      </x:c>
      <x:c r="D28" s="16" t="str">
        <x:v>Alta</x:v>
      </x:c>
      <x:c r="E28" s="16" t="str">
        <x:v>Mayor es mejor</x:v>
      </x:c>
      <x:c r="F28" s="16" t="str">
        <x:v>Peso 6 sobre la suma absoluta del actor. Acceso y calidad de formación general, técnica y alfabetización.</x:v>
      </x:c>
    </x:row>
    <x:row r="29" ht="42" customHeight="1">
      <x:c r="A29" s="17" t="str">
        <x:v>clase_media</x:v>
      </x:c>
      <x:c r="B29" s="17" t="str">
        <x:v>inflacion</x:v>
      </x:c>
      <x:c r="C29" s="22" t="n">
        <x:v>-4</x:v>
      </x:c>
      <x:c r="D29" s="17" t="str">
        <x:v>Secundaria</x:v>
      </x:c>
      <x:c r="E29" s="17" t="str">
        <x:v>Menor es mejor</x:v>
      </x:c>
      <x:c r="F29" s="17" t="str">
        <x:v>Peso 4 sobre la suma absoluta del actor. Valora previsibilidad de contratos; la pérdida de compra ya está en ingreso_real.</x:v>
      </x:c>
    </x:row>
    <x:row r="30" ht="42" customHeight="1">
      <x:c r="A30" s="16" t="str">
        <x:v>cooperativas</x:v>
      </x:c>
      <x:c r="B30" s="16" t="str">
        <x:v>credito</x:v>
      </x:c>
      <x:c r="C30" s="22" t="n">
        <x:v>7</x:v>
      </x:c>
      <x:c r="D30" s="16" t="str">
        <x:v>Alta</x:v>
      </x:c>
      <x:c r="E30" s="16" t="str">
        <x:v>Mayor es mejor</x:v>
      </x:c>
      <x:c r="F30" s="16" t="str">
        <x:v>Peso 7 sobre la suma absoluta del actor. Acceso efectivo de hogares y empresas a financiamiento sostenible. No rentabilidad bancaria ni tasa de interés.</x:v>
      </x:c>
    </x:row>
    <x:row r="31" ht="42" customHeight="1">
      <x:c r="A31" s="17" t="str">
        <x:v>cooperativas</x:v>
      </x:c>
      <x:c r="B31" s="17" t="str">
        <x:v>actividad</x:v>
      </x:c>
      <x:c r="C31" s="22" t="n">
        <x:v>7</x:v>
      </x:c>
      <x:c r="D31" s="17" t="str">
        <x:v>Alta</x:v>
      </x:c>
      <x:c r="E31" s="17" t="str">
        <x:v>Mayor es mejor</x:v>
      </x:c>
      <x:c r="F31" s="17" t="str">
        <x:v>Peso 7 sobre la suma absoluta del actor. Oportunidades productivas y laborales. Proxy único de producción y absorción de trabajo.</x:v>
      </x:c>
    </x:row>
    <x:row r="32" ht="42" customHeight="1">
      <x:c r="A32" s="16" t="str">
        <x:v>cooperativas</x:v>
      </x:c>
      <x:c r="B32" s="16" t="str">
        <x:v>proteccion</x:v>
      </x:c>
      <x:c r="C32" s="22" t="n">
        <x:v>9</x:v>
      </x:c>
      <x:c r="D32" s="16" t="str">
        <x:v>Crítica</x:v>
      </x:c>
      <x:c r="E32" s="16" t="str">
        <x:v>Mayor es mejor</x:v>
      </x:c>
      <x:c r="F32" s="16" t="str">
        <x:v>Peso 9 sobre la suma absoluta del actor. Acceso a vivienda, alimentación y apoyos a hogares vulnerables.</x:v>
      </x:c>
    </x:row>
    <x:row r="33" ht="42" customHeight="1">
      <x:c r="A33" s="17" t="str">
        <x:v>cooperativas</x:v>
      </x:c>
      <x:c r="B33" s="17" t="str">
        <x:v>derechos</x:v>
      </x:c>
      <x:c r="C33" s="22" t="n">
        <x:v>4</x:v>
      </x:c>
      <x:c r="D33" s="17" t="str">
        <x:v>Secundaria</x:v>
      </x:c>
      <x:c r="E33" s="17" t="str">
        <x:v>Mayor es mejor</x:v>
      </x:c>
      <x:c r="F33" s="17" t="str">
        <x:v>Peso 4 sobre la suma absoluta del actor. Protección efectiva de derechos, debido proceso, transparencia y control de poder.</x:v>
      </x:c>
    </x:row>
    <x:row r="34" ht="42" customHeight="1">
      <x:c r="A34" s="16" t="str">
        <x:v>estudiantes</x:v>
      </x:c>
      <x:c r="B34" s="16" t="str">
        <x:v>educacion</x:v>
      </x:c>
      <x:c r="C34" s="22" t="n">
        <x:v>10</x:v>
      </x:c>
      <x:c r="D34" s="16" t="str">
        <x:v>Crítica</x:v>
      </x:c>
      <x:c r="E34" s="16" t="str">
        <x:v>Mayor es mejor</x:v>
      </x:c>
      <x:c r="F34" s="16" t="str">
        <x:v>Peso 10 sobre la suma absoluta del actor. Acceso y calidad de formación general, técnica y alfabetización.</x:v>
      </x:c>
    </x:row>
    <x:row r="35" ht="42" customHeight="1">
      <x:c r="A35" s="17" t="str">
        <x:v>estudiantes</x:v>
      </x:c>
      <x:c r="B35" s="17" t="str">
        <x:v>ingreso_real</x:v>
      </x:c>
      <x:c r="C35" s="22" t="n">
        <x:v>5</x:v>
      </x:c>
      <x:c r="D35" s="17" t="str">
        <x:v>Secundaria</x:v>
      </x:c>
      <x:c r="E35" s="17" t="str">
        <x:v>Mayor es mejor</x:v>
      </x:c>
      <x:c r="F35" s="17" t="str">
        <x:v>Peso 5 sobre la suma absoluta del actor. Capacidad de compra del ingreso laboral y de hogares, antes del acceso a prestaciones en especie.</x:v>
      </x:c>
    </x:row>
    <x:row r="36" ht="42" customHeight="1">
      <x:c r="A36" s="16" t="str">
        <x:v>estudiantes</x:v>
      </x:c>
      <x:c r="B36" s="16" t="str">
        <x:v>derechos</x:v>
      </x:c>
      <x:c r="C36" s="22" t="n">
        <x:v>7</x:v>
      </x:c>
      <x:c r="D36" s="16" t="str">
        <x:v>Alta</x:v>
      </x:c>
      <x:c r="E36" s="16" t="str">
        <x:v>Mayor es mejor</x:v>
      </x:c>
      <x:c r="F36" s="16" t="str">
        <x:v>Peso 7 sobre la suma absoluta del actor. Protección efectiva de derechos, debido proceso, transparencia y control de poder.</x:v>
      </x:c>
    </x:row>
    <x:row r="37" ht="42" customHeight="1">
      <x:c r="A37" s="17" t="str">
        <x:v>estudiantes</x:v>
      </x:c>
      <x:c r="B37" s="17" t="str">
        <x:v>ciencia</x:v>
      </x:c>
      <x:c r="C37" s="22" t="n">
        <x:v>3</x:v>
      </x:c>
      <x:c r="D37" s="17" t="str">
        <x:v>Secundaria</x:v>
      </x:c>
      <x:c r="E37" s="17" t="str">
        <x:v>Mayor es mejor</x:v>
      </x:c>
      <x:c r="F37" s="17" t="str">
        <x:v>Peso 3 sobre la suma absoluta del actor. Capacidad de investigación, continuidad de equipos y transferencia tecnológica.</x:v>
      </x:c>
    </x:row>
    <x:row r="38" ht="42" customHeight="1">
      <x:c r="A38" s="16" t="str">
        <x:v>docentes</x:v>
      </x:c>
      <x:c r="B38" s="16" t="str">
        <x:v>educacion</x:v>
      </x:c>
      <x:c r="C38" s="22" t="n">
        <x:v>10</x:v>
      </x:c>
      <x:c r="D38" s="16" t="str">
        <x:v>Crítica</x:v>
      </x:c>
      <x:c r="E38" s="16" t="str">
        <x:v>Mayor es mejor</x:v>
      </x:c>
      <x:c r="F38" s="16" t="str">
        <x:v>Peso 10 sobre la suma absoluta del actor. Acceso y calidad de formación general, técnica y alfabetización.</x:v>
      </x:c>
    </x:row>
    <x:row r="39" ht="42" customHeight="1">
      <x:c r="A39" s="17" t="str">
        <x:v>docentes</x:v>
      </x:c>
      <x:c r="B39" s="17" t="str">
        <x:v>ingreso_real</x:v>
      </x:c>
      <x:c r="C39" s="22" t="n">
        <x:v>9</x:v>
      </x:c>
      <x:c r="D39" s="17" t="str">
        <x:v>Crítica</x:v>
      </x:c>
      <x:c r="E39" s="17" t="str">
        <x:v>Mayor es mejor</x:v>
      </x:c>
      <x:c r="F39" s="17" t="str">
        <x:v>Peso 9 sobre la suma absoluta del actor. Capacidad de compra del ingreso laboral y de hogares, antes del acceso a prestaciones en especie.</x:v>
      </x:c>
    </x:row>
    <x:row r="40" ht="42" customHeight="1">
      <x:c r="A40" s="16" t="str">
        <x:v>docentes</x:v>
      </x:c>
      <x:c r="B40" s="16" t="str">
        <x:v>derechos</x:v>
      </x:c>
      <x:c r="C40" s="22" t="n">
        <x:v>4</x:v>
      </x:c>
      <x:c r="D40" s="16" t="str">
        <x:v>Secundaria</x:v>
      </x:c>
      <x:c r="E40" s="16" t="str">
        <x:v>Mayor es mejor</x:v>
      </x:c>
      <x:c r="F40" s="16" t="str">
        <x:v>Peso 4 sobre la suma absoluta del actor. Protección efectiva de derechos, debido proceso, transparencia y control de poder.</x:v>
      </x:c>
    </x:row>
    <x:row r="41" ht="42" customHeight="1">
      <x:c r="A41" s="17" t="str">
        <x:v>cientificos</x:v>
      </x:c>
      <x:c r="B41" s="17" t="str">
        <x:v>ciencia</x:v>
      </x:c>
      <x:c r="C41" s="22" t="n">
        <x:v>10</x:v>
      </x:c>
      <x:c r="D41" s="17" t="str">
        <x:v>Crítica</x:v>
      </x:c>
      <x:c r="E41" s="17" t="str">
        <x:v>Mayor es mejor</x:v>
      </x:c>
      <x:c r="F41" s="17" t="str">
        <x:v>Peso 10 sobre la suma absoluta del actor. Capacidad de investigación, continuidad de equipos y transferencia tecnológica.</x:v>
      </x:c>
    </x:row>
    <x:row r="42" ht="42" customHeight="1">
      <x:c r="A42" s="16" t="str">
        <x:v>cientificos</x:v>
      </x:c>
      <x:c r="B42" s="16" t="str">
        <x:v>educacion</x:v>
      </x:c>
      <x:c r="C42" s="22" t="n">
        <x:v>7</x:v>
      </x:c>
      <x:c r="D42" s="16" t="str">
        <x:v>Alta</x:v>
      </x:c>
      <x:c r="E42" s="16" t="str">
        <x:v>Mayor es mejor</x:v>
      </x:c>
      <x:c r="F42" s="16" t="str">
        <x:v>Peso 7 sobre la suma absoluta del actor. Acceso y calidad de formación general, técnica y alfabetización.</x:v>
      </x:c>
    </x:row>
    <x:row r="43" ht="42" customHeight="1">
      <x:c r="A43" s="17" t="str">
        <x:v>cientificos</x:v>
      </x:c>
      <x:c r="B43" s="17" t="str">
        <x:v>derechos</x:v>
      </x:c>
      <x:c r="C43" s="22" t="n">
        <x:v>5</x:v>
      </x:c>
      <x:c r="D43" s="17" t="str">
        <x:v>Secundaria</x:v>
      </x:c>
      <x:c r="E43" s="17" t="str">
        <x:v>Mayor es mejor</x:v>
      </x:c>
      <x:c r="F43" s="17" t="str">
        <x:v>Peso 5 sobre la suma absoluta del actor. Protección efectiva de derechos, debido proceso, transparencia y control de poder.</x:v>
      </x:c>
    </x:row>
    <x:row r="44" ht="42" customHeight="1">
      <x:c r="A44" s="16" t="str">
        <x:v>organizaciones</x:v>
      </x:c>
      <x:c r="B44" s="16" t="str">
        <x:v>proteccion</x:v>
      </x:c>
      <x:c r="C44" s="22" t="n">
        <x:v>10</x:v>
      </x:c>
      <x:c r="D44" s="16" t="str">
        <x:v>Crítica</x:v>
      </x:c>
      <x:c r="E44" s="16" t="str">
        <x:v>Mayor es mejor</x:v>
      </x:c>
      <x:c r="F44" s="16" t="str">
        <x:v>Peso 10 sobre la suma absoluta del actor. Acceso a vivienda, alimentación y apoyos a hogares vulnerables.</x:v>
      </x:c>
    </x:row>
    <x:row r="45" ht="42" customHeight="1">
      <x:c r="A45" s="17" t="str">
        <x:v>organizaciones</x:v>
      </x:c>
      <x:c r="B45" s="17" t="str">
        <x:v>salud</x:v>
      </x:c>
      <x:c r="C45" s="22" t="n">
        <x:v>7</x:v>
      </x:c>
      <x:c r="D45" s="17" t="str">
        <x:v>Alta</x:v>
      </x:c>
      <x:c r="E45" s="17" t="str">
        <x:v>Mayor es mejor</x:v>
      </x:c>
      <x:c r="F45" s="17" t="str">
        <x:v>Peso 7 sobre la suma absoluta del actor. Cobertura y calidad sanitaria efectiva, incluyendo prevención y hospitales operativos.</x:v>
      </x:c>
    </x:row>
    <x:row r="46" ht="42" customHeight="1">
      <x:c r="A46" s="16" t="str">
        <x:v>organizaciones</x:v>
      </x:c>
      <x:c r="B46" s="16" t="str">
        <x:v>actividad</x:v>
      </x:c>
      <x:c r="C46" s="22" t="n">
        <x:v>6</x:v>
      </x:c>
      <x:c r="D46" s="16" t="str">
        <x:v>Alta</x:v>
      </x:c>
      <x:c r="E46" s="16" t="str">
        <x:v>Mayor es mejor</x:v>
      </x:c>
      <x:c r="F46" s="16" t="str">
        <x:v>Peso 6 sobre la suma absoluta del actor. Oportunidades productivas y laborales. Proxy único de producción y absorción de trabajo.</x:v>
      </x:c>
    </x:row>
    <x:row r="47" ht="42" customHeight="1">
      <x:c r="A47" s="17" t="str">
        <x:v>organizaciones</x:v>
      </x:c>
      <x:c r="B47" s="17" t="str">
        <x:v>derechos</x:v>
      </x:c>
      <x:c r="C47" s="22" t="n">
        <x:v>5</x:v>
      </x:c>
      <x:c r="D47" s="17" t="str">
        <x:v>Secundaria</x:v>
      </x:c>
      <x:c r="E47" s="17" t="str">
        <x:v>Mayor es mejor</x:v>
      </x:c>
      <x:c r="F47" s="17" t="str">
        <x:v>Peso 5 sobre la suma absoluta del actor. Protección efectiva de derechos, debido proceso, transparencia y control de poder.</x:v>
      </x:c>
    </x:row>
    <x:row r="48" ht="42" customHeight="1">
      <x:c r="A48" s="16" t="str">
        <x:v>ddhh</x:v>
      </x:c>
      <x:c r="B48" s="16" t="str">
        <x:v>derechos</x:v>
      </x:c>
      <x:c r="C48" s="22" t="n">
        <x:v>10</x:v>
      </x:c>
      <x:c r="D48" s="16" t="str">
        <x:v>Crítica</x:v>
      </x:c>
      <x:c r="E48" s="16" t="str">
        <x:v>Mayor es mejor</x:v>
      </x:c>
      <x:c r="F48" s="16" t="str">
        <x:v>Peso 10 sobre la suma absoluta del actor. Protección efectiva de derechos, debido proceso, transparencia y control de poder.</x:v>
      </x:c>
    </x:row>
    <x:row r="49" ht="42" customHeight="1">
      <x:c r="A49" s="17" t="str">
        <x:v>ddhh</x:v>
      </x:c>
      <x:c r="B49" s="17" t="str">
        <x:v>seguridad</x:v>
      </x:c>
      <x:c r="C49" s="22" t="n">
        <x:v>3</x:v>
      </x:c>
      <x:c r="D49" s="17" t="str">
        <x:v>Secundaria</x:v>
      </x:c>
      <x:c r="E49" s="17" t="str">
        <x:v>Mayor es mejor</x:v>
      </x:c>
      <x:c r="F49" s="17" t="str">
        <x:v>Peso 3 sobre la suma absoluta del actor. Reducción de exposición al delito y capacidad de respuesta preventiva.</x:v>
      </x:c>
    </x:row>
    <x:row r="50" ht="42" customHeight="1">
      <x:c r="A50" s="16" t="str">
        <x:v>ddhh</x:v>
      </x:c>
      <x:c r="B50" s="16" t="str">
        <x:v>proteccion</x:v>
      </x:c>
      <x:c r="C50" s="22" t="n">
        <x:v>4</x:v>
      </x:c>
      <x:c r="D50" s="16" t="str">
        <x:v>Secundaria</x:v>
      </x:c>
      <x:c r="E50" s="16" t="str">
        <x:v>Mayor es mejor</x:v>
      </x:c>
      <x:c r="F50" s="16" t="str">
        <x:v>Peso 4 sobre la suma absoluta del actor. Acceso a vivienda, alimentación y apoyos a hogares vulnerables.</x:v>
      </x:c>
    </x:row>
    <x:row r="51" ht="42" customHeight="1">
      <x:c r="A51" s="17" t="str">
        <x:v>ambientalistas</x:v>
      </x:c>
      <x:c r="B51" s="17" t="str">
        <x:v>ambiente</x:v>
      </x:c>
      <x:c r="C51" s="22" t="n">
        <x:v>10</x:v>
      </x:c>
      <x:c r="D51" s="17" t="str">
        <x:v>Crítica</x:v>
      </x:c>
      <x:c r="E51" s="17" t="str">
        <x:v>Mayor es mejor</x:v>
      </x:c>
      <x:c r="F51" s="17" t="str">
        <x:v>Peso 10 sobre la suma absoluta del actor. Estado ambiental y capacidad de sostener proyectos sin daños acumulados.</x:v>
      </x:c>
    </x:row>
    <x:row r="52" ht="42" customHeight="1">
      <x:c r="A52" s="16" t="str">
        <x:v>ambientalistas</x:v>
      </x:c>
      <x:c r="B52" s="16" t="str">
        <x:v>derechos</x:v>
      </x:c>
      <x:c r="C52" s="22" t="n">
        <x:v>5</x:v>
      </x:c>
      <x:c r="D52" s="16" t="str">
        <x:v>Secundaria</x:v>
      </x:c>
      <x:c r="E52" s="16" t="str">
        <x:v>Mayor es mejor</x:v>
      </x:c>
      <x:c r="F52" s="16" t="str">
        <x:v>Peso 5 sobre la suma absoluta del actor. Protección efectiva de derechos, debido proceso, transparencia y control de poder.</x:v>
      </x:c>
    </x:row>
    <x:row r="53" ht="42" customHeight="1">
      <x:c r="A53" s="17" t="str">
        <x:v>ambientalistas</x:v>
      </x:c>
      <x:c r="B53" s="17" t="str">
        <x:v>salud</x:v>
      </x:c>
      <x:c r="C53" s="22" t="n">
        <x:v>3</x:v>
      </x:c>
      <x:c r="D53" s="17" t="str">
        <x:v>Secundaria</x:v>
      </x:c>
      <x:c r="E53" s="17" t="str">
        <x:v>Mayor es mejor</x:v>
      </x:c>
      <x:c r="F53" s="17" t="str">
        <x:v>Peso 3 sobre la suma absoluta del actor. Cobertura y calidad sanitaria efectiva, incluyendo prevención y hospitales operativos.</x:v>
      </x:c>
    </x:row>
    <x:row r="54" ht="42" customHeight="1">
      <x:c r="A54" s="16" t="str">
        <x:v>cultura</x:v>
      </x:c>
      <x:c r="B54" s="16" t="str">
        <x:v>derechos</x:v>
      </x:c>
      <x:c r="C54" s="22" t="n">
        <x:v>8</x:v>
      </x:c>
      <x:c r="D54" s="16" t="str">
        <x:v>Alta</x:v>
      </x:c>
      <x:c r="E54" s="16" t="str">
        <x:v>Mayor es mejor</x:v>
      </x:c>
      <x:c r="F54" s="16" t="str">
        <x:v>Peso 8 sobre la suma absoluta del actor. Protección efectiva de derechos, debido proceso, transparencia y control de poder.</x:v>
      </x:c>
    </x:row>
    <x:row r="55" ht="42" customHeight="1">
      <x:c r="A55" s="17" t="str">
        <x:v>cultura</x:v>
      </x:c>
      <x:c r="B55" s="17" t="str">
        <x:v>educacion</x:v>
      </x:c>
      <x:c r="C55" s="22" t="n">
        <x:v>6</x:v>
      </x:c>
      <x:c r="D55" s="17" t="str">
        <x:v>Alta</x:v>
      </x:c>
      <x:c r="E55" s="17" t="str">
        <x:v>Mayor es mejor</x:v>
      </x:c>
      <x:c r="F55" s="17" t="str">
        <x:v>Peso 6 sobre la suma absoluta del actor. Acceso y calidad de formación general, técnica y alfabetización.</x:v>
      </x:c>
    </x:row>
    <x:row r="56" ht="42" customHeight="1">
      <x:c r="A56" s="16" t="str">
        <x:v>cultura</x:v>
      </x:c>
      <x:c r="B56" s="16" t="str">
        <x:v>ingreso_real</x:v>
      </x:c>
      <x:c r="C56" s="22" t="n">
        <x:v>5</x:v>
      </x:c>
      <x:c r="D56" s="16" t="str">
        <x:v>Secundaria</x:v>
      </x:c>
      <x:c r="E56" s="16" t="str">
        <x:v>Mayor es mejor</x:v>
      </x:c>
      <x:c r="F56" s="16" t="str">
        <x:v>Peso 5 sobre la suma absoluta del actor. Capacidad de compra del ingreso laboral y de hogares, antes del acceso a prestaciones en especie.</x:v>
      </x:c>
    </x:row>
    <x:row r="57" ht="42" customHeight="1">
      <x:c r="A57" s="17" t="str">
        <x:v>oficialismo</x:v>
      </x:c>
      <x:c r="B57" s="17" t="str">
        <x:v>derechos</x:v>
      </x:c>
      <x:c r="C57" s="22" t="n">
        <x:v>6</x:v>
      </x:c>
      <x:c r="D57" s="17" t="str">
        <x:v>Alta</x:v>
      </x:c>
      <x:c r="E57" s="17" t="str">
        <x:v>Mayor es mejor</x:v>
      </x:c>
      <x:c r="F57" s="17" t="str">
        <x:v>Peso 6 sobre la suma absoluta del actor. Protección efectiva de derechos, debido proceso, transparencia y control de poder.</x:v>
      </x:c>
    </x:row>
    <x:row r="58" ht="42" customHeight="1">
      <x:c r="A58" s="16" t="str">
        <x:v>oficialismo</x:v>
      </x:c>
      <x:c r="B58" s="16" t="str">
        <x:v>actividad</x:v>
      </x:c>
      <x:c r="C58" s="22" t="n">
        <x:v>8</x:v>
      </x:c>
      <x:c r="D58" s="16" t="str">
        <x:v>Alta</x:v>
      </x:c>
      <x:c r="E58" s="16" t="str">
        <x:v>Mayor es mejor</x:v>
      </x:c>
      <x:c r="F58" s="16" t="str">
        <x:v>Peso 8 sobre la suma absoluta del actor. Oportunidades productivas y laborales. Proxy único de producción y absorción de trabajo.</x:v>
      </x:c>
    </x:row>
    <x:row r="59" ht="42" customHeight="1">
      <x:c r="A59" s="17" t="str">
        <x:v>oficialismo</x:v>
      </x:c>
      <x:c r="B59" s="17" t="str">
        <x:v>fiscal</x:v>
      </x:c>
      <x:c r="C59" s="22" t="n">
        <x:v>6</x:v>
      </x:c>
      <x:c r="D59" s="17" t="str">
        <x:v>Alta</x:v>
      </x:c>
      <x:c r="E59" s="17" t="str">
        <x:v>Mayor es mejor</x:v>
      </x:c>
      <x:c r="F59" s="17" t="str">
        <x:v>Peso 6 sobre la suma absoluta del actor. Índice derivado de ingresos, gasto recurrente, intereses y exposición de deuda. Nunca se modifica con un efecto directo.</x:v>
      </x:c>
    </x:row>
    <x:row r="60" ht="42" customHeight="1">
      <x:c r="A60" s="16" t="str">
        <x:v>oficialismo</x:v>
      </x:c>
      <x:c r="B60" s="16" t="str">
        <x:v>proteccion</x:v>
      </x:c>
      <x:c r="C60" s="22" t="n">
        <x:v>5</x:v>
      </x:c>
      <x:c r="D60" s="16" t="str">
        <x:v>Secundaria</x:v>
      </x:c>
      <x:c r="E60" s="16" t="str">
        <x:v>Mayor es mejor</x:v>
      </x:c>
      <x:c r="F60" s="16" t="str">
        <x:v>Peso 5 sobre la suma absoluta del actor. Acceso a vivienda, alimentación y apoyos a hogares vulnerables.</x:v>
      </x:c>
    </x:row>
    <x:row r="61" ht="42" customHeight="1">
      <x:c r="A61" s="17" t="str">
        <x:v>aliados</x:v>
      </x:c>
      <x:c r="B61" s="17" t="str">
        <x:v>derechos</x:v>
      </x:c>
      <x:c r="C61" s="22" t="n">
        <x:v>8</x:v>
      </x:c>
      <x:c r="D61" s="17" t="str">
        <x:v>Alta</x:v>
      </x:c>
      <x:c r="E61" s="17" t="str">
        <x:v>Mayor es mejor</x:v>
      </x:c>
      <x:c r="F61" s="17" t="str">
        <x:v>Peso 8 sobre la suma absoluta del actor. Protección efectiva de derechos, debido proceso, transparencia y control de poder.</x:v>
      </x:c>
    </x:row>
    <x:row r="62" ht="42" customHeight="1">
      <x:c r="A62" s="16" t="str">
        <x:v>aliados</x:v>
      </x:c>
      <x:c r="B62" s="16" t="str">
        <x:v>fiscal</x:v>
      </x:c>
      <x:c r="C62" s="22" t="n">
        <x:v>7</x:v>
      </x:c>
      <x:c r="D62" s="16" t="str">
        <x:v>Alta</x:v>
      </x:c>
      <x:c r="E62" s="16" t="str">
        <x:v>Mayor es mejor</x:v>
      </x:c>
      <x:c r="F62" s="16" t="str">
        <x:v>Peso 7 sobre la suma absoluta del actor. Índice derivado de ingresos, gasto recurrente, intereses y exposición de deuda. Nunca se modifica con un efecto directo.</x:v>
      </x:c>
    </x:row>
    <x:row r="63" ht="42" customHeight="1">
      <x:c r="A63" s="17" t="str">
        <x:v>aliados</x:v>
      </x:c>
      <x:c r="B63" s="17" t="str">
        <x:v>infraestructura</x:v>
      </x:c>
      <x:c r="C63" s="22" t="n">
        <x:v>6</x:v>
      </x:c>
      <x:c r="D63" s="17" t="str">
        <x:v>Alta</x:v>
      </x:c>
      <x:c r="E63" s="17" t="str">
        <x:v>Mayor es mejor</x:v>
      </x:c>
      <x:c r="F63" s="17" t="str">
        <x:v>Peso 6 sobre la suma absoluta del actor. Disponibilidad de redes de transporte, agua, energía y conectividad en condiciones de uso.</x:v>
      </x:c>
    </x:row>
    <x:row r="64" ht="42" customHeight="1">
      <x:c r="A64" s="16" t="str">
        <x:v>oposicion</x:v>
      </x:c>
      <x:c r="B64" s="16" t="str">
        <x:v>derechos</x:v>
      </x:c>
      <x:c r="C64" s="22" t="n">
        <x:v>10</x:v>
      </x:c>
      <x:c r="D64" s="16" t="str">
        <x:v>Crítica</x:v>
      </x:c>
      <x:c r="E64" s="16" t="str">
        <x:v>Mayor es mejor</x:v>
      </x:c>
      <x:c r="F64" s="16" t="str">
        <x:v>Peso 10 sobre la suma absoluta del actor. Protección efectiva de derechos, debido proceso, transparencia y control de poder.</x:v>
      </x:c>
    </x:row>
    <x:row r="65" ht="42" customHeight="1">
      <x:c r="A65" s="17" t="str">
        <x:v>oposicion</x:v>
      </x:c>
      <x:c r="B65" s="17" t="str">
        <x:v>fiscal</x:v>
      </x:c>
      <x:c r="C65" s="22" t="n">
        <x:v>6</x:v>
      </x:c>
      <x:c r="D65" s="17" t="str">
        <x:v>Alta</x:v>
      </x:c>
      <x:c r="E65" s="17" t="str">
        <x:v>Mayor es mejor</x:v>
      </x:c>
      <x:c r="F65" s="17" t="str">
        <x:v>Peso 6 sobre la suma absoluta del actor. Índice derivado de ingresos, gasto recurrente, intereses y exposición de deuda. Nunca se modifica con un efecto directo.</x:v>
      </x:c>
    </x:row>
    <x:row r="66" ht="42" customHeight="1">
      <x:c r="A66" s="16" t="str">
        <x:v>oposicion</x:v>
      </x:c>
      <x:c r="B66" s="16" t="str">
        <x:v>seguridad</x:v>
      </x:c>
      <x:c r="C66" s="22" t="n">
        <x:v>4</x:v>
      </x:c>
      <x:c r="D66" s="16" t="str">
        <x:v>Secundaria</x:v>
      </x:c>
      <x:c r="E66" s="16" t="str">
        <x:v>Mayor es mejor</x:v>
      </x:c>
      <x:c r="F66" s="16" t="str">
        <x:v>Peso 4 sobre la suma absoluta del actor. Reducción de exposición al delito y capacidad de respuesta preventiva.</x:v>
      </x:c>
    </x:row>
    <x:row r="67" ht="42" customHeight="1">
      <x:c r="A67" s="17" t="str">
        <x:v>gobernadores</x:v>
      </x:c>
      <x:c r="B67" s="17" t="str">
        <x:v>infraestructura</x:v>
      </x:c>
      <x:c r="C67" s="22" t="n">
        <x:v>9</x:v>
      </x:c>
      <x:c r="D67" s="17" t="str">
        <x:v>Crítica</x:v>
      </x:c>
      <x:c r="E67" s="17" t="str">
        <x:v>Mayor es mejor</x:v>
      </x:c>
      <x:c r="F67" s="17" t="str">
        <x:v>Peso 9 sobre la suma absoluta del actor. Disponibilidad de redes de transporte, agua, energía y conectividad en condiciones de uso.</x:v>
      </x:c>
    </x:row>
    <x:row r="68" ht="42" customHeight="1">
      <x:c r="A68" s="16" t="str">
        <x:v>gobernadores</x:v>
      </x:c>
      <x:c r="B68" s="16" t="str">
        <x:v>salud</x:v>
      </x:c>
      <x:c r="C68" s="22" t="n">
        <x:v>7</x:v>
      </x:c>
      <x:c r="D68" s="16" t="str">
        <x:v>Alta</x:v>
      </x:c>
      <x:c r="E68" s="16" t="str">
        <x:v>Mayor es mejor</x:v>
      </x:c>
      <x:c r="F68" s="16" t="str">
        <x:v>Peso 7 sobre la suma absoluta del actor. Cobertura y calidad sanitaria efectiva, incluyendo prevención y hospitales operativos.</x:v>
      </x:c>
    </x:row>
    <x:row r="69" ht="42" customHeight="1">
      <x:c r="A69" s="17" t="str">
        <x:v>gobernadores</x:v>
      </x:c>
      <x:c r="B69" s="17" t="str">
        <x:v>educacion</x:v>
      </x:c>
      <x:c r="C69" s="22" t="n">
        <x:v>7</x:v>
      </x:c>
      <x:c r="D69" s="17" t="str">
        <x:v>Alta</x:v>
      </x:c>
      <x:c r="E69" s="17" t="str">
        <x:v>Mayor es mejor</x:v>
      </x:c>
      <x:c r="F69" s="17" t="str">
        <x:v>Peso 7 sobre la suma absoluta del actor. Acceso y calidad de formación general, técnica y alfabetización.</x:v>
      </x:c>
    </x:row>
    <x:row r="70" ht="42" customHeight="1">
      <x:c r="A70" s="16" t="str">
        <x:v>gobernadores</x:v>
      </x:c>
      <x:c r="B70" s="16" t="str">
        <x:v>fiscal</x:v>
      </x:c>
      <x:c r="C70" s="22" t="n">
        <x:v>6</x:v>
      </x:c>
      <x:c r="D70" s="16" t="str">
        <x:v>Alta</x:v>
      </x:c>
      <x:c r="E70" s="16" t="str">
        <x:v>Mayor es mejor</x:v>
      </x:c>
      <x:c r="F70" s="16" t="str">
        <x:v>Peso 6 sobre la suma absoluta del actor. Índice derivado de ingresos, gasto recurrente, intereses y exposición de deuda. Nunca se modifica con un efecto directo.</x:v>
      </x:c>
    </x:row>
  </x:sheetData>
  <x:dataValidations count="1">
    <x:dataValidation type="whole" operator="between" sqref="C6:C70">
      <x:formula1>-10</x:formula1>
      <x:formula2>10</x:formula2>
    </x:dataValidation>
  </x:dataValidations>
  <x:pageMargins left="0.7" right="0.7" top="0.75" bottom="0.75" header="0.3" footer="0.3"/>
  <x:tableParts count="1">
    <x:tablePart xmlns:r="http://schemas.openxmlformats.org/officeDocument/2006/relationships" r:id="R940bf26d79144873"/>
  </x:tableParts>
</x:worksheet>
</file>

<file path=xl/worksheets/sheet5.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8" hidden="0" customWidth="1"/>
    <x:col min="2" max="2" width="43" hidden="0" customWidth="1"/>
    <x:col min="3" max="3" width="76" hidden="0" customWidth="1"/>
    <x:col min="4" max="4" width="23" hidden="0" customWidth="1"/>
    <x:col min="5" max="5" width="19" hidden="0" customWidth="1"/>
    <x:col min="6" max="6" width="16" hidden="0" customWidth="1"/>
    <x:col min="7" max="7" width="24" hidden="0" customWidth="1"/>
    <x:col min="8" max="8" width="23" hidden="0" customWidth="1"/>
    <x:col min="9" max="9" width="29" hidden="0" customWidth="1"/>
    <x:col min="10" max="10" width="78" hidden="0" customWidth="1"/>
    <x:col min="11" max="11" width="73" hidden="0" customWidth="1"/>
    <x:col min="12" max="12" width="56" hidden="0" customWidth="1"/>
    <x:col min="13" max="13" width="68" hidden="0" customWidth="1"/>
    <x:col min="14" max="14" width="56" hidden="0" customWidth="1"/>
    <x:col min="15" max="15" width="75" hidden="0" customWidth="1"/>
  </x:cols>
  <x:sheetData>
    <x:row r="2" ht="28" customHeight="1">
      <x:c r="A2" s="12" t="str">
        <x:v>Catálogo propuesto</x:v>
      </x:c>
      <x:c r="B2" s="13"/>
      <x:c r="C2" s="13"/>
      <x:c r="D2" s="13"/>
      <x:c r="E2" s="13"/>
      <x:c r="F2" s="13"/>
      <x:c r="G2" s="13"/>
      <x:c r="H2" s="13"/>
      <x:c r="I2" s="13"/>
      <x:c r="J2" s="13"/>
      <x:c r="K2" s="13"/>
      <x:c r="L2" s="13"/>
      <x:c r="M2" s="13"/>
      <x:c r="N2" s="13"/>
      <x:c r="O2" s="13"/>
    </x:row>
    <x:row r="3" ht="23" customHeight="1">
      <x:c r="A3" s="14" t="str">
        <x:v>48 definiciones propuestas, incluidas 3 interacciones parametrizadas. Valores nuevos: hipótesis de balance v0.1.</x:v>
      </x:c>
      <x:c r="B3" s="13"/>
      <x:c r="C3" s="13"/>
      <x:c r="D3" s="13"/>
      <x:c r="E3" s="13"/>
      <x:c r="F3" s="13"/>
      <x:c r="G3" s="13"/>
      <x:c r="H3" s="13"/>
      <x:c r="I3" s="13"/>
      <x:c r="J3" s="13"/>
      <x:c r="K3" s="13"/>
      <x:c r="L3" s="13"/>
      <x:c r="M3" s="13"/>
      <x:c r="N3" s="13"/>
      <x:c r="O3" s="13"/>
    </x:row>
    <x:row r="4">
      <x:c r="A4" s="13"/>
      <x:c r="B4" s="13"/>
      <x:c r="C4" s="13"/>
      <x:c r="D4" s="13"/>
      <x:c r="E4" s="13"/>
      <x:c r="F4" s="13"/>
      <x:c r="G4" s="13"/>
      <x:c r="H4" s="13"/>
      <x:c r="I4" s="13"/>
      <x:c r="J4" s="13"/>
      <x:c r="K4" s="13"/>
      <x:c r="L4" s="13"/>
      <x:c r="M4" s="13"/>
      <x:c r="N4" s="13"/>
      <x:c r="O4" s="13"/>
    </x:row>
    <x:row r="5" ht="42" customHeight="1">
      <x:c r="A5" s="15" t="str">
        <x:v>actionId</x:v>
      </x:c>
      <x:c r="B5" s="15" t="str">
        <x:v>Nombre visible</x:v>
      </x:c>
      <x:c r="C5" s="15" t="str">
        <x:v>Descripción</x:v>
      </x:c>
      <x:c r="D5" s="15" t="str">
        <x:v>Categoría UI</x:v>
      </x:c>
      <x:c r="E5" s="15" t="str">
        <x:v>Decisión</x:v>
      </x:c>
      <x:c r="F5" s="15" t="str">
        <x:v>Costo PA</x:v>
      </x:c>
      <x:c r="G5" s="15" t="str">
        <x:v>Caja inmediata U</x:v>
      </x:c>
      <x:c r="H5" s="15" t="str">
        <x:v>Cooldown mínimo</x:v>
      </x:c>
      <x:c r="I5" s="15" t="str">
        <x:v>Uso máximo por partida</x:v>
      </x:c>
      <x:c r="J5" s="15" t="str">
        <x:v>Uso / estrategia</x:v>
      </x:c>
      <x:c r="K5" s="15" t="str">
        <x:v>Prerequisitos IDs</x:v>
      </x:c>
      <x:c r="L5" s="15" t="str">
        <x:v>Desbloqueos</x:v>
      </x:c>
      <x:c r="M5" s="15" t="str">
        <x:v>Origen / fusiones</x:v>
      </x:c>
      <x:c r="N5" s="15" t="str">
        <x:v>Relación directa</x:v>
      </x:c>
      <x:c r="O5" s="15" t="str">
        <x:v>Notas</x:v>
      </x:c>
    </x:row>
    <x:row r="6" ht="42" customHeight="1">
      <x:c r="A6" s="16" t="str">
        <x:v>emitir_dinero</x:v>
      </x:c>
      <x:c r="B6" s="16" t="str">
        <x:v>Financiamiento monetario</x:v>
      </x:c>
      <x:c r="C6" s="16" t="str">
        <x:v>Aporta liquidez al Tesoro. La reiteración presiona precios.</x:v>
      </x:c>
      <x:c r="D6" s="16" t="str">
        <x:v>Economía</x:v>
      </x:c>
      <x:c r="E6" s="16" t="str">
        <x:v>modificar</x:v>
      </x:c>
      <x:c r="F6" s="18" t="n">
        <x:v>1</x:v>
      </x:c>
      <x:c r="G6" s="18" t="n">
        <x:v>300</x:v>
      </x:c>
      <x:c r="H6" s="18" t="n">
        <x:v>1</x:v>
      </x:c>
      <x:c r="I6" s="16" t="str">
        <x:v>Sin máximo; reglas activas</x:v>
      </x:c>
      <x:c r="J6" s="16" t="str">
        <x:v>Resuelve caja hoy a cambio de riesgo acumulado.</x:v>
      </x:c>
      <x:c r="K6" s="16" t="str">
        <x:v>G_GLOBAL; </x:v>
      </x:c>
      <x:c r="L6" s="16" t="str">
        <x:v>Ninguno por historial</x:v>
      </x:c>
      <x:c r="M6" s="16" t="str">
        <x:v>emitir_dinero</x:v>
      </x:c>
      <x:c r="N6" s="16" t="str">
        <x:v>Ninguna</x:v>
      </x:c>
      <x:c r="O6" s="16" t="str">
        <x:v>Todos los efectos en 05. Caja de esta fila es resumen, no segundo asiento.</x:v>
      </x:c>
    </x:row>
    <x:row r="7" ht="42" customHeight="1">
      <x:c r="A7" s="17" t="str">
        <x:v>mejorar_recaudacion</x:v>
      </x:c>
      <x:c r="B7" s="17" t="str">
        <x:v>Modernizar la recaudación</x:v>
      </x:c>
      <x:c r="C7" s="17" t="str">
        <x:v>Reduce evasión y fricción administrativa.</x:v>
      </x:c>
      <x:c r="D7" s="17" t="str">
        <x:v>Economía</x:v>
      </x:c>
      <x:c r="E7" s="17" t="str">
        <x:v>modificar</x:v>
      </x:c>
      <x:c r="F7" s="19" t="n">
        <x:v>1</x:v>
      </x:c>
      <x:c r="G7" s="19" t="n">
        <x:v>-100</x:v>
      </x:c>
      <x:c r="H7" s="19" t="n">
        <x:v>16</x:v>
      </x:c>
      <x:c r="I7" s="17" t="n">
        <x:v>1</x:v>
      </x:c>
      <x:c r="J7" s="17" t="str">
        <x:v>Invierte antes de recaudar; no es subir alícuotas.</x:v>
      </x:c>
      <x:c r="K7" s="17" t="str">
        <x:v>G_GLOBAL; g026</x:v>
      </x:c>
      <x:c r="L7" s="17" t="str">
        <x:v>reforma_impositiva, prestamo_internacional</x:v>
      </x:c>
      <x:c r="M7" s="17" t="str">
        <x:v>mejorar_recaudacion</x:v>
      </x:c>
      <x:c r="N7" s="17" t="str">
        <x:v>Ninguna</x:v>
      </x:c>
      <x:c r="O7" s="17" t="str">
        <x:v>Todos los efectos en 05. Caja de esta fila es resumen, no segundo asiento.</x:v>
      </x:c>
    </x:row>
    <x:row r="8" ht="42" customHeight="1">
      <x:c r="A8" s="16" t="str">
        <x:v>subsidios_industriales</x:v>
      </x:c>
      <x:c r="B8" s="16" t="str">
        <x:v>Programa industrial temporal</x:v>
      </x:c>
      <x:c r="C8" s="16" t="str">
        <x:v>Cofinancia reconversión por cuatro turnos.</x:v>
      </x:c>
      <x:c r="D8" s="16" t="str">
        <x:v>Economía</x:v>
      </x:c>
      <x:c r="E8" s="16" t="str">
        <x:v>modificar</x:v>
      </x:c>
      <x:c r="F8" s="18" t="n">
        <x:v>1</x:v>
      </x:c>
      <x:c r="G8" s="18" t="n">
        <x:v>-120</x:v>
      </x:c>
      <x:c r="H8" s="18" t="n">
        <x:v>5</x:v>
      </x:c>
      <x:c r="I8" s="16" t="str">
        <x:v>Sin máximo; reglas activas</x:v>
      </x:c>
      <x:c r="J8" s="16" t="str">
        <x:v>Sostiene actividad con costo recurrente y presión ambiental.</x:v>
      </x:c>
      <x:c r="K8" s="16" t="str">
        <x:v>G_GLOBAL; g027</x:v>
      </x:c>
      <x:c r="L8" s="16" t="str">
        <x:v>Ninguno por historial</x:v>
      </x:c>
      <x:c r="M8" s="16" t="str">
        <x:v>subsidios_industriales</x:v>
      </x:c>
      <x:c r="N8" s="16" t="str">
        <x:v>Ninguna</x:v>
      </x:c>
      <x:c r="O8" s="16" t="str">
        <x:v>Todos los efectos en 05. Caja de esta fila es resumen, no segundo asiento.</x:v>
      </x:c>
    </x:row>
    <x:row r="9" ht="42" customHeight="1">
      <x:c r="A9" s="17" t="str">
        <x:v>reforma_impositiva</x:v>
      </x:c>
      <x:c r="B9" s="17" t="str">
        <x:v>Reforma tributaria recaudatoria</x:v>
      </x:c>
      <x:c r="C9" s="17" t="str">
        <x:v>Amplía base y progresividad con mayor recaudación estructural.</x:v>
      </x:c>
      <x:c r="D9" s="17" t="str">
        <x:v>Economía</x:v>
      </x:c>
      <x:c r="E9" s="17" t="str">
        <x:v>modificar</x:v>
      </x:c>
      <x:c r="F9" s="19" t="n">
        <x:v>1</x:v>
      </x:c>
      <x:c r="G9" s="19" t="n">
        <x:v>-100</x:v>
      </x:c>
      <x:c r="H9" s="19" t="n">
        <x:v>16</x:v>
      </x:c>
      <x:c r="I9" s="17" t="n">
        <x:v>1</x:v>
      </x:c>
      <x:c r="J9" s="17" t="str">
        <x:v>Mejora margen fiscal a costa de ingreso disponible.</x:v>
      </x:c>
      <x:c r="K9" s="17" t="str">
        <x:v>G_GLOBAL; g001, g002, g028</x:v>
      </x:c>
      <x:c r="L9" s="17" t="str">
        <x:v>Ninguno por historial</x:v>
      </x:c>
      <x:c r="M9" s="17" t="str">
        <x:v>reforma_impositiva</x:v>
      </x:c>
      <x:c r="N9" s="17" t="str">
        <x:v>Ninguna</x:v>
      </x:c>
      <x:c r="O9" s="17" t="str">
        <x:v>Todos los efectos en 05. Caja de esta fila es resumen, no segundo asiento.</x:v>
      </x:c>
    </x:row>
    <x:row r="10" ht="42" customHeight="1">
      <x:c r="A10" s="16" t="str">
        <x:v>incentivos_exportacion</x:v>
      </x:c>
      <x:c r="B10" s="16" t="str">
        <x:v>Facilitación exportadora</x:v>
      </x:c>
      <x:c r="C10" s="16" t="str">
        <x:v>Simplifica logística y certificación para vender afuera.</x:v>
      </x:c>
      <x:c r="D10" s="16" t="str">
        <x:v>Economía</x:v>
      </x:c>
      <x:c r="E10" s="16" t="str">
        <x:v>modificar</x:v>
      </x:c>
      <x:c r="F10" s="18" t="n">
        <x:v>1</x:v>
      </x:c>
      <x:c r="G10" s="18" t="n">
        <x:v>-160</x:v>
      </x:c>
      <x:c r="H10" s="18" t="n">
        <x:v>5</x:v>
      </x:c>
      <x:c r="I10" s="16" t="str">
        <x:v>Sin máximo; reglas activas</x:v>
      </x:c>
      <x:c r="J10" s="16" t="str">
        <x:v>Mejora capacidad externa con resultado demorado.</x:v>
      </x:c>
      <x:c r="K10" s="16" t="str">
        <x:v>G_GLOBAL; g029</x:v>
      </x:c>
      <x:c r="L10" s="16" t="str">
        <x:v>Ninguno por historial</x:v>
      </x:c>
      <x:c r="M10" s="16" t="str">
        <x:v>incentivos_exportacion</x:v>
      </x:c>
      <x:c r="N10" s="16" t="str">
        <x:v>Ninguna</x:v>
      </x:c>
      <x:c r="O10" s="16" t="str">
        <x:v>Todos los efectos en 05. Caja de esta fila es resumen, no segundo asiento.</x:v>
      </x:c>
    </x:row>
    <x:row r="11" ht="42" customHeight="1">
      <x:c r="A11" s="17" t="str">
        <x:v>control_precios</x:v>
      </x:c>
      <x:c r="B11" s="17" t="str">
        <x:v>Acuerdo temporal de precios</x:v>
      </x:c>
      <x:c r="C11" s="17" t="str">
        <x:v>Congela temporalmente una canasta bajo acuerdo verificable.</x:v>
      </x:c>
      <x:c r="D11" s="17" t="str">
        <x:v>Economía</x:v>
      </x:c>
      <x:c r="E11" s="17" t="str">
        <x:v>modificar</x:v>
      </x:c>
      <x:c r="F11" s="19" t="n">
        <x:v>1</x:v>
      </x:c>
      <x:c r="G11" s="19" t="n">
        <x:v>-60</x:v>
      </x:c>
      <x:c r="H11" s="19" t="n">
        <x:v>4</x:v>
      </x:c>
      <x:c r="I11" s="17" t="str">
        <x:v>Sin máximo; reglas activas</x:v>
      </x:c>
      <x:c r="J11" s="17" t="str">
        <x:v>Alivia presión observada, pero puede tensionar oferta.</x:v>
      </x:c>
      <x:c r="K11" s="17" t="str">
        <x:v>G_GLOBAL; g003, g030</x:v>
      </x:c>
      <x:c r="L11" s="17" t="str">
        <x:v>Ninguno por historial</x:v>
      </x:c>
      <x:c r="M11" s="17" t="str">
        <x:v>control_precios</x:v>
      </x:c>
      <x:c r="N11" s="17" t="str">
        <x:v>Ninguna</x:v>
      </x:c>
      <x:c r="O11" s="17" t="str">
        <x:v>Todos los efectos en 05. Caja de esta fila es resumen, no segundo asiento.</x:v>
      </x:c>
    </x:row>
    <x:row r="12" ht="42" customHeight="1">
      <x:c r="A12" s="16" t="str">
        <x:v>aumento_salarial</x:v>
      </x:c>
      <x:c r="B12" s="16" t="str">
        <x:v>Salarios públicos y piso salarial</x:v>
      </x:c>
      <x:c r="C12" s="16" t="str">
        <x:v>Actualiza salarios públicos y referencia mínima tras negociación.</x:v>
      </x:c>
      <x:c r="D12" s="16" t="str">
        <x:v>Economía</x:v>
      </x:c>
      <x:c r="E12" s="16" t="str">
        <x:v>modificar</x:v>
      </x:c>
      <x:c r="F12" s="18" t="n">
        <x:v>1</x:v>
      </x:c>
      <x:c r="G12" s="18" t="n">
        <x:v>-80</x:v>
      </x:c>
      <x:c r="H12" s="18" t="n">
        <x:v>4</x:v>
      </x:c>
      <x:c r="I12" s="16" t="n">
        <x:v>2</x:v>
      </x:c>
      <x:c r="J12" s="16" t="str">
        <x:v>Mejora compra con gasto recurrente y presión según contexto.</x:v>
      </x:c>
      <x:c r="K12" s="16" t="str">
        <x:v>G_GLOBAL; g004, g031</x:v>
      </x:c>
      <x:c r="L12" s="16" t="str">
        <x:v>Ninguno por historial</x:v>
      </x:c>
      <x:c r="M12" s="16" t="str">
        <x:v>aumento_salarial</x:v>
      </x:c>
      <x:c r="N12" s="16" t="str">
        <x:v>Ninguna</x:v>
      </x:c>
      <x:c r="O12" s="16" t="str">
        <x:v>Todos los efectos en 05. Caja de esta fila es resumen, no segundo asiento.</x:v>
      </x:c>
    </x:row>
    <x:row r="13" ht="42" customHeight="1">
      <x:c r="A13" s="17" t="str">
        <x:v>reduccion_gasto</x:v>
      </x:c>
      <x:c r="B13" s="17" t="str">
        <x:v>Ajuste de programas y planteles</x:v>
      </x:c>
      <x:c r="C13" s="17" t="str">
        <x:v>Reduce gasto recurrente y cobertura efectiva.</x:v>
      </x:c>
      <x:c r="D13" s="17" t="str">
        <x:v>Economía</x:v>
      </x:c>
      <x:c r="E13" s="17" t="str">
        <x:v>modificar</x:v>
      </x:c>
      <x:c r="F13" s="19" t="n">
        <x:v>1</x:v>
      </x:c>
      <x:c r="G13" s="19" t="n">
        <x:v>-40</x:v>
      </x:c>
      <x:c r="H13" s="19" t="n">
        <x:v>6</x:v>
      </x:c>
      <x:c r="I13" s="17" t="n">
        <x:v>2</x:v>
      </x:c>
      <x:c r="J13" s="17" t="str">
        <x:v>Recupera margen fiscal con costo social.</x:v>
      </x:c>
      <x:c r="K13" s="17" t="str">
        <x:v>G_GLOBAL; g032</x:v>
      </x:c>
      <x:c r="L13" s="17" t="str">
        <x:v>Ninguno por historial</x:v>
      </x:c>
      <x:c r="M13" s="17" t="str">
        <x:v>reduccion_gasto</x:v>
      </x:c>
      <x:c r="N13" s="17" t="str">
        <x:v>Ninguna</x:v>
      </x:c>
      <x:c r="O13" s="17" t="str">
        <x:v>Todos los efectos en 05. Caja de esta fila es resumen, no segundo asiento.</x:v>
      </x:c>
    </x:row>
    <x:row r="14" ht="42" customHeight="1">
      <x:c r="A14" s="16" t="str">
        <x:v>prestamo_internacional</x:v>
      </x:c>
      <x:c r="B14" s="16" t="str">
        <x:v>Préstamo externo a ocho turnos</x:v>
      </x:c>
      <x:c r="C14" s="16" t="str">
        <x:v>Obtiene 800 U con interés de 24 U por turno y amortización final.</x:v>
      </x:c>
      <x:c r="D14" s="16" t="str">
        <x:v>Economía</x:v>
      </x:c>
      <x:c r="E14" s="16" t="str">
        <x:v>modificar</x:v>
      </x:c>
      <x:c r="F14" s="18" t="n">
        <x:v>1</x:v>
      </x:c>
      <x:c r="G14" s="18" t="n">
        <x:v>800</x:v>
      </x:c>
      <x:c r="H14" s="18" t="n">
        <x:v>4</x:v>
      </x:c>
      <x:c r="I14" s="16" t="str">
        <x:v>Sin máximo; reglas activas</x:v>
      </x:c>
      <x:c r="J14" s="16" t="str">
        <x:v>Más caja y vencimiento explícito. No crea margen fiscal.</x:v>
      </x:c>
      <x:c r="K14" s="16" t="str">
        <x:v>G_GLOBAL; g005, g006, g007, g008</x:v>
      </x:c>
      <x:c r="L14" s="16" t="str">
        <x:v>Ninguno por historial</x:v>
      </x:c>
      <x:c r="M14" s="16" t="str">
        <x:v>prestamo_internacional</x:v>
      </x:c>
      <x:c r="N14" s="16" t="str">
        <x:v>Ninguna</x:v>
      </x:c>
      <x:c r="O14" s="16" t="str">
        <x:v>Todos los efectos en 05. Caja de esta fila es resumen, no segundo asiento.</x:v>
      </x:c>
    </x:row>
    <x:row r="15" ht="42" customHeight="1">
      <x:c r="A15" s="17" t="str">
        <x:v>prestamo_local</x:v>
      </x:c>
      <x:c r="B15" s="17" t="str">
        <x:v>Préstamo local a seis turnos</x:v>
      </x:c>
      <x:c r="C15" s="17" t="str">
        <x:v>Obtiene 500 U. Interés 20 U por turno; principal al sexto.</x:v>
      </x:c>
      <x:c r="D15" s="17" t="str">
        <x:v>Economía</x:v>
      </x:c>
      <x:c r="E15" s="17" t="str">
        <x:v>modificar</x:v>
      </x:c>
      <x:c r="F15" s="19" t="n">
        <x:v>1</x:v>
      </x:c>
      <x:c r="G15" s="19" t="n">
        <x:v>500</x:v>
      </x:c>
      <x:c r="H15" s="19" t="n">
        <x:v>3</x:v>
      </x:c>
      <x:c r="I15" s="17" t="str">
        <x:v>Sin máximo; reglas activas</x:v>
      </x:c>
      <x:c r="J15" s="17" t="str">
        <x:v>Menor plazo y desplazamiento temporal de crédito privado.</x:v>
      </x:c>
      <x:c r="K15" s="17" t="str">
        <x:v>G_GLOBAL; g009, g010</x:v>
      </x:c>
      <x:c r="L15" s="17" t="str">
        <x:v>Ninguno por historial</x:v>
      </x:c>
      <x:c r="M15" s="17" t="str">
        <x:v>prestamo_local</x:v>
      </x:c>
      <x:c r="N15" s="17" t="str">
        <x:v>Ninguna</x:v>
      </x:c>
      <x:c r="O15" s="17" t="str">
        <x:v>Todos los efectos en 05. Caja de esta fila es resumen, no segundo asiento.</x:v>
      </x:c>
    </x:row>
    <x:row r="16" ht="42" customHeight="1">
      <x:c r="A16" s="16" t="str">
        <x:v>atraccion_inversiones</x:v>
      </x:c>
      <x:c r="B16" s="16" t="str">
        <x:v>Garantías para inversión productiva</x:v>
      </x:c>
      <x:c r="C16" s="16" t="str">
        <x:v>Financia preparación de proyectos y reglas de ejecución.</x:v>
      </x:c>
      <x:c r="D16" s="16" t="str">
        <x:v>Economía</x:v>
      </x:c>
      <x:c r="E16" s="16" t="str">
        <x:v>modificar</x:v>
      </x:c>
      <x:c r="F16" s="18" t="n">
        <x:v>1</x:v>
      </x:c>
      <x:c r="G16" s="18" t="n">
        <x:v>-130</x:v>
      </x:c>
      <x:c r="H16" s="18" t="n">
        <x:v>5</x:v>
      </x:c>
      <x:c r="I16" s="16" t="str">
        <x:v>Sin máximo; reglas activas</x:v>
      </x:c>
      <x:c r="J16" s="16" t="str">
        <x:v>Beneficio sólo si hay crédito y garantías públicas suficientes.</x:v>
      </x:c>
      <x:c r="K16" s="16" t="str">
        <x:v>G_GLOBAL; g033</x:v>
      </x:c>
      <x:c r="L16" s="16" t="str">
        <x:v>Ninguno por historial</x:v>
      </x:c>
      <x:c r="M16" s="16" t="str">
        <x:v>atraccion_inversiones</x:v>
      </x:c>
      <x:c r="N16" s="16" t="str">
        <x:v>Ninguna</x:v>
      </x:c>
      <x:c r="O16" s="16" t="str">
        <x:v>Todos los efectos en 05. Caja de esta fila es resumen, no segundo asiento.</x:v>
      </x:c>
    </x:row>
    <x:row r="17" ht="42" customHeight="1">
      <x:c r="A17" s="17" t="str">
        <x:v>plan_viviendas</x:v>
      </x:c>
      <x:c r="B17" s="17" t="str">
        <x:v>Plan federal de vivienda</x:v>
      </x:c>
      <x:c r="C17" s="17" t="str">
        <x:v>Construye vivienda priorizando déficit urbano o rural.</x:v>
      </x:c>
      <x:c r="D17" s="17" t="str">
        <x:v>Servicios</x:v>
      </x:c>
      <x:c r="E17" s="17" t="str">
        <x:v>modificar</x:v>
      </x:c>
      <x:c r="F17" s="19" t="n">
        <x:v>1</x:v>
      </x:c>
      <x:c r="G17" s="19" t="n">
        <x:v>-320</x:v>
      </x:c>
      <x:c r="H17" s="19" t="n">
        <x:v>6</x:v>
      </x:c>
      <x:c r="I17" s="17" t="n">
        <x:v>2</x:v>
      </x:c>
      <x:c r="J17" s="17" t="str">
        <x:v>Beneficio de cobertura demorado; paga operación luego.</x:v>
      </x:c>
      <x:c r="K17" s="17" t="str">
        <x:v>G_GLOBAL; g034, g035</x:v>
      </x:c>
      <x:c r="L17" s="17" t="str">
        <x:v>Ninguno por historial</x:v>
      </x:c>
      <x:c r="M17" s="17" t="str">
        <x:v>plan_viviendas, viviendas_rurales</x:v>
      </x:c>
      <x:c r="N17" s="17" t="str">
        <x:v>Ninguna</x:v>
      </x:c>
      <x:c r="O17" s="17" t="str">
        <x:v>Todos los efectos en 05. Caja de esta fila es resumen, no segundo asiento.</x:v>
      </x:c>
    </x:row>
    <x:row r="18" ht="42" customHeight="1">
      <x:c r="A18" s="16" t="str">
        <x:v>programa_educativo</x:v>
      </x:c>
      <x:c r="B18" s="16" t="str">
        <x:v>Plan educativo y formación docente</x:v>
      </x:c>
      <x:c r="C18" s="16" t="str">
        <x:v>Mejora materiales, formación y continuidad educativa.</x:v>
      </x:c>
      <x:c r="D18" s="16" t="str">
        <x:v>Servicios</x:v>
      </x:c>
      <x:c r="E18" s="16" t="str">
        <x:v>modificar</x:v>
      </x:c>
      <x:c r="F18" s="18" t="n">
        <x:v>1</x:v>
      </x:c>
      <x:c r="G18" s="18" t="n">
        <x:v>-200</x:v>
      </x:c>
      <x:c r="H18" s="18" t="n">
        <x:v>6</x:v>
      </x:c>
      <x:c r="I18" s="16" t="n">
        <x:v>1</x:v>
      </x:c>
      <x:c r="J18" s="16" t="str">
        <x:v>Mejora educativa sostenida con operación permanente.</x:v>
      </x:c>
      <x:c r="K18" s="16" t="str">
        <x:v>G_GLOBAL; g037</x:v>
      </x:c>
      <x:c r="L18" s="16" t="str">
        <x:v>Ninguno por historial</x:v>
      </x:c>
      <x:c r="M18" s="16" t="str">
        <x:v>programa_educativo, promover_educacion</x:v>
      </x:c>
      <x:c r="N18" s="16" t="str">
        <x:v>Ninguna</x:v>
      </x:c>
      <x:c r="O18" s="16" t="str">
        <x:v>Todos los efectos en 05. Caja de esta fila es resumen, no segundo asiento.</x:v>
      </x:c>
    </x:row>
    <x:row r="19" ht="42" customHeight="1">
      <x:c r="A19" s="17" t="str">
        <x:v>salud_preventiva</x:v>
      </x:c>
      <x:c r="B19" s="17" t="str">
        <x:v>Atención primaria y prevención</x:v>
      </x:c>
      <x:c r="C19" s="17" t="str">
        <x:v>Refuerza prevención y primer nivel.</x:v>
      </x:c>
      <x:c r="D19" s="17" t="str">
        <x:v>Servicios</x:v>
      </x:c>
      <x:c r="E19" s="17" t="str">
        <x:v>modificar</x:v>
      </x:c>
      <x:c r="F19" s="19" t="n">
        <x:v>1</x:v>
      </x:c>
      <x:c r="G19" s="19" t="n">
        <x:v>-180</x:v>
      </x:c>
      <x:c r="H19" s="19" t="n">
        <x:v>5</x:v>
      </x:c>
      <x:c r="I19" s="17" t="n">
        <x:v>1</x:v>
      </x:c>
      <x:c r="J19" s="17" t="str">
        <x:v>Retorno más rápido y pequeño que hospitales.</x:v>
      </x:c>
      <x:c r="K19" s="17" t="str">
        <x:v>G_GLOBAL; g038</x:v>
      </x:c>
      <x:c r="L19" s="17" t="str">
        <x:v>Ninguno por historial</x:v>
      </x:c>
      <x:c r="M19" s="17" t="str">
        <x:v>salud_preventiva</x:v>
      </x:c>
      <x:c r="N19" s="17" t="str">
        <x:v>Ninguna</x:v>
      </x:c>
      <x:c r="O19" s="17" t="str">
        <x:v>Todos los efectos en 05. Caja de esta fila es resumen, no segundo asiento.</x:v>
      </x:c>
    </x:row>
    <x:row r="20" ht="42" customHeight="1">
      <x:c r="A20" s="16" t="str">
        <x:v>empleo_joven</x:v>
      </x:c>
      <x:c r="B20" s="16" t="str">
        <x:v>Formación e inserción laboral</x:v>
      </x:c>
      <x:c r="C20" s="16" t="str">
        <x:v>Conecta formación con primeras contrataciones.</x:v>
      </x:c>
      <x:c r="D20" s="16" t="str">
        <x:v>Servicios</x:v>
      </x:c>
      <x:c r="E20" s="16" t="str">
        <x:v>modificar</x:v>
      </x:c>
      <x:c r="F20" s="18" t="n">
        <x:v>1</x:v>
      </x:c>
      <x:c r="G20" s="18" t="n">
        <x:v>-120</x:v>
      </x:c>
      <x:c r="H20" s="18" t="n">
        <x:v>5</x:v>
      </x:c>
      <x:c r="I20" s="16" t="str">
        <x:v>Sin máximo; reglas activas</x:v>
      </x:c>
      <x:c r="J20" s="16" t="str">
        <x:v>Retorno laboral limitado por demanda.</x:v>
      </x:c>
      <x:c r="K20" s="16" t="str">
        <x:v>G_GLOBAL; g039</x:v>
      </x:c>
      <x:c r="L20" s="16" t="str">
        <x:v>Ninguno por historial</x:v>
      </x:c>
      <x:c r="M20" s="16" t="str">
        <x:v>empleo_joven</x:v>
      </x:c>
      <x:c r="N20" s="16" t="str">
        <x:v>Ninguna</x:v>
      </x:c>
      <x:c r="O20" s="16" t="str">
        <x:v>Todos los efectos en 05. Caja de esta fila es resumen, no segundo asiento.</x:v>
      </x:c>
    </x:row>
    <x:row r="21" ht="42" customHeight="1">
      <x:c r="A21" s="17" t="str">
        <x:v>cobertura_social</x:v>
      </x:c>
      <x:c r="B21" s="17" t="str">
        <x:v>Cobertura social y cuidados</x:v>
      </x:c>
      <x:c r="C21" s="17" t="str">
        <x:v>Amplía prestaciones a hogares, mayores y personas dependientes.</x:v>
      </x:c>
      <x:c r="D21" s="17" t="str">
        <x:v>Servicios</x:v>
      </x:c>
      <x:c r="E21" s="17" t="str">
        <x:v>modificar</x:v>
      </x:c>
      <x:c r="F21" s="19" t="n">
        <x:v>1</x:v>
      </x:c>
      <x:c r="G21" s="19" t="n">
        <x:v>-100</x:v>
      </x:c>
      <x:c r="H21" s="19" t="n">
        <x:v>6</x:v>
      </x:c>
      <x:c r="I21" s="17" t="n">
        <x:v>1</x:v>
      </x:c>
      <x:c r="J21" s="17" t="str">
        <x:v>Contiene vulnerabilidad con obligación recurrente.</x:v>
      </x:c>
      <x:c r="K21" s="17" t="str">
        <x:v>G_GLOBAL; g040</x:v>
      </x:c>
      <x:c r="L21" s="17" t="str">
        <x:v>Ninguno por historial</x:v>
      </x:c>
      <x:c r="M21" s="17" t="str">
        <x:v>cobertura_social, tercera_edad</x:v>
      </x:c>
      <x:c r="N21" s="17" t="str">
        <x:v>Ninguna</x:v>
      </x:c>
      <x:c r="O21" s="17" t="str">
        <x:v>Todos los efectos en 05. Caja de esta fila es resumen, no segundo asiento.</x:v>
      </x:c>
    </x:row>
    <x:row r="22" ht="42" customHeight="1">
      <x:c r="A22" s="16" t="str">
        <x:v>alfabetizacion</x:v>
      </x:c>
      <x:c r="B22" s="16" t="str">
        <x:v>Alfabetización y educación comunitaria</x:v>
      </x:c>
      <x:c r="C22" s="16" t="str">
        <x:v>Recupera aprendizajes básicos donde existe rezago.</x:v>
      </x:c>
      <x:c r="D22" s="16" t="str">
        <x:v>Servicios</x:v>
      </x:c>
      <x:c r="E22" s="16" t="str">
        <x:v>modificar</x:v>
      </x:c>
      <x:c r="F22" s="18" t="n">
        <x:v>1</x:v>
      </x:c>
      <x:c r="G22" s="18" t="n">
        <x:v>-110</x:v>
      </x:c>
      <x:c r="H22" s="18" t="n">
        <x:v>4</x:v>
      </x:c>
      <x:c r="I22" s="16" t="str">
        <x:v>Sin máximo; reglas activas</x:v>
      </x:c>
      <x:c r="J22" s="16" t="str">
        <x:v>Más eficaz con educación baja.</x:v>
      </x:c>
      <x:c r="K22" s="16" t="str">
        <x:v>G_GLOBAL; g041</x:v>
      </x:c>
      <x:c r="L22" s="16" t="str">
        <x:v>Ninguno por historial</x:v>
      </x:c>
      <x:c r="M22" s="16" t="str">
        <x:v>alfabetizacion</x:v>
      </x:c>
      <x:c r="N22" s="16" t="str">
        <x:v>Ninguna</x:v>
      </x:c>
      <x:c r="O22" s="16" t="str">
        <x:v>Todos los efectos en 05. Caja de esta fila es resumen, no segundo asiento.</x:v>
      </x:c>
    </x:row>
    <x:row r="23" ht="42" customHeight="1">
      <x:c r="A23" s="17" t="str">
        <x:v>programa_alimentario</x:v>
      </x:c>
      <x:c r="B23" s="17" t="str">
        <x:v>Asistencia alimentaria de emergencia</x:v>
      </x:c>
      <x:c r="C23" s="17" t="str">
        <x:v>Sostiene cobertura mientras dura una crisis de hogares.</x:v>
      </x:c>
      <x:c r="D23" s="17" t="str">
        <x:v>Servicios</x:v>
      </x:c>
      <x:c r="E23" s="17" t="str">
        <x:v>modificar</x:v>
      </x:c>
      <x:c r="F23" s="19" t="n">
        <x:v>1</x:v>
      </x:c>
      <x:c r="G23" s="19" t="n">
        <x:v>-80</x:v>
      </x:c>
      <x:c r="H23" s="19" t="n">
        <x:v>3</x:v>
      </x:c>
      <x:c r="I23" s="17" t="str">
        <x:v>Sin máximo; reglas activas</x:v>
      </x:c>
      <x:c r="J23" s="17" t="str">
        <x:v>Rápido pero temporal. No reemplaza vivienda o empleo.</x:v>
      </x:c>
      <x:c r="K23" s="17" t="str">
        <x:v>G_GLOBAL; g011, g042</x:v>
      </x:c>
      <x:c r="L23" s="17" t="str">
        <x:v>Ninguno por historial</x:v>
      </x:c>
      <x:c r="M23" s="17" t="str">
        <x:v>programa_alimentario</x:v>
      </x:c>
      <x:c r="N23" s="17" t="str">
        <x:v>Ninguna</x:v>
      </x:c>
      <x:c r="O23" s="17" t="str">
        <x:v>Todos los efectos en 05. Caja de esta fila es resumen, no segundo asiento.</x:v>
      </x:c>
    </x:row>
    <x:row r="24" ht="42" customHeight="1">
      <x:c r="A24" s="16" t="str">
        <x:v>igualdad_genero</x:v>
      </x:c>
      <x:c r="B24" s="16" t="str">
        <x:v>Igualdad, cuidados y acceso a derechos</x:v>
      </x:c>
      <x:c r="C24" s="16" t="str">
        <x:v>Remueve barreras de acceso y refuerza atención a violencia.</x:v>
      </x:c>
      <x:c r="D24" s="16" t="str">
        <x:v>Instituciones</x:v>
      </x:c>
      <x:c r="E24" s="16" t="str">
        <x:v>modificar</x:v>
      </x:c>
      <x:c r="F24" s="18" t="n">
        <x:v>1</x:v>
      </x:c>
      <x:c r="G24" s="18" t="n">
        <x:v>-120</x:v>
      </x:c>
      <x:c r="H24" s="18" t="n">
        <x:v>5</x:v>
      </x:c>
      <x:c r="I24" s="16" t="n">
        <x:v>1</x:v>
      </x:c>
      <x:c r="J24" s="16" t="str">
        <x:v>Dos resultados verificables, sin bono ideológico.</x:v>
      </x:c>
      <x:c r="K24" s="16" t="str">
        <x:v>G_GLOBAL; g043</x:v>
      </x:c>
      <x:c r="L24" s="16" t="str">
        <x:v>Ninguno por historial</x:v>
      </x:c>
      <x:c r="M24" s="16" t="str">
        <x:v>igualdad_genero</x:v>
      </x:c>
      <x:c r="N24" s="16" t="str">
        <x:v>Ninguna</x:v>
      </x:c>
      <x:c r="O24" s="16" t="str">
        <x:v>Todos los efectos en 05. Caja de esta fila es resumen, no segundo asiento.</x:v>
      </x:c>
    </x:row>
    <x:row r="25" ht="42" customHeight="1">
      <x:c r="A25" s="17" t="str">
        <x:v>transporte_publico</x:v>
      </x:c>
      <x:c r="B25" s="17" t="str">
        <x:v>Transporte público metropolitano</x:v>
      </x:c>
      <x:c r="C25" s="17" t="str">
        <x:v>Cofinancia servicio y conexiones con provincias.</x:v>
      </x:c>
      <x:c r="D25" s="17" t="str">
        <x:v>Infraestructura</x:v>
      </x:c>
      <x:c r="E25" s="17" t="str">
        <x:v>modificar</x:v>
      </x:c>
      <x:c r="F25" s="19" t="n">
        <x:v>1</x:v>
      </x:c>
      <x:c r="G25" s="19" t="n">
        <x:v>-260</x:v>
      </x:c>
      <x:c r="H25" s="19" t="n">
        <x:v>6</x:v>
      </x:c>
      <x:c r="I25" s="17" t="n">
        <x:v>1</x:v>
      </x:c>
      <x:c r="J25" s="17" t="str">
        <x:v>Reduce barreras de acceso, exige operación.</x:v>
      </x:c>
      <x:c r="K25" s="17" t="str">
        <x:v>G_GLOBAL; g044</x:v>
      </x:c>
      <x:c r="L25" s="17" t="str">
        <x:v>Ninguno por historial</x:v>
      </x:c>
      <x:c r="M25" s="17" t="str">
        <x:v>transporte_publico</x:v>
      </x:c>
      <x:c r="N25" s="17" t="str">
        <x:v>Ninguna</x:v>
      </x:c>
      <x:c r="O25" s="17" t="str">
        <x:v>Todos los efectos en 05. Caja de esta fila es resumen, no segundo asiento.</x:v>
      </x:c>
    </x:row>
    <x:row r="26" ht="42" customHeight="1">
      <x:c r="A26" s="16" t="str">
        <x:v>energia_renovable</x:v>
      </x:c>
      <x:c r="B26" s="16" t="str">
        <x:v>Transición energética</x:v>
      </x:c>
      <x:c r="C26" s="16" t="str">
        <x:v>Instala capacidad energética con menor impacto.</x:v>
      </x:c>
      <x:c r="D26" s="16" t="str">
        <x:v>Infraestructura</x:v>
      </x:c>
      <x:c r="E26" s="16" t="str">
        <x:v>modificar</x:v>
      </x:c>
      <x:c r="F26" s="18" t="n">
        <x:v>1</x:v>
      </x:c>
      <x:c r="G26" s="18" t="n">
        <x:v>-400</x:v>
      </x:c>
      <x:c r="H26" s="18" t="n">
        <x:v>7</x:v>
      </x:c>
      <x:c r="I26" s="16" t="n">
        <x:v>2</x:v>
      </x:c>
      <x:c r="J26" s="16" t="str">
        <x:v>Lenta y costosa; mejora ambiente y redes.</x:v>
      </x:c>
      <x:c r="K26" s="16" t="str">
        <x:v>G_GLOBAL; g045, g046</x:v>
      </x:c>
      <x:c r="L26" s="16" t="str">
        <x:v>Ninguno por historial</x:v>
      </x:c>
      <x:c r="M26" s="16" t="str">
        <x:v>energia_renovable</x:v>
      </x:c>
      <x:c r="N26" s="16" t="str">
        <x:v>Ninguna</x:v>
      </x:c>
      <x:c r="O26" s="16" t="str">
        <x:v>Todos los efectos en 05. Caja de esta fila es resumen, no segundo asiento.</x:v>
      </x:c>
    </x:row>
    <x:row r="27" ht="42" customHeight="1">
      <x:c r="A27" s="17" t="str">
        <x:v>construccion_hospitales</x:v>
      </x:c>
      <x:c r="B27" s="17" t="str">
        <x:v>Red hospitalaria federal</x:v>
      </x:c>
      <x:c r="C27" s="17" t="str">
        <x:v>Construye y dota hospitales.</x:v>
      </x:c>
      <x:c r="D27" s="17" t="str">
        <x:v>Infraestructura</x:v>
      </x:c>
      <x:c r="E27" s="17" t="str">
        <x:v>modificar</x:v>
      </x:c>
      <x:c r="F27" s="19" t="n">
        <x:v>1</x:v>
      </x:c>
      <x:c r="G27" s="19" t="n">
        <x:v>-450</x:v>
      </x:c>
      <x:c r="H27" s="19" t="n">
        <x:v>8</x:v>
      </x:c>
      <x:c r="I27" s="17" t="n">
        <x:v>2</x:v>
      </x:c>
      <x:c r="J27" s="17" t="str">
        <x:v>Gran beneficio sanitario diferido y gasto recurrente alto.</x:v>
      </x:c>
      <x:c r="K27" s="17" t="str">
        <x:v>G_GLOBAL; g048, g049</x:v>
      </x:c>
      <x:c r="L27" s="17" t="str">
        <x:v>Ninguno por historial</x:v>
      </x:c>
      <x:c r="M27" s="17" t="str">
        <x:v>construccion_hospitales</x:v>
      </x:c>
      <x:c r="N27" s="17" t="str">
        <x:v>Ninguna</x:v>
      </x:c>
      <x:c r="O27" s="17" t="str">
        <x:v>Todos los efectos en 05. Caja de esta fila es resumen, no segundo asiento.</x:v>
      </x:c>
    </x:row>
    <x:row r="28" ht="42" customHeight="1">
      <x:c r="A28" s="16" t="str">
        <x:v>plan_conectividad</x:v>
      </x:c>
      <x:c r="B28" s="16" t="str">
        <x:v>Conectividad y acceso digital</x:v>
      </x:c>
      <x:c r="C28" s="16" t="str">
        <x:v>Integra redes, acceso y alfabetización digital.</x:v>
      </x:c>
      <x:c r="D28" s="16" t="str">
        <x:v>Infraestructura</x:v>
      </x:c>
      <x:c r="E28" s="16" t="str">
        <x:v>modificar</x:v>
      </x:c>
      <x:c r="F28" s="18" t="n">
        <x:v>1</x:v>
      </x:c>
      <x:c r="G28" s="18" t="n">
        <x:v>-260</x:v>
      </x:c>
      <x:c r="H28" s="18" t="n">
        <x:v>6</x:v>
      </x:c>
      <x:c r="I28" s="16" t="n">
        <x:v>2</x:v>
      </x:c>
      <x:c r="J28" s="16" t="str">
        <x:v>Unifica tres acciones redundantes.</x:v>
      </x:c>
      <x:c r="K28" s="16" t="str">
        <x:v>G_GLOBAL; g051, g052</x:v>
      </x:c>
      <x:c r="L28" s="16" t="str">
        <x:v>Ninguno por historial</x:v>
      </x:c>
      <x:c r="M28" s="16" t="str">
        <x:v>plan_conectividad, inclusion_digital, red_comunicaciones</x:v>
      </x:c>
      <x:c r="N28" s="16" t="str">
        <x:v>Ninguna</x:v>
      </x:c>
      <x:c r="O28" s="16" t="str">
        <x:v>Todos los efectos en 05. Caja de esta fila es resumen, no segundo asiento.</x:v>
      </x:c>
    </x:row>
    <x:row r="29" ht="42" customHeight="1">
      <x:c r="A29" s="17" t="str">
        <x:v>reforestacion</x:v>
      </x:c>
      <x:c r="B29" s="17" t="str">
        <x:v>Restauración de ecosistemas</x:v>
      </x:c>
      <x:c r="C29" s="17" t="str">
        <x:v>Restaura suelos y cobertura vegetal.</x:v>
      </x:c>
      <x:c r="D29" s="17" t="str">
        <x:v>Infraestructura</x:v>
      </x:c>
      <x:c r="E29" s="17" t="str">
        <x:v>modificar</x:v>
      </x:c>
      <x:c r="F29" s="19" t="n">
        <x:v>1</x:v>
      </x:c>
      <x:c r="G29" s="19" t="n">
        <x:v>-160</x:v>
      </x:c>
      <x:c r="H29" s="19" t="n">
        <x:v>5</x:v>
      </x:c>
      <x:c r="I29" s="17" t="str">
        <x:v>Sin máximo; reglas activas</x:v>
      </x:c>
      <x:c r="J29" s="17" t="str">
        <x:v>Retorno ambiental lento, sin ingreso automático.</x:v>
      </x:c>
      <x:c r="K29" s="17" t="str">
        <x:v>G_GLOBAL; g054</x:v>
      </x:c>
      <x:c r="L29" s="17" t="str">
        <x:v>Ninguno por historial</x:v>
      </x:c>
      <x:c r="M29" s="17" t="str">
        <x:v>reforestacion</x:v>
      </x:c>
      <x:c r="N29" s="17" t="str">
        <x:v>Ninguna</x:v>
      </x:c>
      <x:c r="O29" s="17" t="str">
        <x:v>Todos los efectos en 05. Caja de esta fila es resumen, no segundo asiento.</x:v>
      </x:c>
    </x:row>
    <x:row r="30" ht="42" customHeight="1">
      <x:c r="A30" s="16" t="str">
        <x:v>infraestructura_vial</x:v>
      </x:c>
      <x:c r="B30" s="16" t="str">
        <x:v>Corredores viales productivos</x:v>
      </x:c>
      <x:c r="C30" s="16" t="str">
        <x:v>Mejora transporte nacional y acceso a puertos.</x:v>
      </x:c>
      <x:c r="D30" s="16" t="str">
        <x:v>Infraestructura</x:v>
      </x:c>
      <x:c r="E30" s="16" t="str">
        <x:v>modificar</x:v>
      </x:c>
      <x:c r="F30" s="18" t="n">
        <x:v>1</x:v>
      </x:c>
      <x:c r="G30" s="18" t="n">
        <x:v>-400</x:v>
      </x:c>
      <x:c r="H30" s="18" t="n">
        <x:v>6</x:v>
      </x:c>
      <x:c r="I30" s="16" t="n">
        <x:v>2</x:v>
      </x:c>
      <x:c r="J30" s="16" t="str">
        <x:v>Obra demorada que luego exige mantenimiento.</x:v>
      </x:c>
      <x:c r="K30" s="16" t="str">
        <x:v>G_GLOBAL; g055, g056</x:v>
      </x:c>
      <x:c r="L30" s="16" t="str">
        <x:v>Ninguno por historial</x:v>
      </x:c>
      <x:c r="M30" s="16" t="str">
        <x:v>infraestructura_vial, modernizacion_aeropuertos</x:v>
      </x:c>
      <x:c r="N30" s="16" t="str">
        <x:v>Ninguna</x:v>
      </x:c>
      <x:c r="O30" s="16" t="str">
        <x:v>Todos los efectos en 05. Caja de esta fila es resumen, no segundo asiento.</x:v>
      </x:c>
    </x:row>
    <x:row r="31" ht="42" customHeight="1">
      <x:c r="A31" s="17" t="str">
        <x:v>plan_hidrico</x:v>
      </x:c>
      <x:c r="B31" s="17" t="str">
        <x:v>Agua segura y resiliencia hídrica</x:v>
      </x:c>
      <x:c r="C31" s="17" t="str">
        <x:v>Integra tratamiento de agua y resiliencia ante sequías.</x:v>
      </x:c>
      <x:c r="D31" s="17" t="str">
        <x:v>Infraestructura</x:v>
      </x:c>
      <x:c r="E31" s="17" t="str">
        <x:v>modificar</x:v>
      </x:c>
      <x:c r="F31" s="19" t="n">
        <x:v>1</x:v>
      </x:c>
      <x:c r="G31" s="19" t="n">
        <x:v>-320</x:v>
      </x:c>
      <x:c r="H31" s="19" t="n">
        <x:v>6</x:v>
      </x:c>
      <x:c r="I31" s="17" t="n">
        <x:v>2</x:v>
      </x:c>
      <x:c r="J31" s="17" t="str">
        <x:v>Mejora sanitaria y ambiental; costo de operación.</x:v>
      </x:c>
      <x:c r="K31" s="17" t="str">
        <x:v>G_GLOBAL; g058, g059</x:v>
      </x:c>
      <x:c r="L31" s="17" t="str">
        <x:v>Ninguno por historial</x:v>
      </x:c>
      <x:c r="M31" s="17" t="str">
        <x:v>plan_hidrico, tratamiento_agua</x:v>
      </x:c>
      <x:c r="N31" s="17" t="str">
        <x:v>Ninguna</x:v>
      </x:c>
      <x:c r="O31" s="17" t="str">
        <x:v>Todos los efectos en 05. Caja de esta fila es resumen, no segundo asiento.</x:v>
      </x:c>
    </x:row>
    <x:row r="32" ht="42" customHeight="1">
      <x:c r="A32" s="16" t="str">
        <x:v>red_gas</x:v>
      </x:c>
      <x:c r="B32" s="16" t="str">
        <x:v>Transición de redes de gas</x:v>
      </x:c>
      <x:c r="C32" s="16" t="str">
        <x:v>Amplía abastecimiento energético con impacto ambiental.</x:v>
      </x:c>
      <x:c r="D32" s="16" t="str">
        <x:v>Infraestructura</x:v>
      </x:c>
      <x:c r="E32" s="16" t="str">
        <x:v>modificar</x:v>
      </x:c>
      <x:c r="F32" s="18" t="n">
        <x:v>1</x:v>
      </x:c>
      <x:c r="G32" s="18" t="n">
        <x:v>-340</x:v>
      </x:c>
      <x:c r="H32" s="18" t="n">
        <x:v>6</x:v>
      </x:c>
      <x:c r="I32" s="16" t="n">
        <x:v>2</x:v>
      </x:c>
      <x:c r="J32" s="16" t="str">
        <x:v>Más rápida que renovables, con costo ambiental explícito.</x:v>
      </x:c>
      <x:c r="K32" s="16" t="str">
        <x:v>G_GLOBAL; g061, g062</x:v>
      </x:c>
      <x:c r="L32" s="16" t="str">
        <x:v>Ninguno por historial</x:v>
      </x:c>
      <x:c r="M32" s="16" t="str">
        <x:v>red_gas</x:v>
      </x:c>
      <x:c r="N32" s="16" t="str">
        <x:v>Ninguna</x:v>
      </x:c>
      <x:c r="O32" s="16" t="str">
        <x:v>Todos los efectos en 05. Caja de esta fila es resumen, no segundo asiento.</x:v>
      </x:c>
    </x:row>
    <x:row r="33" ht="57" customHeight="1">
      <x:c r="A33" s="17" t="str">
        <x:v>estudio_factibilidad</x:v>
      </x:c>
      <x:c r="B33" s="17" t="str">
        <x:v>Estudiar un proyecto nacional</x:v>
      </x:c>
      <x:c r="C33" s="17" t="str">
        <x:v>Elige una obra y prepara su ejecución técnica y ambiental.</x:v>
      </x:c>
      <x:c r="D33" s="17" t="str">
        <x:v>Infraestructura</x:v>
      </x:c>
      <x:c r="E33" s="17" t="str">
        <x:v>modificar</x:v>
      </x:c>
      <x:c r="F33" s="19" t="n">
        <x:v>1</x:v>
      </x:c>
      <x:c r="G33" s="19" t="n">
        <x:v>-60</x:v>
      </x:c>
      <x:c r="H33" s="19" t="n">
        <x:v>1</x:v>
      </x:c>
      <x:c r="I33" s="17" t="str">
        <x:v>Sin máximo; reglas activas</x:v>
      </x:c>
      <x:c r="J33" s="17" t="str">
        <x:v>Permiso de proyecto específico, consumible y con vencimiento.</x:v>
      </x:c>
      <x:c r="K33" s="17" t="str">
        <x:v>G_GLOBAL; g064</x:v>
      </x:c>
      <x:c r="L33" s="17" t="str">
        <x:v>plan_viviendas, energia_renovable, construccion_hospitales, plan_conectividad, infraestructura_vial, plan_hidrico, red_gas</x:v>
      </x:c>
      <x:c r="M33" s="17" t="str">
        <x:v>estudio_factibilidad</x:v>
      </x:c>
      <x:c r="N33" s="17" t="str">
        <x:v>Ninguna</x:v>
      </x:c>
      <x:c r="O33" s="17" t="str">
        <x:v>Todos los efectos en 05. Caja de esta fila es resumen, no segundo asiento.</x:v>
      </x:c>
    </x:row>
    <x:row r="34" ht="42" customHeight="1">
      <x:c r="A34" s="16" t="str">
        <x:v>mantenimiento_urbano</x:v>
      </x:c>
      <x:c r="B34" s="16" t="str">
        <x:v>Mantenimiento de redes federales</x:v>
      </x:c>
      <x:c r="C34" s="16" t="str">
        <x:v>Repara infraestructura existente de alcance nacional.</x:v>
      </x:c>
      <x:c r="D34" s="16" t="str">
        <x:v>Infraestructura</x:v>
      </x:c>
      <x:c r="E34" s="16" t="str">
        <x:v>modificar</x:v>
      </x:c>
      <x:c r="F34" s="18" t="n">
        <x:v>1</x:v>
      </x:c>
      <x:c r="G34" s="18" t="n">
        <x:v>-140</x:v>
      </x:c>
      <x:c r="H34" s="18" t="n">
        <x:v>4</x:v>
      </x:c>
      <x:c r="I34" s="16" t="str">
        <x:v>Sin máximo; reglas activas</x:v>
      </x:c>
      <x:c r="J34" s="16" t="str">
        <x:v>Retorno rápido sin ampliar capacidad exportadora.</x:v>
      </x:c>
      <x:c r="K34" s="16" t="str">
        <x:v>G_GLOBAL; g065</x:v>
      </x:c>
      <x:c r="L34" s="16" t="str">
        <x:v>Ninguno por historial</x:v>
      </x:c>
      <x:c r="M34" s="16" t="str">
        <x:v>mantenimiento_urbano</x:v>
      </x:c>
      <x:c r="N34" s="16" t="str">
        <x:v>Ninguna</x:v>
      </x:c>
      <x:c r="O34" s="16" t="str">
        <x:v>Todos los efectos en 05. Caja de esta fila es resumen, no segundo asiento.</x:v>
      </x:c>
    </x:row>
    <x:row r="35" ht="42" customHeight="1">
      <x:c r="A35" s="17" t="str">
        <x:v>tratado_comercio</x:v>
      </x:c>
      <x:c r="B35" s="17" t="str">
        <x:v>Acuerdo de apertura comercial</x:v>
      </x:c>
      <x:c r="C35" s="17" t="str">
        <x:v>Amplía acceso a mercados y competencia importada.</x:v>
      </x:c>
      <x:c r="D35" s="17" t="str">
        <x:v>Economía</x:v>
      </x:c>
      <x:c r="E35" s="17" t="str">
        <x:v>modificar</x:v>
      </x:c>
      <x:c r="F35" s="19" t="n">
        <x:v>1</x:v>
      </x:c>
      <x:c r="G35" s="19" t="n">
        <x:v>-100</x:v>
      </x:c>
      <x:c r="H35" s="19" t="n">
        <x:v>16</x:v>
      </x:c>
      <x:c r="I35" s="17" t="n">
        <x:v>1</x:v>
      </x:c>
      <x:c r="J35" s="17" t="str">
        <x:v>Ganancia externa demorada con transición productiva.</x:v>
      </x:c>
      <x:c r="K35" s="17" t="str">
        <x:v>G_GLOBAL; g012, g066</x:v>
      </x:c>
      <x:c r="L35" s="17" t="str">
        <x:v>Ninguno por historial</x:v>
      </x:c>
      <x:c r="M35" s="17" t="str">
        <x:v>tratado_comercio</x:v>
      </x:c>
      <x:c r="N35" s="17" t="str">
        <x:v>Ninguna</x:v>
      </x:c>
      <x:c r="O35" s="17" t="str">
        <x:v>Todos los efectos en 05. Caja de esta fila es resumen, no segundo asiento.</x:v>
      </x:c>
    </x:row>
    <x:row r="36" ht="42" customHeight="1">
      <x:c r="A36" s="16" t="str">
        <x:v>cooperacion_internacional</x:v>
      </x:c>
      <x:c r="B36" s="16" t="str">
        <x:v>Cooperación científica internacional</x:v>
      </x:c>
      <x:c r="C36" s="16" t="str">
        <x:v>Financia equipos y proyectos con socios externos.</x:v>
      </x:c>
      <x:c r="D36" s="16" t="str">
        <x:v>Desarrollo</x:v>
      </x:c>
      <x:c r="E36" s="16" t="str">
        <x:v>modificar</x:v>
      </x:c>
      <x:c r="F36" s="18" t="n">
        <x:v>1</x:v>
      </x:c>
      <x:c r="G36" s="18" t="n">
        <x:v>-130</x:v>
      </x:c>
      <x:c r="H36" s="18" t="n">
        <x:v>6</x:v>
      </x:c>
      <x:c r="I36" s="16" t="str">
        <x:v>Sin máximo; reglas activas</x:v>
      </x:c>
      <x:c r="J36" s="16" t="str">
        <x:v>Capacidad científica con demora y requisitos institucionales.</x:v>
      </x:c>
      <x:c r="K36" s="16" t="str">
        <x:v>G_GLOBAL; g013, g067</x:v>
      </x:c>
      <x:c r="L36" s="16" t="str">
        <x:v>Ninguno por historial</x:v>
      </x:c>
      <x:c r="M36" s="16" t="str">
        <x:v>cooperacion_internacional, participacion_cumbres</x:v>
      </x:c>
      <x:c r="N36" s="16" t="str">
        <x:v>Ninguna</x:v>
      </x:c>
      <x:c r="O36" s="16" t="str">
        <x:v>Todos los efectos en 05. Caja de esta fila es resumen, no segundo asiento.</x:v>
      </x:c>
    </x:row>
    <x:row r="37" ht="42" customHeight="1">
      <x:c r="A37" s="17" t="str">
        <x:v>seguridad_ciudadana</x:v>
      </x:c>
      <x:c r="B37" s="17" t="str">
        <x:v>Operativo federal focalizado</x:v>
      </x:c>
      <x:c r="C37" s="17" t="str">
        <x:v>Intervención temporal en zonas de riesgo alto.</x:v>
      </x:c>
      <x:c r="D37" s="17" t="str">
        <x:v>Seguridad</x:v>
      </x:c>
      <x:c r="E37" s="17" t="str">
        <x:v>modificar</x:v>
      </x:c>
      <x:c r="F37" s="19" t="n">
        <x:v>1</x:v>
      </x:c>
      <x:c r="G37" s="19" t="n">
        <x:v>-180</x:v>
      </x:c>
      <x:c r="H37" s="19" t="n">
        <x:v>4</x:v>
      </x:c>
      <x:c r="I37" s="17" t="str">
        <x:v>Sin máximo; reglas activas</x:v>
      </x:c>
      <x:c r="J37" s="17" t="str">
        <x:v>Resultado rápido; daño a derechos si faltan controles.</x:v>
      </x:c>
      <x:c r="K37" s="17" t="str">
        <x:v>G_GLOBAL; g014, g068</x:v>
      </x:c>
      <x:c r="L37" s="17" t="str">
        <x:v>Ninguno por historial</x:v>
      </x:c>
      <x:c r="M37" s="17" t="str">
        <x:v>seguridad_ciudadana</x:v>
      </x:c>
      <x:c r="N37" s="17" t="str">
        <x:v>Ninguna</x:v>
      </x:c>
      <x:c r="O37" s="17" t="str">
        <x:v>Todos los efectos en 05. Caja de esta fila es resumen, no segundo asiento.</x:v>
      </x:c>
    </x:row>
    <x:row r="38" ht="42" customHeight="1">
      <x:c r="A38" s="16" t="str">
        <x:v>lucha_narcotrafico</x:v>
      </x:c>
      <x:c r="B38" s="16" t="str">
        <x:v>Investigación de redes criminales</x:v>
      </x:c>
      <x:c r="C38" s="16" t="str">
        <x:v>Combina investigación patrimonial y coordinación judicial.</x:v>
      </x:c>
      <x:c r="D38" s="16" t="str">
        <x:v>Seguridad</x:v>
      </x:c>
      <x:c r="E38" s="16" t="str">
        <x:v>modificar</x:v>
      </x:c>
      <x:c r="F38" s="18" t="n">
        <x:v>1</x:v>
      </x:c>
      <x:c r="G38" s="18" t="n">
        <x:v>-240</x:v>
      </x:c>
      <x:c r="H38" s="18" t="n">
        <x:v>6</x:v>
      </x:c>
      <x:c r="I38" s="16" t="str">
        <x:v>Sin máximo; reglas activas</x:v>
      </x:c>
      <x:c r="J38" s="16" t="str">
        <x:v>Más lenta pero persistente que un operativo.</x:v>
      </x:c>
      <x:c r="K38" s="16" t="str">
        <x:v>G_GLOBAL; g015, g069</x:v>
      </x:c>
      <x:c r="L38" s="16" t="str">
        <x:v>Ninguno por historial</x:v>
      </x:c>
      <x:c r="M38" s="16" t="str">
        <x:v>lucha_narcotrafico</x:v>
      </x:c>
      <x:c r="N38" s="16" t="str">
        <x:v>Ninguna</x:v>
      </x:c>
      <x:c r="O38" s="16" t="str">
        <x:v>Todos los efectos en 05. Caja de esta fila es resumen, no segundo asiento.</x:v>
      </x:c>
    </x:row>
    <x:row r="39" ht="42" customHeight="1">
      <x:c r="A39" s="17" t="str">
        <x:v>fortalecimiento_justicia</x:v>
      </x:c>
      <x:c r="B39" s="17" t="str">
        <x:v>Justicia y control de legalidad</x:v>
      </x:c>
      <x:c r="C39" s="17" t="str">
        <x:v>Refuerza investigación, debido proceso y control judicial.</x:v>
      </x:c>
      <x:c r="D39" s="17" t="str">
        <x:v>Instituciones</x:v>
      </x:c>
      <x:c r="E39" s="17" t="str">
        <x:v>modificar</x:v>
      </x:c>
      <x:c r="F39" s="19" t="n">
        <x:v>1</x:v>
      </x:c>
      <x:c r="G39" s="19" t="n">
        <x:v>-230</x:v>
      </x:c>
      <x:c r="H39" s="19" t="n">
        <x:v>8</x:v>
      </x:c>
      <x:c r="I39" s="17" t="n">
        <x:v>1</x:v>
      </x:c>
      <x:c r="J39" s="17" t="str">
        <x:v>Abre herramientas de seguridad con salvaguardas.</x:v>
      </x:c>
      <x:c r="K39" s="17" t="str">
        <x:v>G_GLOBAL; g016, g070</x:v>
      </x:c>
      <x:c r="L39" s="17" t="str">
        <x:v>lucha_narcotrafico, sistema_vigilancia</x:v>
      </x:c>
      <x:c r="M39" s="17" t="str">
        <x:v>fortalecimiento_justicia</x:v>
      </x:c>
      <x:c r="N39" s="17" t="str">
        <x:v>Ninguna</x:v>
      </x:c>
      <x:c r="O39" s="17" t="str">
        <x:v>Todos los efectos en 05. Caja de esta fila es resumen, no segundo asiento.</x:v>
      </x:c>
    </x:row>
    <x:row r="40" ht="42" customHeight="1">
      <x:c r="A40" s="16" t="str">
        <x:v>sistema_vigilancia</x:v>
      </x:c>
      <x:c r="B40" s="16" t="str">
        <x:v>Vigilancia con trazabilidad</x:v>
      </x:c>
      <x:c r="C40" s="16" t="str">
        <x:v>Despliega vigilancia bajo reglas de acceso y auditoría.</x:v>
      </x:c>
      <x:c r="D40" s="16" t="str">
        <x:v>Seguridad</x:v>
      </x:c>
      <x:c r="E40" s="16" t="str">
        <x:v>modificar</x:v>
      </x:c>
      <x:c r="F40" s="18" t="n">
        <x:v>1</x:v>
      </x:c>
      <x:c r="G40" s="18" t="n">
        <x:v>-200</x:v>
      </x:c>
      <x:c r="H40" s="18" t="n">
        <x:v>6</x:v>
      </x:c>
      <x:c r="I40" s="16" t="n">
        <x:v>1</x:v>
      </x:c>
      <x:c r="J40" s="16" t="str">
        <x:v>Seguridad diferida; controles reducen, no borran, costo de privacidad.</x:v>
      </x:c>
      <x:c r="K40" s="16" t="str">
        <x:v>G_GLOBAL; g017, g018, g071</x:v>
      </x:c>
      <x:c r="L40" s="16" t="str">
        <x:v>Ninguno por historial</x:v>
      </x:c>
      <x:c r="M40" s="16" t="str">
        <x:v>sistema_vigilancia</x:v>
      </x:c>
      <x:c r="N40" s="16" t="str">
        <x:v>Ninguna</x:v>
      </x:c>
      <x:c r="O40" s="16" t="str">
        <x:v>Todos los efectos en 05. Caja de esta fila es resumen, no segundo asiento.</x:v>
      </x:c>
    </x:row>
    <x:row r="41" ht="42" customHeight="1">
      <x:c r="A41" s="17" t="str">
        <x:v>policia_proximidad</x:v>
      </x:c>
      <x:c r="B41" s="17" t="str">
        <x:v>Prevención y proximidad federal</x:v>
      </x:c>
      <x:c r="C41" s="17" t="str">
        <x:v>Convenios de formación y prevención local respetando jurisdicciones.</x:v>
      </x:c>
      <x:c r="D41" s="17" t="str">
        <x:v>Seguridad</x:v>
      </x:c>
      <x:c r="E41" s="17" t="str">
        <x:v>modificar</x:v>
      </x:c>
      <x:c r="F41" s="19" t="n">
        <x:v>1</x:v>
      </x:c>
      <x:c r="G41" s="19" t="n">
        <x:v>-170</x:v>
      </x:c>
      <x:c r="H41" s="19" t="n">
        <x:v>5</x:v>
      </x:c>
      <x:c r="I41" s="17" t="n">
        <x:v>1</x:v>
      </x:c>
      <x:c r="J41" s="17" t="str">
        <x:v>Más lento que un operativo, compatible con garantías.</x:v>
      </x:c>
      <x:c r="K41" s="17" t="str">
        <x:v>G_GLOBAL; g072</x:v>
      </x:c>
      <x:c r="L41" s="17" t="str">
        <x:v>Ninguno por historial</x:v>
      </x:c>
      <x:c r="M41" s="17" t="str">
        <x:v>policia_proximidad, programa_desarme, prevencion_delito</x:v>
      </x:c>
      <x:c r="N41" s="17" t="str">
        <x:v>Ninguna</x:v>
      </x:c>
      <x:c r="O41" s="17" t="str">
        <x:v>Todos los efectos en 05. Caja de esta fila es resumen, no segundo asiento.</x:v>
      </x:c>
    </x:row>
    <x:row r="42" ht="42" customHeight="1">
      <x:c r="A42" s="16" t="str">
        <x:v>programa_cultural</x:v>
      </x:c>
      <x:c r="B42" s="16" t="str">
        <x:v>Acceso cultural y creación</x:v>
      </x:c>
      <x:c r="C42" s="16" t="str">
        <x:v>Financia acceso comunitario, bibliotecas y creación plural.</x:v>
      </x:c>
      <x:c r="D42" s="16" t="str">
        <x:v>Cultura</x:v>
      </x:c>
      <x:c r="E42" s="16" t="str">
        <x:v>modificar</x:v>
      </x:c>
      <x:c r="F42" s="18" t="n">
        <x:v>1</x:v>
      </x:c>
      <x:c r="G42" s="18" t="n">
        <x:v>-120</x:v>
      </x:c>
      <x:c r="H42" s="18" t="n">
        <x:v>5</x:v>
      </x:c>
      <x:c r="I42" s="16" t="str">
        <x:v>Sin máximo; reglas activas</x:v>
      </x:c>
      <x:c r="J42" s="16" t="str">
        <x:v>Mejora formación y ejercicio de derechos culturales.</x:v>
      </x:c>
      <x:c r="K42" s="16" t="str">
        <x:v>G_GLOBAL; g073</x:v>
      </x:c>
      <x:c r="L42" s="16" t="str">
        <x:v>Ninguno por historial</x:v>
      </x:c>
      <x:c r="M42" s="16" t="str">
        <x:v>programa_cultural, festival_arte, festivales_regionales, centros_culturales, red_bibliotecas, escuelas_arte</x:v>
      </x:c>
      <x:c r="N42" s="16" t="str">
        <x:v>Ninguna</x:v>
      </x:c>
      <x:c r="O42" s="16" t="str">
        <x:v>Todos los efectos en 05. Caja de esta fila es resumen, no segundo asiento.</x:v>
      </x:c>
    </x:row>
    <x:row r="43" ht="42" customHeight="1">
      <x:c r="A43" s="17" t="str">
        <x:v>patrimonio_historico</x:v>
      </x:c>
      <x:c r="B43" s="17" t="str">
        <x:v>Patrimonio y turismo sostenible</x:v>
      </x:c>
      <x:c r="C43" s="17" t="str">
        <x:v>Preserva patrimonio y habilita actividad turística.</x:v>
      </x:c>
      <x:c r="D43" s="17" t="str">
        <x:v>Cultura</x:v>
      </x:c>
      <x:c r="E43" s="17" t="str">
        <x:v>modificar</x:v>
      </x:c>
      <x:c r="F43" s="19" t="n">
        <x:v>1</x:v>
      </x:c>
      <x:c r="G43" s="19" t="n">
        <x:v>-150</x:v>
      </x:c>
      <x:c r="H43" s="19" t="n">
        <x:v>6</x:v>
      </x:c>
      <x:c r="I43" s="17" t="n">
        <x:v>1</x:v>
      </x:c>
      <x:c r="J43" s="17" t="str">
        <x:v>Retorno productivo pequeño y tardío.</x:v>
      </x:c>
      <x:c r="K43" s="17" t="str">
        <x:v>G_GLOBAL; g074</x:v>
      </x:c>
      <x:c r="L43" s="17" t="str">
        <x:v>Ninguno por historial</x:v>
      </x:c>
      <x:c r="M43" s="17" t="str">
        <x:v>patrimonio_historico, museos_interactivos, fomentar_turismo</x:v>
      </x:c>
      <x:c r="N43" s="17" t="str">
        <x:v>Ninguna</x:v>
      </x:c>
      <x:c r="O43" s="17" t="str">
        <x:v>Todos los efectos en 05. Caja de esta fila es resumen, no segundo asiento.</x:v>
      </x:c>
    </x:row>
    <x:row r="44" ht="42" customHeight="1">
      <x:c r="A44" s="16" t="str">
        <x:v>desarrollar_tecnologia</x:v>
      </x:c>
      <x:c r="B44" s="16" t="str">
        <x:v>Transferencia tecnológica productiva</x:v>
      </x:c>
      <x:c r="C44" s="16" t="str">
        <x:v>Conecta equipos científicos con procesos productivos.</x:v>
      </x:c>
      <x:c r="D44" s="16" t="str">
        <x:v>Desarrollo</x:v>
      </x:c>
      <x:c r="E44" s="16" t="str">
        <x:v>modificar</x:v>
      </x:c>
      <x:c r="F44" s="18" t="n">
        <x:v>1</x:v>
      </x:c>
      <x:c r="G44" s="18" t="n">
        <x:v>-220</x:v>
      </x:c>
      <x:c r="H44" s="18" t="n">
        <x:v>6</x:v>
      </x:c>
      <x:c r="I44" s="16" t="str">
        <x:v>Sin máximo; reglas activas</x:v>
      </x:c>
      <x:c r="J44" s="16" t="str">
        <x:v>Transforma capacidad científica previa en actividad futura.</x:v>
      </x:c>
      <x:c r="K44" s="16" t="str">
        <x:v>G_GLOBAL; g019, g075</x:v>
      </x:c>
      <x:c r="L44" s="16" t="str">
        <x:v>Ninguno por historial</x:v>
      </x:c>
      <x:c r="M44" s="16" t="str">
        <x:v>desarrollar_tecnologia</x:v>
      </x:c>
      <x:c r="N44" s="16" t="str">
        <x:v>Ninguna</x:v>
      </x:c>
      <x:c r="O44" s="16" t="str">
        <x:v>Todos los efectos en 05. Caja de esta fila es resumen, no segundo asiento.</x:v>
      </x:c>
    </x:row>
    <x:row r="45" ht="42" customHeight="1">
      <x:c r="A45" s="17" t="str">
        <x:v>credito_pyme</x:v>
      </x:c>
      <x:c r="B45" s="17" t="str">
        <x:v>Garantías de crédito PyME</x:v>
      </x:c>
      <x:c r="C45" s="17" t="str">
        <x:v>Fondo acotado de garantías para inversión y capital de trabajo.</x:v>
      </x:c>
      <x:c r="D45" s="17" t="str">
        <x:v>Economía</x:v>
      </x:c>
      <x:c r="E45" s="17" t="str">
        <x:v>nueva</x:v>
      </x:c>
      <x:c r="F45" s="19" t="n">
        <x:v>1</x:v>
      </x:c>
      <x:c r="G45" s="19" t="n">
        <x:v>-160</x:v>
      </x:c>
      <x:c r="H45" s="19" t="n">
        <x:v>5</x:v>
      </x:c>
      <x:c r="I45" s="17" t="str">
        <x:v>Sin máximo; reglas activas</x:v>
      </x:c>
      <x:c r="J45" s="17" t="str">
        <x:v>Cubre el canal de crédito sin beneficiar por etiqueta.</x:v>
      </x:c>
      <x:c r="K45" s="17" t="str">
        <x:v>G_GLOBAL; g076, g084</x:v>
      </x:c>
      <x:c r="L45" s="17" t="str">
        <x:v>Ninguno por historial</x:v>
      </x:c>
      <x:c r="M45" s="17" t="str">
        <x:v>fomento_emprendimiento</x:v>
      </x:c>
      <x:c r="N45" s="17" t="str">
        <x:v>Ninguna</x:v>
      </x:c>
      <x:c r="O45" s="17" t="str">
        <x:v>Todos los efectos en 05. Caja de esta fila es resumen, no segundo asiento.</x:v>
      </x:c>
    </x:row>
    <x:row r="46" ht="42" customHeight="1">
      <x:c r="A46" s="16" t="str">
        <x:v>carrera_cientifica</x:v>
      </x:c>
      <x:c r="B46" s="16" t="str">
        <x:v>Sostener equipos científicos</x:v>
      </x:c>
      <x:c r="C46" s="16" t="str">
        <x:v>Da continuidad presupuestaria a equipos y formación.</x:v>
      </x:c>
      <x:c r="D46" s="16" t="str">
        <x:v>Desarrollo</x:v>
      </x:c>
      <x:c r="E46" s="16" t="str">
        <x:v>nueva</x:v>
      </x:c>
      <x:c r="F46" s="18" t="n">
        <x:v>1</x:v>
      </x:c>
      <x:c r="G46" s="18" t="n">
        <x:v>-100</x:v>
      </x:c>
      <x:c r="H46" s="18" t="n">
        <x:v>6</x:v>
      </x:c>
      <x:c r="I46" s="16" t="n">
        <x:v>1</x:v>
      </x:c>
      <x:c r="J46" s="16" t="str">
        <x:v>Protege capacidades con compromiso recurrente.</x:v>
      </x:c>
      <x:c r="K46" s="16" t="str">
        <x:v>G_GLOBAL; g077</x:v>
      </x:c>
      <x:c r="L46" s="16" t="str">
        <x:v>Ninguno por historial</x:v>
      </x:c>
      <x:c r="M46" s="16" t="str">
        <x:v>Nueva</x:v>
      </x:c>
      <x:c r="N46" s="16" t="str">
        <x:v>Ninguna</x:v>
      </x:c>
      <x:c r="O46" s="16" t="str">
        <x:v>Todos los efectos en 05. Caja de esta fila es resumen, no segundo asiento.</x:v>
      </x:c>
    </x:row>
    <x:row r="47" ht="42" customHeight="1">
      <x:c r="A47" s="17" t="str">
        <x:v>transparencia_publica</x:v>
      </x:c>
      <x:c r="B47" s="17" t="str">
        <x:v>Transparencia y compras abiertas</x:v>
      </x:c>
      <x:c r="C47" s="17" t="str">
        <x:v>Publica contratos y refuerza auditoría operativa.</x:v>
      </x:c>
      <x:c r="D47" s="17" t="str">
        <x:v>Instituciones</x:v>
      </x:c>
      <x:c r="E47" s="17" t="str">
        <x:v>nueva</x:v>
      </x:c>
      <x:c r="F47" s="19" t="n">
        <x:v>1</x:v>
      </x:c>
      <x:c r="G47" s="19" t="n">
        <x:v>-100</x:v>
      </x:c>
      <x:c r="H47" s="19" t="n">
        <x:v>16</x:v>
      </x:c>
      <x:c r="I47" s="17" t="n">
        <x:v>1</x:v>
      </x:c>
      <x:c r="J47" s="17" t="str">
        <x:v>Garantías tempranas, ahorro fiscal demorado.</x:v>
      </x:c>
      <x:c r="K47" s="17" t="str">
        <x:v>G_GLOBAL; g078</x:v>
      </x:c>
      <x:c r="L47" s="17" t="str">
        <x:v>Ninguno por historial</x:v>
      </x:c>
      <x:c r="M47" s="17" t="str">
        <x:v>Nueva</x:v>
      </x:c>
      <x:c r="N47" s="17" t="str">
        <x:v>Ninguna</x:v>
      </x:c>
      <x:c r="O47" s="17" t="str">
        <x:v>Todos los efectos en 05. Caja de esta fila es resumen, no segundo asiento.</x:v>
      </x:c>
    </x:row>
    <x:row r="48" ht="42" customHeight="1">
      <x:c r="A48" s="16" t="str">
        <x:v>estabilizacion_monetaria</x:v>
      </x:c>
      <x:c r="B48" s="16" t="str">
        <x:v>Programa de estabilización monetaria</x:v>
      </x:c>
      <x:c r="C48" s="16" t="str">
        <x:v>Retira estímulo y prioriza anclaje nominal durante tres turnos.</x:v>
      </x:c>
      <x:c r="D48" s="16" t="str">
        <x:v>Economía</x:v>
      </x:c>
      <x:c r="E48" s="16" t="str">
        <x:v>nueva</x:v>
      </x:c>
      <x:c r="F48" s="18" t="n">
        <x:v>1</x:v>
      </x:c>
      <x:c r="G48" s="18" t="n">
        <x:v>-50</x:v>
      </x:c>
      <x:c r="H48" s="18" t="n">
        <x:v>4</x:v>
      </x:c>
      <x:c r="I48" s="16" t="str">
        <x:v>Sin máximo; reglas activas</x:v>
      </x:c>
      <x:c r="J48" s="16" t="str">
        <x:v>Baja presión con costo transitorio de crédito y actividad.</x:v>
      </x:c>
      <x:c r="K48" s="16" t="str">
        <x:v>G_GLOBAL; g079, g085</x:v>
      </x:c>
      <x:c r="L48" s="16" t="str">
        <x:v>Ninguno por historial</x:v>
      </x:c>
      <x:c r="M48" s="16" t="str">
        <x:v>Nueva</x:v>
      </x:c>
      <x:c r="N48" s="16" t="str">
        <x:v>Ninguna</x:v>
      </x:c>
      <x:c r="O48" s="16" t="str">
        <x:v>Todos los efectos en 05. Caja de esta fila es resumen, no segundo asiento.</x:v>
      </x:c>
    </x:row>
    <x:row r="49" ht="42" customHeight="1">
      <x:c r="A49" s="17" t="str">
        <x:v>alivio_tributario</x:v>
      </x:c>
      <x:c r="B49" s="17" t="str">
        <x:v>Alivio tributario temporal</x:v>
      </x:c>
      <x:c r="C49" s="17" t="str">
        <x:v>Reduce cargas por cuatro turnos.</x:v>
      </x:c>
      <x:c r="D49" s="17" t="str">
        <x:v>Economía</x:v>
      </x:c>
      <x:c r="E49" s="17" t="str">
        <x:v>nueva</x:v>
      </x:c>
      <x:c r="F49" s="19" t="n">
        <x:v>1</x:v>
      </x:c>
      <x:c r="G49" s="19" t="n">
        <x:v>-30</x:v>
      </x:c>
      <x:c r="H49" s="19" t="n">
        <x:v>5</x:v>
      </x:c>
      <x:c r="I49" s="17" t="str">
        <x:v>Sin máximo; reglas activas</x:v>
      </x:c>
      <x:c r="J49" s="17" t="str">
        <x:v>Ingreso disponible y actividad a costa de margen fiscal.</x:v>
      </x:c>
      <x:c r="K49" s="17" t="str">
        <x:v>G_GLOBAL; g020, g080</x:v>
      </x:c>
      <x:c r="L49" s="17" t="str">
        <x:v>Ninguno por historial</x:v>
      </x:c>
      <x:c r="M49" s="17" t="str">
        <x:v>Nueva</x:v>
      </x:c>
      <x:c r="N49" s="17" t="str">
        <x:v>Ninguna</x:v>
      </x:c>
      <x:c r="O49" s="17" t="str">
        <x:v>Todos los efectos en 05. Caja de esta fila es resumen, no segundo asiento.</x:v>
      </x:c>
    </x:row>
    <x:row r="50" ht="42" customHeight="1">
      <x:c r="A50" s="16" t="str">
        <x:v>reestructurar_deuda</x:v>
      </x:c>
      <x:c r="B50" s="16" t="str">
        <x:v>Reperfilar un vencimiento</x:v>
      </x:c>
      <x:c r="C50" s="16" t="str">
        <x:v>Con acreedor informado, difiere un vencimiento por cuatro turnos y aumenta interés.</x:v>
      </x:c>
      <x:c r="D50" s="16" t="str">
        <x:v>Economía</x:v>
      </x:c>
      <x:c r="E50" s="16" t="str">
        <x:v>nueva</x:v>
      </x:c>
      <x:c r="F50" s="18" t="n">
        <x:v>1</x:v>
      </x:c>
      <x:c r="G50" s="18" t="n">
        <x:v>-80</x:v>
      </x:c>
      <x:c r="H50" s="18" t="n">
        <x:v>4</x:v>
      </x:c>
      <x:c r="I50" s="16" t="str">
        <x:v>Sin máximo; reglas activas</x:v>
      </x:c>
      <x:c r="J50" s="16" t="str">
        <x:v>Evita un salto de caja pero encarece el contrato.</x:v>
      </x:c>
      <x:c r="K50" s="16" t="str">
        <x:v>G_GLOBAL; g021, g022, g081, g087</x:v>
      </x:c>
      <x:c r="L50" s="16" t="str">
        <x:v>Ninguno por historial</x:v>
      </x:c>
      <x:c r="M50" s="16" t="str">
        <x:v>Nueva</x:v>
      </x:c>
      <x:c r="N50" s="16" t="str">
        <x:v>Ninguna</x:v>
      </x:c>
      <x:c r="O50" s="16" t="str">
        <x:v>Todos los efectos en 05. Caja de esta fila es resumen, no segundo asiento.</x:v>
      </x:c>
    </x:row>
    <x:row r="51" ht="34" customHeight="1">
      <x:c r="A51" s="17" t="str">
        <x:v>reunirse</x:v>
      </x:c>
      <x:c r="B51" s="17" t="str">
        <x:v>Reunirse con un actor</x:v>
      </x:c>
      <x:c r="C51" s="17" t="str">
        <x:v>Revela prioridades y abre acceso a negociación durante cuatro turnos.</x:v>
      </x:c>
      <x:c r="D51" s="17" t="str">
        <x:v>Actores</x:v>
      </x:c>
      <x:c r="E51" s="17" t="str">
        <x:v>nueva</x:v>
      </x:c>
      <x:c r="F51" s="19" t="n">
        <x:v>1</x:v>
      </x:c>
      <x:c r="G51" s="19" t="n">
        <x:v>0</x:v>
      </x:c>
      <x:c r="H51" s="19" t="n">
        <x:v>2</x:v>
      </x:c>
      <x:c r="I51" s="17" t="str">
        <x:v>Sin máximo; reglas activas</x:v>
      </x:c>
      <x:c r="J51" s="17" t="str">
        <x:v>Costo de agenda. No sube S ni R.</x:v>
      </x:c>
      <x:c r="K51" s="17" t="str">
        <x:v>G_GLOBAL; g086</x:v>
      </x:c>
      <x:c r="L51" s="17" t="str">
        <x:v>Ninguno por historial</x:v>
      </x:c>
      <x:c r="M51" s="17" t="str">
        <x:v>Nueva</x:v>
      </x:c>
      <x:c r="N51" s="17" t="str">
        <x:v>Sólo cumplimiento según 08. Nunca S directa.</x:v>
      </x:c>
      <x:c r="O51" s="17" t="str">
        <x:v>Costo dinámico en 08/05. cooldown por actor.</x:v>
      </x:c>
    </x:row>
    <x:row r="52" ht="34" customHeight="1">
      <x:c r="A52" s="16" t="str">
        <x:v>negociar</x:v>
      </x:c>
      <x:c r="B52" s="16" t="str">
        <x:v>Negociar una demanda</x:v>
      </x:c>
      <x:c r="C52" s="16" t="str">
        <x:v>Selecciona resultado, plazo y contraprestación verificables.</x:v>
      </x:c>
      <x:c r="D52" s="16" t="str">
        <x:v>Actores</x:v>
      </x:c>
      <x:c r="E52" s="16" t="str">
        <x:v>nueva</x:v>
      </x:c>
      <x:c r="F52" s="18" t="n">
        <x:v>1</x:v>
      </x:c>
      <x:c r="G52" s="18" t="n">
        <x:v>0</x:v>
      </x:c>
      <x:c r="H52" s="18" t="n">
        <x:v>2</x:v>
      </x:c>
      <x:c r="I52" s="16" t="str">
        <x:v>Sin máximo; reglas activas</x:v>
      </x:c>
      <x:c r="J52" s="16" t="str">
        <x:v>Requiere reunión reciente y oferta factible.</x:v>
      </x:c>
      <x:c r="K52" s="16" t="str">
        <x:v>G_GLOBAL; g023</x:v>
      </x:c>
      <x:c r="L52" s="16" t="str">
        <x:v>Ninguno por historial</x:v>
      </x:c>
      <x:c r="M52" s="16" t="str">
        <x:v>mediacion_conflictos</x:v>
      </x:c>
      <x:c r="N52" s="16" t="str">
        <x:v>Sólo cumplimiento según 08. Nunca S directa.</x:v>
      </x:c>
      <x:c r="O52" s="16" t="str">
        <x:v>Costo dinámico en 08/05. cooldown por actor.</x:v>
      </x:c>
    </x:row>
    <x:row r="53" ht="34" customHeight="1">
      <x:c r="A53" s="17" t="str">
        <x:v>firmar_acuerdo</x:v>
      </x:c>
      <x:c r="B53" s="17" t="str">
        <x:v>Firmar compromiso verificable</x:v>
      </x:c>
      <x:c r="C53" s="17" t="str">
        <x:v>Registra obligación de resultado o procedimiento y contraprestación.</x:v>
      </x:c>
      <x:c r="D53" s="17" t="str">
        <x:v>Actores</x:v>
      </x:c>
      <x:c r="E53" s="17" t="str">
        <x:v>nueva</x:v>
      </x:c>
      <x:c r="F53" s="19" t="n">
        <x:v>1</x:v>
      </x:c>
      <x:c r="G53" s="19" t="n">
        <x:v>0</x:v>
      </x:c>
      <x:c r="H53" s="19" t="n">
        <x:v>1</x:v>
      </x:c>
      <x:c r="I53" s="17" t="str">
        <x:v>Sin máximo; reglas activas</x:v>
      </x:c>
      <x:c r="J53" s="17" t="str">
        <x:v>Mejora confianza sólo al cumplir; apoyo acotado al objeto.</x:v>
      </x:c>
      <x:c r="K53" s="17" t="str">
        <x:v>G_GLOBAL; g024, g025</x:v>
      </x:c>
      <x:c r="L53" s="17" t="str">
        <x:v>Ninguno por historial</x:v>
      </x:c>
      <x:c r="M53" s="17" t="str">
        <x:v>acuerdo_sindical, alianza_politica, acuerdo_ambiental</x:v>
      </x:c>
      <x:c r="N53" s="17" t="str">
        <x:v>Sólo cumplimiento según 08. Nunca S directa.</x:v>
      </x:c>
      <x:c r="O53" s="17" t="str">
        <x:v>Costo dinámico en 08/05. cooldown por actor.</x:v>
      </x:c>
    </x:row>
  </x:sheetData>
  <x:pageMargins left="0.7" right="0.7" top="0.75" bottom="0.75" header="0.3" footer="0.3"/>
  <x:tableParts count="1">
    <x:tablePart xmlns:r="http://schemas.openxmlformats.org/officeDocument/2006/relationships" r:id="R31f095286b9546dc"/>
  </x:tableParts>
</x:worksheet>
</file>

<file path=xl/worksheets/sheet6.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15" hidden="0" customWidth="1"/>
    <x:col min="2" max="2" width="29" hidden="0" customWidth="1"/>
    <x:col min="3" max="3" width="22" hidden="0" customWidth="1"/>
    <x:col min="4" max="4" width="29" hidden="0" customWidth="1"/>
    <x:col min="5" max="5" width="23" hidden="0" customWidth="1"/>
    <x:col min="6" max="6" width="14" hidden="0" customWidth="1"/>
    <x:col min="7" max="7" width="26" hidden="0" customWidth="1"/>
    <x:col min="8" max="8" width="19" hidden="0" customWidth="1"/>
    <x:col min="9" max="9" width="22" hidden="0" customWidth="1"/>
    <x:col min="10" max="10" width="24" hidden="0" customWidth="1"/>
    <x:col min="11" max="11" width="29" hidden="0" customWidth="1"/>
    <x:col min="12" max="12" width="66" hidden="0" customWidth="1"/>
    <x:col min="13" max="13" width="27" hidden="0" customWidth="1"/>
    <x:col min="14" max="14" width="22" hidden="0" customWidth="1"/>
    <x:col min="15" max="15" width="34" hidden="0" customWidth="1"/>
    <x:col min="16" max="16" width="58" hidden="0" customWidth="1"/>
    <x:col min="17" max="17" width="100" hidden="0" customWidth="1"/>
    <x:col min="18" max="18" width="25" hidden="0" customWidth="1"/>
    <x:col min="19" max="19" width="88" hidden="0" customWidth="1"/>
  </x:cols>
  <x:sheetData>
    <x:row r="2" ht="28" customHeight="1">
      <x:c r="A2" s="12" t="str">
        <x:v>Efectos normalizados</x:v>
      </x:c>
      <x:c r="B2" s="13"/>
      <x:c r="C2" s="13"/>
      <x:c r="D2" s="13"/>
      <x:c r="E2" s="13"/>
      <x:c r="F2" s="13"/>
      <x:c r="G2" s="13"/>
      <x:c r="H2" s="13"/>
      <x:c r="I2" s="13"/>
      <x:c r="J2" s="13"/>
      <x:c r="K2" s="13"/>
      <x:c r="L2" s="13"/>
      <x:c r="M2" s="13"/>
      <x:c r="N2" s="13"/>
      <x:c r="O2" s="13"/>
      <x:c r="P2" s="13"/>
      <x:c r="Q2" s="13"/>
      <x:c r="R2" s="13"/>
      <x:c r="S2" s="13"/>
    </x:row>
    <x:row r="3" ht="23" customHeight="1">
      <x:c r="A3" s="14" t="str">
        <x:v>La fase y la operación gobiernan ejecución. Duración 0: vigente hasta cancelación explícita o fin de partida.</x:v>
      </x:c>
      <x:c r="B3" s="13"/>
      <x:c r="C3" s="13"/>
      <x:c r="D3" s="13"/>
      <x:c r="E3" s="13"/>
      <x:c r="F3" s="13"/>
      <x:c r="G3" s="13"/>
      <x:c r="H3" s="13"/>
      <x:c r="I3" s="13"/>
      <x:c r="J3" s="13"/>
      <x:c r="K3" s="13"/>
      <x:c r="L3" s="13"/>
      <x:c r="M3" s="13"/>
      <x:c r="N3" s="13"/>
      <x:c r="O3" s="13"/>
      <x:c r="P3" s="13"/>
      <x:c r="Q3" s="13"/>
      <x:c r="R3" s="13"/>
      <x:c r="S3" s="13"/>
    </x:row>
    <x:row r="4">
      <x:c r="A4" s="13"/>
      <x:c r="B4" s="13"/>
      <x:c r="C4" s="13"/>
      <x:c r="D4" s="13"/>
      <x:c r="E4" s="13"/>
      <x:c r="F4" s="13"/>
      <x:c r="G4" s="13"/>
      <x:c r="H4" s="13"/>
      <x:c r="I4" s="13"/>
      <x:c r="J4" s="13"/>
      <x:c r="K4" s="13"/>
      <x:c r="L4" s="13"/>
      <x:c r="M4" s="13"/>
      <x:c r="N4" s="13"/>
      <x:c r="O4" s="13"/>
      <x:c r="P4" s="13"/>
      <x:c r="Q4" s="13"/>
      <x:c r="R4" s="13"/>
      <x:c r="S4" s="13"/>
    </x:row>
    <x:row r="5" ht="42" customHeight="1">
      <x:c r="A5" s="15" t="str">
        <x:v>effectId</x:v>
      </x:c>
      <x:c r="B5" s="15" t="str">
        <x:v>actionId</x:v>
      </x:c>
      <x:c r="C5" s="15" t="str">
        <x:v>targetType</x:v>
      </x:c>
      <x:c r="D5" s="15" t="str">
        <x:v>targetId</x:v>
      </x:c>
      <x:c r="E5" s="15" t="str">
        <x:v>Magnitud base</x:v>
      </x:c>
      <x:c r="F5" s="15" t="str">
        <x:v>Signo</x:v>
      </x:c>
      <x:c r="G5" s="15" t="str">
        <x:v>Operación</x:v>
      </x:c>
      <x:c r="H5" s="15" t="str">
        <x:v>Fase</x:v>
      </x:c>
      <x:c r="I5" s="15" t="str">
        <x:v>Inicio relativo</x:v>
      </x:c>
      <x:c r="J5" s="15" t="str">
        <x:v>Duración turnos</x:v>
      </x:c>
      <x:c r="K5" s="15" t="str">
        <x:v>Tipo descriptivo</x:v>
      </x:c>
      <x:c r="L5" s="15" t="str">
        <x:v>Condición formal</x:v>
      </x:c>
      <x:c r="M5" s="15" t="str">
        <x:v>Regla acumulación</x:v>
      </x:c>
      <x:c r="N5" s="15" t="str">
        <x:v>Ventana turnos</x:v>
      </x:c>
      <x:c r="O5" s="15" t="str">
        <x:v>Apilamiento</x:v>
      </x:c>
      <x:c r="P5" s="15" t="str">
        <x:v>Cap / piso</x:v>
      </x:c>
      <x:c r="Q5" s="15" t="str">
        <x:v>Explicación</x:v>
      </x:c>
      <x:c r="R5" s="15" t="str">
        <x:v>Clase de flujo</x:v>
      </x:c>
      <x:c r="S5" s="15" t="str">
        <x:v>Expresión magnitud</x:v>
      </x:c>
    </x:row>
    <x:row r="6" ht="34" customHeight="1">
      <x:c r="A6" s="16" t="str">
        <x:v>e001</x:v>
      </x:c>
      <x:c r="B6" s="16" t="str">
        <x:v>emitir_dinero</x:v>
      </x:c>
      <x:c r="C6" s="16" t="str">
        <x:v>ledger</x:v>
      </x:c>
      <x:c r="D6" s="16" t="str">
        <x:v>financing_issue</x:v>
      </x:c>
      <x:c r="E6" s="16" t="n">
        <x:v>300</x:v>
      </x:c>
      <x:c r="F6" s="16" t="str">
        <x:v>+</x:v>
      </x:c>
      <x:c r="G6" s="16" t="str">
        <x:v>flow</x:v>
      </x:c>
      <x:c r="H6" s="16" t="str">
        <x:v>execute</x:v>
      </x:c>
      <x:c r="I6" s="18" t="n">
        <x:v>0</x:v>
      </x:c>
      <x:c r="J6" s="18" t="n">
        <x:v>1</x:v>
      </x:c>
      <x:c r="K6" s="16" t="str">
        <x:v>immediate</x:v>
      </x:c>
      <x:c r="L6" s="16" t="str">
        <x:v>true</x:v>
      </x:c>
      <x:c r="M6" s="16" t="str">
        <x:v>ninguna</x:v>
      </x:c>
      <x:c r="N6" s="18" t="n">
        <x:v>0</x:v>
      </x:c>
      <x:c r="O6" s="16" t="str">
        <x:v>sum_distinct_instances</x:v>
      </x:c>
      <x:c r="P6" s="16" t="str">
        <x:v>Ver contrato de target</x:v>
      </x:c>
      <x:c r="Q6" s="16" t="str">
        <x:v>Crea caja. No es recaudación.</x:v>
      </x:c>
      <x:c r="R6" s="16" t="str">
        <x:v>financing</x:v>
      </x:c>
      <x:c r="S6" s="16" t="str">
        <x:v>300</x:v>
      </x:c>
    </x:row>
    <x:row r="7" ht="34" customHeight="1">
      <x:c r="A7" s="17" t="str">
        <x:v>e002</x:v>
      </x:c>
      <x:c r="B7" s="17" t="str">
        <x:v>emitir_dinero</x:v>
      </x:c>
      <x:c r="C7" s="17" t="str">
        <x:v>indicator</x:v>
      </x:c>
      <x:c r="D7" s="17" t="str">
        <x:v>actividad</x:v>
      </x:c>
      <x:c r="E7" s="17" t="n">
        <x:v>2</x:v>
      </x:c>
      <x:c r="F7" s="17" t="str">
        <x:v>+</x:v>
      </x:c>
      <x:c r="G7" s="17" t="str">
        <x:v>offset</x:v>
      </x:c>
      <x:c r="H7" s="17" t="str">
        <x:v>close</x:v>
      </x:c>
      <x:c r="I7" s="19" t="n">
        <x:v>0</x:v>
      </x:c>
      <x:c r="J7" s="19" t="n">
        <x:v>2</x:v>
      </x:c>
      <x:c r="K7" s="17" t="str">
        <x:v>persistent</x:v>
      </x:c>
      <x:c r="L7" s="17" t="str">
        <x:v>true</x:v>
      </x:c>
      <x:c r="M7" s="17" t="str">
        <x:v>ninguna</x:v>
      </x:c>
      <x:c r="N7" s="19" t="n">
        <x:v>0</x:v>
      </x:c>
      <x:c r="O7" s="17" t="str">
        <x:v>renew_duration_no_stack</x:v>
      </x:c>
      <x:c r="P7" s="17" t="str">
        <x:v>0..100; cap de cambio ±12 salvo expiraciones</x:v>
      </x:c>
      <x:c r="Q7" s="17" t="str">
        <x:v>Impulso temporal; al expirar se retira, no se acumula cada turno.</x:v>
      </x:c>
      <x:c r="R7" s="17" t="str">
        <x:v>n.a.</x:v>
      </x:c>
      <x:c r="S7" s="17" t="str">
        <x:v>2</x:v>
      </x:c>
    </x:row>
    <x:row r="8" ht="34" customHeight="1">
      <x:c r="A8" s="16" t="str">
        <x:v>e003</x:v>
      </x:c>
      <x:c r="B8" s="16" t="str">
        <x:v>emitir_dinero</x:v>
      </x:c>
      <x:c r="C8" s="16" t="str">
        <x:v>indicator</x:v>
      </x:c>
      <x:c r="D8" s="16" t="str">
        <x:v>inflacion</x:v>
      </x:c>
      <x:c r="E8" s="16" t="n">
        <x:v>1</x:v>
      </x:c>
      <x:c r="F8" s="16" t="str">
        <x:v>+</x:v>
      </x:c>
      <x:c r="G8" s="16" t="str">
        <x:v>pulse</x:v>
      </x:c>
      <x:c r="H8" s="16" t="str">
        <x:v>close</x:v>
      </x:c>
      <x:c r="I8" s="18" t="n">
        <x:v>1</x:v>
      </x:c>
      <x:c r="J8" s="18" t="n">
        <x:v>1</x:v>
      </x:c>
      <x:c r="K8" s="16" t="str">
        <x:v>delayed</x:v>
      </x:c>
      <x:c r="L8" s="16" t="str">
        <x:v>true</x:v>
      </x:c>
      <x:c r="M8" s="16" t="str">
        <x:v>ninguna</x:v>
      </x:c>
      <x:c r="N8" s="18" t="n">
        <x:v>0</x:v>
      </x:c>
      <x:c r="O8" s="16" t="str">
        <x:v>sum_distinct_instances</x:v>
      </x:c>
      <x:c r="P8" s="16" t="str">
        <x:v>0..100; cap de cambio ±12 salvo expiraciones</x:v>
      </x:c>
      <x:c r="Q8" s="16" t="str">
        <x:v>Base diferida.</x:v>
      </x:c>
      <x:c r="R8" s="16" t="str">
        <x:v>n.a.</x:v>
      </x:c>
      <x:c r="S8" s="16" t="str">
        <x:v>1</x:v>
      </x:c>
    </x:row>
    <x:row r="9" ht="34" customHeight="1">
      <x:c r="A9" s="17" t="str">
        <x:v>e004</x:v>
      </x:c>
      <x:c r="B9" s="17" t="str">
        <x:v>emitir_dinero</x:v>
      </x:c>
      <x:c r="C9" s="17" t="str">
        <x:v>indicator</x:v>
      </x:c>
      <x:c r="D9" s="17" t="str">
        <x:v>inflacion</x:v>
      </x:c>
      <x:c r="E9" s="17" t="n">
        <x:v>1</x:v>
      </x:c>
      <x:c r="F9" s="17" t="str">
        <x:v>+</x:v>
      </x:c>
      <x:c r="G9" s="17" t="str">
        <x:v>pulse</x:v>
      </x:c>
      <x:c r="H9" s="17" t="str">
        <x:v>close</x:v>
      </x:c>
      <x:c r="I9" s="19" t="n">
        <x:v>1</x:v>
      </x:c>
      <x:c r="J9" s="19" t="n">
        <x:v>1</x:v>
      </x:c>
      <x:c r="K9" s="17" t="str">
        <x:v>repetition</x:v>
      </x:c>
      <x:c r="L9" s="17" t="str">
        <x:v>true</x:v>
      </x:c>
      <x:c r="M9" s="17" t="str">
        <x:v>R_EMISION</x:v>
      </x:c>
      <x:c r="N9" s="19" t="n">
        <x:v>5</x:v>
      </x:c>
      <x:c r="O9" s="17" t="str">
        <x:v>sum_distinct_instances</x:v>
      </x:c>
      <x:c r="P9" s="17" t="str">
        <x:v>0..100; cap de cambio ±12 salvo expiraciones</x:v>
      </x:c>
      <x:c r="Q9" s="17" t="str">
        <x:v>Sobrecarga según usos en ventana; se sustituye por la expresión R_EMISION.</x:v>
      </x:c>
      <x:c r="R9" s="17" t="str">
        <x:v>n.a.</x:v>
      </x:c>
      <x:c r="S9" s="17" t="str">
        <x:v>max(0;count5−2)^2×2 + IF(pre.inflacion&gt;=60;2;0)</x:v>
      </x:c>
    </x:row>
    <x:row r="10" ht="34" customHeight="1">
      <x:c r="A10" s="16" t="str">
        <x:v>e005</x:v>
      </x:c>
      <x:c r="B10" s="16" t="str">
        <x:v>mejorar_recaudacion</x:v>
      </x:c>
      <x:c r="C10" s="16" t="str">
        <x:v>ledger</x:v>
      </x:c>
      <x:c r="D10" s="16" t="str">
        <x:v>expense_once</x:v>
      </x:c>
      <x:c r="E10" s="16" t="n">
        <x:v>100</x:v>
      </x:c>
      <x:c r="F10" s="16" t="str">
        <x:v>+</x:v>
      </x:c>
      <x:c r="G10" s="16" t="str">
        <x:v>flow</x:v>
      </x:c>
      <x:c r="H10" s="16" t="str">
        <x:v>execute</x:v>
      </x:c>
      <x:c r="I10" s="18" t="n">
        <x:v>0</x:v>
      </x:c>
      <x:c r="J10" s="18" t="n">
        <x:v>1</x:v>
      </x:c>
      <x:c r="K10" s="16" t="str">
        <x:v>immediate</x:v>
      </x:c>
      <x:c r="L10" s="16" t="str">
        <x:v>true</x:v>
      </x:c>
      <x:c r="M10" s="16" t="str">
        <x:v>ninguna</x:v>
      </x:c>
      <x:c r="N10" s="18" t="n">
        <x:v>0</x:v>
      </x:c>
      <x:c r="O10" s="16" t="str">
        <x:v>sum_distinct_instances</x:v>
      </x:c>
      <x:c r="P10" s="16" t="str">
        <x:v>Ver contrato de target</x:v>
      </x:c>
      <x:c r="Q10" s="16" t="str">
        <x:v>Coste administrativo o programa. No se duplica con la columna fiscal de 04.</x:v>
      </x:c>
      <x:c r="R10" s="16" t="str">
        <x:v>expense</x:v>
      </x:c>
      <x:c r="S10" s="16" t="str">
        <x:v>100</x:v>
      </x:c>
    </x:row>
    <x:row r="11" ht="34" customHeight="1">
      <x:c r="A11" s="17" t="str">
        <x:v>e006</x:v>
      </x:c>
      <x:c r="B11" s="17" t="str">
        <x:v>mejorar_recaudacion</x:v>
      </x:c>
      <x:c r="C11" s="17" t="str">
        <x:v>ledger</x:v>
      </x:c>
      <x:c r="D11" s="17" t="str">
        <x:v>revenue_recurring</x:v>
      </x:c>
      <x:c r="E11" s="17" t="n">
        <x:v>70</x:v>
      </x:c>
      <x:c r="F11" s="17" t="str">
        <x:v>+</x:v>
      </x:c>
      <x:c r="G11" s="17" t="str">
        <x:v>flow</x:v>
      </x:c>
      <x:c r="H11" s="17" t="str">
        <x:v>close</x:v>
      </x:c>
      <x:c r="I11" s="19" t="n">
        <x:v>2</x:v>
      </x:c>
      <x:c r="J11" s="19" t="n">
        <x:v>0</x:v>
      </x:c>
      <x:c r="K11" s="17" t="str">
        <x:v>delayed</x:v>
      </x:c>
      <x:c r="L11" s="17" t="str">
        <x:v>true</x:v>
      </x:c>
      <x:c r="M11" s="17" t="str">
        <x:v>ninguna</x:v>
      </x:c>
      <x:c r="N11" s="19" t="n">
        <x:v>0</x:v>
      </x:c>
      <x:c r="O11" s="17" t="str">
        <x:v>sum_distinct_instances</x:v>
      </x:c>
      <x:c r="P11" s="17" t="str">
        <x:v>Ver contrato de target</x:v>
      </x:c>
      <x:c r="Q11" s="17" t="str">
        <x:v>Flujo explícito; afecta caja y cálculo fiscal durante su vigencia.</x:v>
      </x:c>
      <x:c r="R11" s="17" t="str">
        <x:v>revenue</x:v>
      </x:c>
      <x:c r="S11" s="17" t="str">
        <x:v>70</x:v>
      </x:c>
    </x:row>
    <x:row r="12" ht="34" customHeight="1">
      <x:c r="A12" s="16" t="str">
        <x:v>e007</x:v>
      </x:c>
      <x:c r="B12" s="16" t="str">
        <x:v>mejorar_recaudacion</x:v>
      </x:c>
      <x:c r="C12" s="16" t="str">
        <x:v>indicator</x:v>
      </x:c>
      <x:c r="D12" s="16" t="str">
        <x:v>derechos</x:v>
      </x:c>
      <x:c r="E12" s="16" t="n">
        <x:v>2</x:v>
      </x:c>
      <x:c r="F12" s="16" t="str">
        <x:v>+</x:v>
      </x:c>
      <x:c r="G12" s="16" t="str">
        <x:v>pulse</x:v>
      </x:c>
      <x:c r="H12" s="16" t="str">
        <x:v>close</x:v>
      </x:c>
      <x:c r="I12" s="18" t="n">
        <x:v>1</x:v>
      </x:c>
      <x:c r="J12" s="18" t="n">
        <x:v>1</x:v>
      </x:c>
      <x:c r="K12" s="16" t="str">
        <x:v>delayed</x:v>
      </x:c>
      <x:c r="L12" s="16" t="str">
        <x:v>true</x:v>
      </x:c>
      <x:c r="M12" s="16" t="str">
        <x:v>ninguna</x:v>
      </x:c>
      <x:c r="N12" s="18" t="n">
        <x:v>0</x:v>
      </x:c>
      <x:c r="O12" s="16" t="str">
        <x:v>sum_distinct_instances</x:v>
      </x:c>
      <x:c r="P12" s="16" t="str">
        <x:v>0..100; cap de cambio ±12 salvo expiraciones</x:v>
      </x:c>
      <x:c r="Q12" s="16" t="str">
        <x:v>Variación de resultado; no altera directamente satisfacción ni voto.</x:v>
      </x:c>
      <x:c r="R12" s="16" t="str">
        <x:v>n.a.</x:v>
      </x:c>
      <x:c r="S12" s="16" t="str">
        <x:v>2</x:v>
      </x:c>
    </x:row>
    <x:row r="13" ht="34" customHeight="1">
      <x:c r="A13" s="17" t="str">
        <x:v>e008</x:v>
      </x:c>
      <x:c r="B13" s="17" t="str">
        <x:v>subsidios_industriales</x:v>
      </x:c>
      <x:c r="C13" s="17" t="str">
        <x:v>ledger</x:v>
      </x:c>
      <x:c r="D13" s="17" t="str">
        <x:v>expense_once</x:v>
      </x:c>
      <x:c r="E13" s="17" t="n">
        <x:v>120</x:v>
      </x:c>
      <x:c r="F13" s="17" t="str">
        <x:v>+</x:v>
      </x:c>
      <x:c r="G13" s="17" t="str">
        <x:v>flow</x:v>
      </x:c>
      <x:c r="H13" s="17" t="str">
        <x:v>execute</x:v>
      </x:c>
      <x:c r="I13" s="19" t="n">
        <x:v>0</x:v>
      </x:c>
      <x:c r="J13" s="19" t="n">
        <x:v>1</x:v>
      </x:c>
      <x:c r="K13" s="17" t="str">
        <x:v>immediate</x:v>
      </x:c>
      <x:c r="L13" s="17" t="str">
        <x:v>true</x:v>
      </x:c>
      <x:c r="M13" s="17" t="str">
        <x:v>ninguna</x:v>
      </x:c>
      <x:c r="N13" s="19" t="n">
        <x:v>0</x:v>
      </x:c>
      <x:c r="O13" s="17" t="str">
        <x:v>sum_distinct_instances</x:v>
      </x:c>
      <x:c r="P13" s="17" t="str">
        <x:v>Ver contrato de target</x:v>
      </x:c>
      <x:c r="Q13" s="17" t="str">
        <x:v>Coste administrativo o programa. No se duplica con la columna fiscal de 04.</x:v>
      </x:c>
      <x:c r="R13" s="17" t="str">
        <x:v>expense</x:v>
      </x:c>
      <x:c r="S13" s="17" t="str">
        <x:v>120</x:v>
      </x:c>
    </x:row>
    <x:row r="14" ht="34" customHeight="1">
      <x:c r="A14" s="16" t="str">
        <x:v>e009</x:v>
      </x:c>
      <x:c r="B14" s="16" t="str">
        <x:v>subsidios_industriales</x:v>
      </x:c>
      <x:c r="C14" s="16" t="str">
        <x:v>ledger</x:v>
      </x:c>
      <x:c r="D14" s="16" t="str">
        <x:v>expense_recurring</x:v>
      </x:c>
      <x:c r="E14" s="16" t="n">
        <x:v>60</x:v>
      </x:c>
      <x:c r="F14" s="16" t="str">
        <x:v>+</x:v>
      </x:c>
      <x:c r="G14" s="16" t="str">
        <x:v>flow</x:v>
      </x:c>
      <x:c r="H14" s="16" t="str">
        <x:v>close</x:v>
      </x:c>
      <x:c r="I14" s="18" t="n">
        <x:v>1</x:v>
      </x:c>
      <x:c r="J14" s="18" t="n">
        <x:v>4</x:v>
      </x:c>
      <x:c r="K14" s="16" t="str">
        <x:v>delayed+persistent</x:v>
      </x:c>
      <x:c r="L14" s="16" t="str">
        <x:v>true</x:v>
      </x:c>
      <x:c r="M14" s="16" t="str">
        <x:v>ninguna</x:v>
      </x:c>
      <x:c r="N14" s="18" t="n">
        <x:v>0</x:v>
      </x:c>
      <x:c r="O14" s="16" t="str">
        <x:v>sum_distinct_instances</x:v>
      </x:c>
      <x:c r="P14" s="16" t="str">
        <x:v>Ver contrato de target</x:v>
      </x:c>
      <x:c r="Q14" s="16" t="str">
        <x:v>Flujo explícito; afecta caja y cálculo fiscal durante su vigencia.</x:v>
      </x:c>
      <x:c r="R14" s="16" t="str">
        <x:v>expense</x:v>
      </x:c>
      <x:c r="S14" s="16" t="str">
        <x:v>60</x:v>
      </x:c>
    </x:row>
    <x:row r="15" ht="34" customHeight="1">
      <x:c r="A15" s="17" t="str">
        <x:v>e010</x:v>
      </x:c>
      <x:c r="B15" s="17" t="str">
        <x:v>subsidios_industriales</x:v>
      </x:c>
      <x:c r="C15" s="17" t="str">
        <x:v>indicator</x:v>
      </x:c>
      <x:c r="D15" s="17" t="str">
        <x:v>actividad</x:v>
      </x:c>
      <x:c r="E15" s="17" t="n">
        <x:v>4</x:v>
      </x:c>
      <x:c r="F15" s="17" t="str">
        <x:v>+</x:v>
      </x:c>
      <x:c r="G15" s="17" t="str">
        <x:v>offset</x:v>
      </x:c>
      <x:c r="H15" s="17" t="str">
        <x:v>close</x:v>
      </x:c>
      <x:c r="I15" s="19" t="n">
        <x:v>1</x:v>
      </x:c>
      <x:c r="J15" s="19" t="n">
        <x:v>4</x:v>
      </x:c>
      <x:c r="K15" s="17" t="str">
        <x:v>delayed+persistent</x:v>
      </x:c>
      <x:c r="L15" s="17" t="str">
        <x:v>true</x:v>
      </x:c>
      <x:c r="M15" s="17" t="str">
        <x:v>ninguna</x:v>
      </x:c>
      <x:c r="N15" s="19" t="n">
        <x:v>0</x:v>
      </x:c>
      <x:c r="O15" s="17" t="str">
        <x:v>reject_active</x:v>
      </x:c>
      <x:c r="P15" s="17" t="str">
        <x:v>0..100; cap de cambio ±12 salvo expiraciones</x:v>
      </x:c>
      <x:c r="Q15" s="17" t="str">
        <x:v>Variación de resultado; no altera directamente satisfacción ni voto.</x:v>
      </x:c>
      <x:c r="R15" s="17" t="str">
        <x:v>n.a.</x:v>
      </x:c>
      <x:c r="S15" s="17" t="str">
        <x:v>4</x:v>
      </x:c>
    </x:row>
    <x:row r="16" ht="34" customHeight="1">
      <x:c r="A16" s="16" t="str">
        <x:v>e011</x:v>
      </x:c>
      <x:c r="B16" s="16" t="str">
        <x:v>subsidios_industriales</x:v>
      </x:c>
      <x:c r="C16" s="16" t="str">
        <x:v>indicator</x:v>
      </x:c>
      <x:c r="D16" s="16" t="str">
        <x:v>ambiente</x:v>
      </x:c>
      <x:c r="E16" s="16" t="n">
        <x:v>-1</x:v>
      </x:c>
      <x:c r="F16" s="16" t="str">
        <x:v>-</x:v>
      </x:c>
      <x:c r="G16" s="16" t="str">
        <x:v>pulse</x:v>
      </x:c>
      <x:c r="H16" s="16" t="str">
        <x:v>close</x:v>
      </x:c>
      <x:c r="I16" s="18" t="n">
        <x:v>2</x:v>
      </x:c>
      <x:c r="J16" s="18" t="n">
        <x:v>1</x:v>
      </x:c>
      <x:c r="K16" s="16" t="str">
        <x:v>delayed</x:v>
      </x:c>
      <x:c r="L16" s="16" t="str">
        <x:v>true</x:v>
      </x:c>
      <x:c r="M16" s="16" t="str">
        <x:v>ninguna</x:v>
      </x:c>
      <x:c r="N16" s="18" t="n">
        <x:v>0</x:v>
      </x:c>
      <x:c r="O16" s="16" t="str">
        <x:v>sum_distinct_instances</x:v>
      </x:c>
      <x:c r="P16" s="16" t="str">
        <x:v>0..100; cap de cambio ±12 salvo expiraciones</x:v>
      </x:c>
      <x:c r="Q16" s="16" t="str">
        <x:v>Variación de resultado; no altera directamente satisfacción ni voto.</x:v>
      </x:c>
      <x:c r="R16" s="16" t="str">
        <x:v>n.a.</x:v>
      </x:c>
      <x:c r="S16" s="16" t="str">
        <x:v>-1</x:v>
      </x:c>
    </x:row>
    <x:row r="17" ht="34" customHeight="1">
      <x:c r="A17" s="17" t="str">
        <x:v>e012</x:v>
      </x:c>
      <x:c r="B17" s="17" t="str">
        <x:v>reforma_impositiva</x:v>
      </x:c>
      <x:c r="C17" s="17" t="str">
        <x:v>ledger</x:v>
      </x:c>
      <x:c r="D17" s="17" t="str">
        <x:v>expense_once</x:v>
      </x:c>
      <x:c r="E17" s="17" t="n">
        <x:v>100</x:v>
      </x:c>
      <x:c r="F17" s="17" t="str">
        <x:v>+</x:v>
      </x:c>
      <x:c r="G17" s="17" t="str">
        <x:v>flow</x:v>
      </x:c>
      <x:c r="H17" s="17" t="str">
        <x:v>execute</x:v>
      </x:c>
      <x:c r="I17" s="19" t="n">
        <x:v>0</x:v>
      </x:c>
      <x:c r="J17" s="19" t="n">
        <x:v>1</x:v>
      </x:c>
      <x:c r="K17" s="17" t="str">
        <x:v>immediate</x:v>
      </x:c>
      <x:c r="L17" s="17" t="str">
        <x:v>true</x:v>
      </x:c>
      <x:c r="M17" s="17" t="str">
        <x:v>ninguna</x:v>
      </x:c>
      <x:c r="N17" s="19" t="n">
        <x:v>0</x:v>
      </x:c>
      <x:c r="O17" s="17" t="str">
        <x:v>sum_distinct_instances</x:v>
      </x:c>
      <x:c r="P17" s="17" t="str">
        <x:v>Ver contrato de target</x:v>
      </x:c>
      <x:c r="Q17" s="17" t="str">
        <x:v>Coste administrativo o programa. No se duplica con la columna fiscal de 04.</x:v>
      </x:c>
      <x:c r="R17" s="17" t="str">
        <x:v>expense</x:v>
      </x:c>
      <x:c r="S17" s="17" t="str">
        <x:v>100</x:v>
      </x:c>
    </x:row>
    <x:row r="18" ht="34" customHeight="1">
      <x:c r="A18" s="16" t="str">
        <x:v>e013</x:v>
      </x:c>
      <x:c r="B18" s="16" t="str">
        <x:v>reforma_impositiva</x:v>
      </x:c>
      <x:c r="C18" s="16" t="str">
        <x:v>ledger</x:v>
      </x:c>
      <x:c r="D18" s="16" t="str">
        <x:v>revenue_recurring</x:v>
      </x:c>
      <x:c r="E18" s="16" t="n">
        <x:v>100</x:v>
      </x:c>
      <x:c r="F18" s="16" t="str">
        <x:v>+</x:v>
      </x:c>
      <x:c r="G18" s="16" t="str">
        <x:v>flow</x:v>
      </x:c>
      <x:c r="H18" s="16" t="str">
        <x:v>close</x:v>
      </x:c>
      <x:c r="I18" s="18" t="n">
        <x:v>1</x:v>
      </x:c>
      <x:c r="J18" s="18" t="n">
        <x:v>0</x:v>
      </x:c>
      <x:c r="K18" s="16" t="str">
        <x:v>delayed</x:v>
      </x:c>
      <x:c r="L18" s="16" t="str">
        <x:v>true</x:v>
      </x:c>
      <x:c r="M18" s="16" t="str">
        <x:v>ninguna</x:v>
      </x:c>
      <x:c r="N18" s="18" t="n">
        <x:v>0</x:v>
      </x:c>
      <x:c r="O18" s="16" t="str">
        <x:v>sum_distinct_instances</x:v>
      </x:c>
      <x:c r="P18" s="16" t="str">
        <x:v>Ver contrato de target</x:v>
      </x:c>
      <x:c r="Q18" s="16" t="str">
        <x:v>Flujo explícito; afecta caja y cálculo fiscal durante su vigencia.</x:v>
      </x:c>
      <x:c r="R18" s="16" t="str">
        <x:v>revenue</x:v>
      </x:c>
      <x:c r="S18" s="16" t="str">
        <x:v>100</x:v>
      </x:c>
    </x:row>
    <x:row r="19" ht="34" customHeight="1">
      <x:c r="A19" s="17" t="str">
        <x:v>e014</x:v>
      </x:c>
      <x:c r="B19" s="17" t="str">
        <x:v>reforma_impositiva</x:v>
      </x:c>
      <x:c r="C19" s="17" t="str">
        <x:v>indicator</x:v>
      </x:c>
      <x:c r="D19" s="17" t="str">
        <x:v>ingreso_real</x:v>
      </x:c>
      <x:c r="E19" s="17" t="n">
        <x:v>-3</x:v>
      </x:c>
      <x:c r="F19" s="17" t="str">
        <x:v>-</x:v>
      </x:c>
      <x:c r="G19" s="17" t="str">
        <x:v>pulse</x:v>
      </x:c>
      <x:c r="H19" s="17" t="str">
        <x:v>close</x:v>
      </x:c>
      <x:c r="I19" s="19" t="n">
        <x:v>1</x:v>
      </x:c>
      <x:c r="J19" s="19" t="n">
        <x:v>1</x:v>
      </x:c>
      <x:c r="K19" s="17" t="str">
        <x:v>delayed</x:v>
      </x:c>
      <x:c r="L19" s="17" t="str">
        <x:v>true</x:v>
      </x:c>
      <x:c r="M19" s="17" t="str">
        <x:v>ninguna</x:v>
      </x:c>
      <x:c r="N19" s="19" t="n">
        <x:v>0</x:v>
      </x:c>
      <x:c r="O19" s="17" t="str">
        <x:v>sum_distinct_instances</x:v>
      </x:c>
      <x:c r="P19" s="17" t="str">
        <x:v>0..100; cap de cambio ±12 salvo expiraciones</x:v>
      </x:c>
      <x:c r="Q19" s="17" t="str">
        <x:v>Variación de resultado; no altera directamente satisfacción ni voto.</x:v>
      </x:c>
      <x:c r="R19" s="17" t="str">
        <x:v>n.a.</x:v>
      </x:c>
      <x:c r="S19" s="17" t="str">
        <x:v>-3</x:v>
      </x:c>
    </x:row>
    <x:row r="20" ht="34" customHeight="1">
      <x:c r="A20" s="16" t="str">
        <x:v>e015</x:v>
      </x:c>
      <x:c r="B20" s="16" t="str">
        <x:v>reforma_impositiva</x:v>
      </x:c>
      <x:c r="C20" s="16" t="str">
        <x:v>indicator</x:v>
      </x:c>
      <x:c r="D20" s="16" t="str">
        <x:v>actividad</x:v>
      </x:c>
      <x:c r="E20" s="16" t="n">
        <x:v>-2</x:v>
      </x:c>
      <x:c r="F20" s="16" t="str">
        <x:v>-</x:v>
      </x:c>
      <x:c r="G20" s="16" t="str">
        <x:v>offset</x:v>
      </x:c>
      <x:c r="H20" s="16" t="str">
        <x:v>close</x:v>
      </x:c>
      <x:c r="I20" s="18" t="n">
        <x:v>1</x:v>
      </x:c>
      <x:c r="J20" s="18" t="n">
        <x:v>2</x:v>
      </x:c>
      <x:c r="K20" s="16" t="str">
        <x:v>delayed+persistent</x:v>
      </x:c>
      <x:c r="L20" s="16" t="str">
        <x:v>true</x:v>
      </x:c>
      <x:c r="M20" s="16" t="str">
        <x:v>ninguna</x:v>
      </x:c>
      <x:c r="N20" s="18" t="n">
        <x:v>0</x:v>
      </x:c>
      <x:c r="O20" s="16" t="str">
        <x:v>reject_active</x:v>
      </x:c>
      <x:c r="P20" s="16" t="str">
        <x:v>0..100; cap de cambio ±12 salvo expiraciones</x:v>
      </x:c>
      <x:c r="Q20" s="16" t="str">
        <x:v>Variación de resultado; no altera directamente satisfacción ni voto.</x:v>
      </x:c>
      <x:c r="R20" s="16" t="str">
        <x:v>n.a.</x:v>
      </x:c>
      <x:c r="S20" s="16" t="str">
        <x:v>-2</x:v>
      </x:c>
    </x:row>
    <x:row r="21" ht="34" customHeight="1">
      <x:c r="A21" s="17" t="str">
        <x:v>e016</x:v>
      </x:c>
      <x:c r="B21" s="17" t="str">
        <x:v>incentivos_exportacion</x:v>
      </x:c>
      <x:c r="C21" s="17" t="str">
        <x:v>ledger</x:v>
      </x:c>
      <x:c r="D21" s="17" t="str">
        <x:v>expense_once</x:v>
      </x:c>
      <x:c r="E21" s="17" t="n">
        <x:v>160</x:v>
      </x:c>
      <x:c r="F21" s="17" t="str">
        <x:v>+</x:v>
      </x:c>
      <x:c r="G21" s="17" t="str">
        <x:v>flow</x:v>
      </x:c>
      <x:c r="H21" s="17" t="str">
        <x:v>execute</x:v>
      </x:c>
      <x:c r="I21" s="19" t="n">
        <x:v>0</x:v>
      </x:c>
      <x:c r="J21" s="19" t="n">
        <x:v>1</x:v>
      </x:c>
      <x:c r="K21" s="17" t="str">
        <x:v>immediate</x:v>
      </x:c>
      <x:c r="L21" s="17" t="str">
        <x:v>true</x:v>
      </x:c>
      <x:c r="M21" s="17" t="str">
        <x:v>ninguna</x:v>
      </x:c>
      <x:c r="N21" s="19" t="n">
        <x:v>0</x:v>
      </x:c>
      <x:c r="O21" s="17" t="str">
        <x:v>sum_distinct_instances</x:v>
      </x:c>
      <x:c r="P21" s="17" t="str">
        <x:v>Ver contrato de target</x:v>
      </x:c>
      <x:c r="Q21" s="17" t="str">
        <x:v>Coste administrativo o programa. No se duplica con la columna fiscal de 04.</x:v>
      </x:c>
      <x:c r="R21" s="17" t="str">
        <x:v>expense</x:v>
      </x:c>
      <x:c r="S21" s="17" t="str">
        <x:v>160</x:v>
      </x:c>
    </x:row>
    <x:row r="22" ht="34" customHeight="1">
      <x:c r="A22" s="16" t="str">
        <x:v>e017</x:v>
      </x:c>
      <x:c r="B22" s="16" t="str">
        <x:v>incentivos_exportacion</x:v>
      </x:c>
      <x:c r="C22" s="16" t="str">
        <x:v>indicator</x:v>
      </x:c>
      <x:c r="D22" s="16" t="str">
        <x:v>externo</x:v>
      </x:c>
      <x:c r="E22" s="16" t="n">
        <x:v>5</x:v>
      </x:c>
      <x:c r="F22" s="16" t="str">
        <x:v>+</x:v>
      </x:c>
      <x:c r="G22" s="16" t="str">
        <x:v>pulse</x:v>
      </x:c>
      <x:c r="H22" s="16" t="str">
        <x:v>close</x:v>
      </x:c>
      <x:c r="I22" s="18" t="n">
        <x:v>2</x:v>
      </x:c>
      <x:c r="J22" s="18" t="n">
        <x:v>1</x:v>
      </x:c>
      <x:c r="K22" s="16" t="str">
        <x:v>delayed</x:v>
      </x:c>
      <x:c r="L22" s="16" t="str">
        <x:v>true</x:v>
      </x:c>
      <x:c r="M22" s="16" t="str">
        <x:v>ninguna</x:v>
      </x:c>
      <x:c r="N22" s="18" t="n">
        <x:v>0</x:v>
      </x:c>
      <x:c r="O22" s="16" t="str">
        <x:v>sum_distinct_instances</x:v>
      </x:c>
      <x:c r="P22" s="16" t="str">
        <x:v>0..100; cap de cambio ±12 salvo expiraciones</x:v>
      </x:c>
      <x:c r="Q22" s="16" t="str">
        <x:v>Variación de resultado; no altera directamente satisfacción ni voto.</x:v>
      </x:c>
      <x:c r="R22" s="16" t="str">
        <x:v>n.a.</x:v>
      </x:c>
      <x:c r="S22" s="16" t="str">
        <x:v>5</x:v>
      </x:c>
    </x:row>
    <x:row r="23" ht="34" customHeight="1">
      <x:c r="A23" s="17" t="str">
        <x:v>e018</x:v>
      </x:c>
      <x:c r="B23" s="17" t="str">
        <x:v>incentivos_exportacion</x:v>
      </x:c>
      <x:c r="C23" s="17" t="str">
        <x:v>ledger</x:v>
      </x:c>
      <x:c r="D23" s="17" t="str">
        <x:v>expense_recurring</x:v>
      </x:c>
      <x:c r="E23" s="17" t="n">
        <x:v>20</x:v>
      </x:c>
      <x:c r="F23" s="17" t="str">
        <x:v>+</x:v>
      </x:c>
      <x:c r="G23" s="17" t="str">
        <x:v>flow</x:v>
      </x:c>
      <x:c r="H23" s="17" t="str">
        <x:v>close</x:v>
      </x:c>
      <x:c r="I23" s="19" t="n">
        <x:v>2</x:v>
      </x:c>
      <x:c r="J23" s="19" t="n">
        <x:v>4</x:v>
      </x:c>
      <x:c r="K23" s="17" t="str">
        <x:v>delayed+persistent</x:v>
      </x:c>
      <x:c r="L23" s="17" t="str">
        <x:v>true</x:v>
      </x:c>
      <x:c r="M23" s="17" t="str">
        <x:v>ninguna</x:v>
      </x:c>
      <x:c r="N23" s="19" t="n">
        <x:v>0</x:v>
      </x:c>
      <x:c r="O23" s="17" t="str">
        <x:v>sum_distinct_instances</x:v>
      </x:c>
      <x:c r="P23" s="17" t="str">
        <x:v>Ver contrato de target</x:v>
      </x:c>
      <x:c r="Q23" s="17" t="str">
        <x:v>Flujo explícito; afecta caja y cálculo fiscal durante su vigencia.</x:v>
      </x:c>
      <x:c r="R23" s="17" t="str">
        <x:v>expense</x:v>
      </x:c>
      <x:c r="S23" s="17" t="str">
        <x:v>20</x:v>
      </x:c>
    </x:row>
    <x:row r="24" ht="34" customHeight="1">
      <x:c r="A24" s="16" t="str">
        <x:v>e019</x:v>
      </x:c>
      <x:c r="B24" s="16" t="str">
        <x:v>control_precios</x:v>
      </x:c>
      <x:c r="C24" s="16" t="str">
        <x:v>ledger</x:v>
      </x:c>
      <x:c r="D24" s="16" t="str">
        <x:v>expense_once</x:v>
      </x:c>
      <x:c r="E24" s="16" t="n">
        <x:v>60</x:v>
      </x:c>
      <x:c r="F24" s="16" t="str">
        <x:v>+</x:v>
      </x:c>
      <x:c r="G24" s="16" t="str">
        <x:v>flow</x:v>
      </x:c>
      <x:c r="H24" s="16" t="str">
        <x:v>execute</x:v>
      </x:c>
      <x:c r="I24" s="18" t="n">
        <x:v>0</x:v>
      </x:c>
      <x:c r="J24" s="18" t="n">
        <x:v>1</x:v>
      </x:c>
      <x:c r="K24" s="16" t="str">
        <x:v>immediate</x:v>
      </x:c>
      <x:c r="L24" s="16" t="str">
        <x:v>true</x:v>
      </x:c>
      <x:c r="M24" s="16" t="str">
        <x:v>ninguna</x:v>
      </x:c>
      <x:c r="N24" s="18" t="n">
        <x:v>0</x:v>
      </x:c>
      <x:c r="O24" s="16" t="str">
        <x:v>sum_distinct_instances</x:v>
      </x:c>
      <x:c r="P24" s="16" t="str">
        <x:v>Ver contrato de target</x:v>
      </x:c>
      <x:c r="Q24" s="16" t="str">
        <x:v>Coste administrativo o programa. No se duplica con la columna fiscal de 04.</x:v>
      </x:c>
      <x:c r="R24" s="16" t="str">
        <x:v>expense</x:v>
      </x:c>
      <x:c r="S24" s="16" t="str">
        <x:v>60</x:v>
      </x:c>
    </x:row>
    <x:row r="25" ht="34" customHeight="1">
      <x:c r="A25" s="17" t="str">
        <x:v>e020</x:v>
      </x:c>
      <x:c r="B25" s="17" t="str">
        <x:v>control_precios</x:v>
      </x:c>
      <x:c r="C25" s="17" t="str">
        <x:v>indicator</x:v>
      </x:c>
      <x:c r="D25" s="17" t="str">
        <x:v>inflacion</x:v>
      </x:c>
      <x:c r="E25" s="17" t="n">
        <x:v>-4</x:v>
      </x:c>
      <x:c r="F25" s="17" t="str">
        <x:v>-</x:v>
      </x:c>
      <x:c r="G25" s="17" t="str">
        <x:v>offset</x:v>
      </x:c>
      <x:c r="H25" s="17" t="str">
        <x:v>close</x:v>
      </x:c>
      <x:c r="I25" s="19" t="n">
        <x:v>0</x:v>
      </x:c>
      <x:c r="J25" s="19" t="n">
        <x:v>2</x:v>
      </x:c>
      <x:c r="K25" s="17" t="str">
        <x:v>persistent</x:v>
      </x:c>
      <x:c r="L25" s="17" t="str">
        <x:v>true</x:v>
      </x:c>
      <x:c r="M25" s="17" t="str">
        <x:v>ninguna</x:v>
      </x:c>
      <x:c r="N25" s="19" t="n">
        <x:v>0</x:v>
      </x:c>
      <x:c r="O25" s="17" t="str">
        <x:v>reject_active</x:v>
      </x:c>
      <x:c r="P25" s="17" t="str">
        <x:v>0..100; cap de cambio ±12 salvo expiraciones</x:v>
      </x:c>
      <x:c r="Q25" s="17" t="str">
        <x:v>Variación de resultado; no altera directamente satisfacción ni voto.</x:v>
      </x:c>
      <x:c r="R25" s="17" t="str">
        <x:v>n.a.</x:v>
      </x:c>
      <x:c r="S25" s="17" t="str">
        <x:v>-4</x:v>
      </x:c>
    </x:row>
    <x:row r="26" ht="34" customHeight="1">
      <x:c r="A26" s="16" t="str">
        <x:v>e021</x:v>
      </x:c>
      <x:c r="B26" s="16" t="str">
        <x:v>control_precios</x:v>
      </x:c>
      <x:c r="C26" s="16" t="str">
        <x:v>indicator</x:v>
      </x:c>
      <x:c r="D26" s="16" t="str">
        <x:v>actividad</x:v>
      </x:c>
      <x:c r="E26" s="16" t="n">
        <x:v>-2</x:v>
      </x:c>
      <x:c r="F26" s="16" t="str">
        <x:v>-</x:v>
      </x:c>
      <x:c r="G26" s="16" t="str">
        <x:v>offset</x:v>
      </x:c>
      <x:c r="H26" s="16" t="str">
        <x:v>close</x:v>
      </x:c>
      <x:c r="I26" s="18" t="n">
        <x:v>1</x:v>
      </x:c>
      <x:c r="J26" s="18" t="n">
        <x:v>2</x:v>
      </x:c>
      <x:c r="K26" s="16" t="str">
        <x:v>delayed+persistent</x:v>
      </x:c>
      <x:c r="L26" s="16" t="str">
        <x:v>true</x:v>
      </x:c>
      <x:c r="M26" s="16" t="str">
        <x:v>ninguna</x:v>
      </x:c>
      <x:c r="N26" s="18" t="n">
        <x:v>0</x:v>
      </x:c>
      <x:c r="O26" s="16" t="str">
        <x:v>reject_active</x:v>
      </x:c>
      <x:c r="P26" s="16" t="str">
        <x:v>0..100; cap de cambio ±12 salvo expiraciones</x:v>
      </x:c>
      <x:c r="Q26" s="16" t="str">
        <x:v>Variación de resultado; no altera directamente satisfacción ni voto.</x:v>
      </x:c>
      <x:c r="R26" s="16" t="str">
        <x:v>n.a.</x:v>
      </x:c>
      <x:c r="S26" s="16" t="str">
        <x:v>-2</x:v>
      </x:c>
    </x:row>
    <x:row r="27" ht="34" customHeight="1">
      <x:c r="A27" s="17" t="str">
        <x:v>e022</x:v>
      </x:c>
      <x:c r="B27" s="17" t="str">
        <x:v>aumento_salarial</x:v>
      </x:c>
      <x:c r="C27" s="17" t="str">
        <x:v>ledger</x:v>
      </x:c>
      <x:c r="D27" s="17" t="str">
        <x:v>expense_once</x:v>
      </x:c>
      <x:c r="E27" s="17" t="n">
        <x:v>80</x:v>
      </x:c>
      <x:c r="F27" s="17" t="str">
        <x:v>+</x:v>
      </x:c>
      <x:c r="G27" s="17" t="str">
        <x:v>flow</x:v>
      </x:c>
      <x:c r="H27" s="17" t="str">
        <x:v>execute</x:v>
      </x:c>
      <x:c r="I27" s="19" t="n">
        <x:v>0</x:v>
      </x:c>
      <x:c r="J27" s="19" t="n">
        <x:v>1</x:v>
      </x:c>
      <x:c r="K27" s="17" t="str">
        <x:v>immediate</x:v>
      </x:c>
      <x:c r="L27" s="17" t="str">
        <x:v>true</x:v>
      </x:c>
      <x:c r="M27" s="17" t="str">
        <x:v>ninguna</x:v>
      </x:c>
      <x:c r="N27" s="19" t="n">
        <x:v>0</x:v>
      </x:c>
      <x:c r="O27" s="17" t="str">
        <x:v>sum_distinct_instances</x:v>
      </x:c>
      <x:c r="P27" s="17" t="str">
        <x:v>Ver contrato de target</x:v>
      </x:c>
      <x:c r="Q27" s="17" t="str">
        <x:v>Coste administrativo o programa. No se duplica con la columna fiscal de 04.</x:v>
      </x:c>
      <x:c r="R27" s="17" t="str">
        <x:v>expense</x:v>
      </x:c>
      <x:c r="S27" s="17" t="str">
        <x:v>80</x:v>
      </x:c>
    </x:row>
    <x:row r="28" ht="34" customHeight="1">
      <x:c r="A28" s="16" t="str">
        <x:v>e023</x:v>
      </x:c>
      <x:c r="B28" s="16" t="str">
        <x:v>aumento_salarial</x:v>
      </x:c>
      <x:c r="C28" s="16" t="str">
        <x:v>indicator</x:v>
      </x:c>
      <x:c r="D28" s="16" t="str">
        <x:v>ingreso_real</x:v>
      </x:c>
      <x:c r="E28" s="16" t="n">
        <x:v>5</x:v>
      </x:c>
      <x:c r="F28" s="16" t="str">
        <x:v>+</x:v>
      </x:c>
      <x:c r="G28" s="16" t="str">
        <x:v>pulse</x:v>
      </x:c>
      <x:c r="H28" s="16" t="str">
        <x:v>close</x:v>
      </x:c>
      <x:c r="I28" s="18" t="n">
        <x:v>0</x:v>
      </x:c>
      <x:c r="J28" s="18" t="n">
        <x:v>1</x:v>
      </x:c>
      <x:c r="K28" s="16" t="str">
        <x:v>immediate</x:v>
      </x:c>
      <x:c r="L28" s="16" t="str">
        <x:v>true</x:v>
      </x:c>
      <x:c r="M28" s="16" t="str">
        <x:v>ninguna</x:v>
      </x:c>
      <x:c r="N28" s="18" t="n">
        <x:v>0</x:v>
      </x:c>
      <x:c r="O28" s="16" t="str">
        <x:v>sum_distinct_instances</x:v>
      </x:c>
      <x:c r="P28" s="16" t="str">
        <x:v>0..100; cap de cambio ±12 salvo expiraciones</x:v>
      </x:c>
      <x:c r="Q28" s="16" t="str">
        <x:v>Variación de resultado; no altera directamente satisfacción ni voto.</x:v>
      </x:c>
      <x:c r="R28" s="16" t="str">
        <x:v>n.a.</x:v>
      </x:c>
      <x:c r="S28" s="16" t="str">
        <x:v>5</x:v>
      </x:c>
    </x:row>
    <x:row r="29" ht="34" customHeight="1">
      <x:c r="A29" s="17" t="str">
        <x:v>e024</x:v>
      </x:c>
      <x:c r="B29" s="17" t="str">
        <x:v>aumento_salarial</x:v>
      </x:c>
      <x:c r="C29" s="17" t="str">
        <x:v>ledger</x:v>
      </x:c>
      <x:c r="D29" s="17" t="str">
        <x:v>expense_recurring</x:v>
      </x:c>
      <x:c r="E29" s="17" t="n">
        <x:v>60</x:v>
      </x:c>
      <x:c r="F29" s="17" t="str">
        <x:v>+</x:v>
      </x:c>
      <x:c r="G29" s="17" t="str">
        <x:v>flow</x:v>
      </x:c>
      <x:c r="H29" s="17" t="str">
        <x:v>close</x:v>
      </x:c>
      <x:c r="I29" s="19" t="n">
        <x:v>1</x:v>
      </x:c>
      <x:c r="J29" s="19" t="n">
        <x:v>0</x:v>
      </x:c>
      <x:c r="K29" s="17" t="str">
        <x:v>delayed</x:v>
      </x:c>
      <x:c r="L29" s="17" t="str">
        <x:v>true</x:v>
      </x:c>
      <x:c r="M29" s="17" t="str">
        <x:v>ninguna</x:v>
      </x:c>
      <x:c r="N29" s="19" t="n">
        <x:v>0</x:v>
      </x:c>
      <x:c r="O29" s="17" t="str">
        <x:v>sum_distinct_instances</x:v>
      </x:c>
      <x:c r="P29" s="17" t="str">
        <x:v>Ver contrato de target</x:v>
      </x:c>
      <x:c r="Q29" s="17" t="str">
        <x:v>Flujo explícito; afecta caja y cálculo fiscal durante su vigencia.</x:v>
      </x:c>
      <x:c r="R29" s="17" t="str">
        <x:v>expense</x:v>
      </x:c>
      <x:c r="S29" s="17" t="str">
        <x:v>60</x:v>
      </x:c>
    </x:row>
    <x:row r="30" ht="34" customHeight="1">
      <x:c r="A30" s="16" t="str">
        <x:v>e025</x:v>
      </x:c>
      <x:c r="B30" s="16" t="str">
        <x:v>aumento_salarial</x:v>
      </x:c>
      <x:c r="C30" s="16" t="str">
        <x:v>indicator</x:v>
      </x:c>
      <x:c r="D30" s="16" t="str">
        <x:v>inflacion</x:v>
      </x:c>
      <x:c r="E30" s="16" t="n">
        <x:v>2</x:v>
      </x:c>
      <x:c r="F30" s="16" t="str">
        <x:v>+</x:v>
      </x:c>
      <x:c r="G30" s="16" t="str">
        <x:v>pulse</x:v>
      </x:c>
      <x:c r="H30" s="16" t="str">
        <x:v>close</x:v>
      </x:c>
      <x:c r="I30" s="18" t="n">
        <x:v>1</x:v>
      </x:c>
      <x:c r="J30" s="18" t="n">
        <x:v>1</x:v>
      </x:c>
      <x:c r="K30" s="16" t="str">
        <x:v>conditional</x:v>
      </x:c>
      <x:c r="L30" s="16" t="str">
        <x:v>pre.actividad&gt;=55</x:v>
      </x:c>
      <x:c r="M30" s="16" t="str">
        <x:v>ninguna</x:v>
      </x:c>
      <x:c r="N30" s="18" t="n">
        <x:v>0</x:v>
      </x:c>
      <x:c r="O30" s="16" t="str">
        <x:v>sum_distinct_instances</x:v>
      </x:c>
      <x:c r="P30" s="16" t="str">
        <x:v>0..100; cap de cambio ±12 salvo expiraciones</x:v>
      </x:c>
      <x:c r="Q30" s="16" t="str">
        <x:v>Mayor traslado cuando actividad es alta.</x:v>
      </x:c>
      <x:c r="R30" s="16" t="str">
        <x:v>n.a.</x:v>
      </x:c>
      <x:c r="S30" s="16" t="str">
        <x:v>2</x:v>
      </x:c>
    </x:row>
    <x:row r="31" ht="34" customHeight="1">
      <x:c r="A31" s="17" t="str">
        <x:v>e026</x:v>
      </x:c>
      <x:c r="B31" s="17" t="str">
        <x:v>reduccion_gasto</x:v>
      </x:c>
      <x:c r="C31" s="17" t="str">
        <x:v>ledger</x:v>
      </x:c>
      <x:c r="D31" s="17" t="str">
        <x:v>expense_once</x:v>
      </x:c>
      <x:c r="E31" s="17" t="n">
        <x:v>40</x:v>
      </x:c>
      <x:c r="F31" s="17" t="str">
        <x:v>+</x:v>
      </x:c>
      <x:c r="G31" s="17" t="str">
        <x:v>flow</x:v>
      </x:c>
      <x:c r="H31" s="17" t="str">
        <x:v>execute</x:v>
      </x:c>
      <x:c r="I31" s="19" t="n">
        <x:v>0</x:v>
      </x:c>
      <x:c r="J31" s="19" t="n">
        <x:v>1</x:v>
      </x:c>
      <x:c r="K31" s="17" t="str">
        <x:v>immediate</x:v>
      </x:c>
      <x:c r="L31" s="17" t="str">
        <x:v>true</x:v>
      </x:c>
      <x:c r="M31" s="17" t="str">
        <x:v>ninguna</x:v>
      </x:c>
      <x:c r="N31" s="19" t="n">
        <x:v>0</x:v>
      </x:c>
      <x:c r="O31" s="17" t="str">
        <x:v>sum_distinct_instances</x:v>
      </x:c>
      <x:c r="P31" s="17" t="str">
        <x:v>Ver contrato de target</x:v>
      </x:c>
      <x:c r="Q31" s="17" t="str">
        <x:v>Coste administrativo o programa. No se duplica con la columna fiscal de 04.</x:v>
      </x:c>
      <x:c r="R31" s="17" t="str">
        <x:v>expense</x:v>
      </x:c>
      <x:c r="S31" s="17" t="str">
        <x:v>40</x:v>
      </x:c>
    </x:row>
    <x:row r="32" ht="34" customHeight="1">
      <x:c r="A32" s="16" t="str">
        <x:v>e027</x:v>
      </x:c>
      <x:c r="B32" s="16" t="str">
        <x:v>reduccion_gasto</x:v>
      </x:c>
      <x:c r="C32" s="16" t="str">
        <x:v>ledger</x:v>
      </x:c>
      <x:c r="D32" s="16" t="str">
        <x:v>expense_recurring</x:v>
      </x:c>
      <x:c r="E32" s="16" t="n">
        <x:v>-70</x:v>
      </x:c>
      <x:c r="F32" s="16" t="str">
        <x:v>-</x:v>
      </x:c>
      <x:c r="G32" s="16" t="str">
        <x:v>flow</x:v>
      </x:c>
      <x:c r="H32" s="16" t="str">
        <x:v>close</x:v>
      </x:c>
      <x:c r="I32" s="18" t="n">
        <x:v>1</x:v>
      </x:c>
      <x:c r="J32" s="18" t="n">
        <x:v>0</x:v>
      </x:c>
      <x:c r="K32" s="16" t="str">
        <x:v>delayed</x:v>
      </x:c>
      <x:c r="L32" s="16" t="str">
        <x:v>true</x:v>
      </x:c>
      <x:c r="M32" s="16" t="str">
        <x:v>ninguna</x:v>
      </x:c>
      <x:c r="N32" s="18" t="n">
        <x:v>0</x:v>
      </x:c>
      <x:c r="O32" s="16" t="str">
        <x:v>sum_distinct_instances</x:v>
      </x:c>
      <x:c r="P32" s="16" t="str">
        <x:v>Ver contrato de target</x:v>
      </x:c>
      <x:c r="Q32" s="16" t="str">
        <x:v>Flujo explícito; afecta caja y cálculo fiscal durante su vigencia.</x:v>
      </x:c>
      <x:c r="R32" s="16" t="str">
        <x:v>expense</x:v>
      </x:c>
      <x:c r="S32" s="16" t="str">
        <x:v>-70</x:v>
      </x:c>
    </x:row>
    <x:row r="33" ht="34" customHeight="1">
      <x:c r="A33" s="17" t="str">
        <x:v>e028</x:v>
      </x:c>
      <x:c r="B33" s="17" t="str">
        <x:v>reduccion_gasto</x:v>
      </x:c>
      <x:c r="C33" s="17" t="str">
        <x:v>indicator</x:v>
      </x:c>
      <x:c r="D33" s="17" t="str">
        <x:v>proteccion</x:v>
      </x:c>
      <x:c r="E33" s="17" t="n">
        <x:v>-4</x:v>
      </x:c>
      <x:c r="F33" s="17" t="str">
        <x:v>-</x:v>
      </x:c>
      <x:c r="G33" s="17" t="str">
        <x:v>pulse</x:v>
      </x:c>
      <x:c r="H33" s="17" t="str">
        <x:v>close</x:v>
      </x:c>
      <x:c r="I33" s="19" t="n">
        <x:v>1</x:v>
      </x:c>
      <x:c r="J33" s="19" t="n">
        <x:v>1</x:v>
      </x:c>
      <x:c r="K33" s="17" t="str">
        <x:v>delayed</x:v>
      </x:c>
      <x:c r="L33" s="17" t="str">
        <x:v>true</x:v>
      </x:c>
      <x:c r="M33" s="17" t="str">
        <x:v>ninguna</x:v>
      </x:c>
      <x:c r="N33" s="19" t="n">
        <x:v>0</x:v>
      </x:c>
      <x:c r="O33" s="17" t="str">
        <x:v>sum_distinct_instances</x:v>
      </x:c>
      <x:c r="P33" s="17" t="str">
        <x:v>0..100; cap de cambio ±12 salvo expiraciones</x:v>
      </x:c>
      <x:c r="Q33" s="17" t="str">
        <x:v>Variación de resultado; no altera directamente satisfacción ni voto.</x:v>
      </x:c>
      <x:c r="R33" s="17" t="str">
        <x:v>n.a.</x:v>
      </x:c>
      <x:c r="S33" s="17" t="str">
        <x:v>-4</x:v>
      </x:c>
    </x:row>
    <x:row r="34" ht="34" customHeight="1">
      <x:c r="A34" s="16" t="str">
        <x:v>e029</x:v>
      </x:c>
      <x:c r="B34" s="16" t="str">
        <x:v>reduccion_gasto</x:v>
      </x:c>
      <x:c r="C34" s="16" t="str">
        <x:v>indicator</x:v>
      </x:c>
      <x:c r="D34" s="16" t="str">
        <x:v>actividad</x:v>
      </x:c>
      <x:c r="E34" s="16" t="n">
        <x:v>-3</x:v>
      </x:c>
      <x:c r="F34" s="16" t="str">
        <x:v>-</x:v>
      </x:c>
      <x:c r="G34" s="16" t="str">
        <x:v>offset</x:v>
      </x:c>
      <x:c r="H34" s="16" t="str">
        <x:v>close</x:v>
      </x:c>
      <x:c r="I34" s="18" t="n">
        <x:v>0</x:v>
      </x:c>
      <x:c r="J34" s="18" t="n">
        <x:v>3</x:v>
      </x:c>
      <x:c r="K34" s="16" t="str">
        <x:v>persistent</x:v>
      </x:c>
      <x:c r="L34" s="16" t="str">
        <x:v>true</x:v>
      </x:c>
      <x:c r="M34" s="16" t="str">
        <x:v>ninguna</x:v>
      </x:c>
      <x:c r="N34" s="18" t="n">
        <x:v>0</x:v>
      </x:c>
      <x:c r="O34" s="16" t="str">
        <x:v>reject_active</x:v>
      </x:c>
      <x:c r="P34" s="16" t="str">
        <x:v>0..100; cap de cambio ±12 salvo expiraciones</x:v>
      </x:c>
      <x:c r="Q34" s="16" t="str">
        <x:v>Variación de resultado; no altera directamente satisfacción ni voto.</x:v>
      </x:c>
      <x:c r="R34" s="16" t="str">
        <x:v>n.a.</x:v>
      </x:c>
      <x:c r="S34" s="16" t="str">
        <x:v>-3</x:v>
      </x:c>
    </x:row>
    <x:row r="35" ht="34" customHeight="1">
      <x:c r="A35" s="17" t="str">
        <x:v>e030</x:v>
      </x:c>
      <x:c r="B35" s="17" t="str">
        <x:v>reduccion_gasto</x:v>
      </x:c>
      <x:c r="C35" s="17" t="str">
        <x:v>indicator</x:v>
      </x:c>
      <x:c r="D35" s="17" t="str">
        <x:v>salud</x:v>
      </x:c>
      <x:c r="E35" s="17" t="n">
        <x:v>-2</x:v>
      </x:c>
      <x:c r="F35" s="17" t="str">
        <x:v>-</x:v>
      </x:c>
      <x:c r="G35" s="17" t="str">
        <x:v>pulse</x:v>
      </x:c>
      <x:c r="H35" s="17" t="str">
        <x:v>close</x:v>
      </x:c>
      <x:c r="I35" s="19" t="n">
        <x:v>1</x:v>
      </x:c>
      <x:c r="J35" s="19" t="n">
        <x:v>1</x:v>
      </x:c>
      <x:c r="K35" s="17" t="str">
        <x:v>delayed</x:v>
      </x:c>
      <x:c r="L35" s="17" t="str">
        <x:v>true</x:v>
      </x:c>
      <x:c r="M35" s="17" t="str">
        <x:v>ninguna</x:v>
      </x:c>
      <x:c r="N35" s="19" t="n">
        <x:v>0</x:v>
      </x:c>
      <x:c r="O35" s="17" t="str">
        <x:v>sum_distinct_instances</x:v>
      </x:c>
      <x:c r="P35" s="17" t="str">
        <x:v>0..100; cap de cambio ±12 salvo expiraciones</x:v>
      </x:c>
      <x:c r="Q35" s="17" t="str">
        <x:v>Variación de resultado; no altera directamente satisfacción ni voto.</x:v>
      </x:c>
      <x:c r="R35" s="17" t="str">
        <x:v>n.a.</x:v>
      </x:c>
      <x:c r="S35" s="17" t="str">
        <x:v>-2</x:v>
      </x:c>
    </x:row>
    <x:row r="36" ht="34" customHeight="1">
      <x:c r="A36" s="16" t="str">
        <x:v>e031</x:v>
      </x:c>
      <x:c r="B36" s="16" t="str">
        <x:v>prestamo_internacional</x:v>
      </x:c>
      <x:c r="C36" s="16" t="str">
        <x:v>loan</x:v>
      </x:c>
      <x:c r="D36" s="16" t="str">
        <x:v>external</x:v>
      </x:c>
      <x:c r="E36" s="16" t="n">
        <x:v>800</x:v>
      </x:c>
      <x:c r="F36" s="16" t="str">
        <x:v>+</x:v>
      </x:c>
      <x:c r="G36" s="16" t="str">
        <x:v>originate</x:v>
      </x:c>
      <x:c r="H36" s="16" t="str">
        <x:v>execute</x:v>
      </x:c>
      <x:c r="I36" s="18" t="n">
        <x:v>0</x:v>
      </x:c>
      <x:c r="J36" s="18" t="n">
        <x:v>8</x:v>
      </x:c>
      <x:c r="K36" s="16" t="str">
        <x:v>persistent</x:v>
      </x:c>
      <x:c r="L36" s="16" t="str">
        <x:v>true</x:v>
      </x:c>
      <x:c r="M36" s="16" t="str">
        <x:v>ninguna</x:v>
      </x:c>
      <x:c r="N36" s="18" t="n">
        <x:v>0</x:v>
      </x:c>
      <x:c r="O36" s="16" t="str">
        <x:v>reject_active</x:v>
      </x:c>
      <x:c r="P36" s="16" t="str">
        <x:v>Ver contrato de target</x:v>
      </x:c>
      <x:c r="Q36" s="16" t="str">
        <x:v>Contrato: principal 800, interés 24 en t+1..t+8, principal vence t+8.</x:v>
      </x:c>
      <x:c r="R36" s="16" t="str">
        <x:v>n.a.</x:v>
      </x:c>
      <x:c r="S36" s="16" t="str">
        <x:v>800</x:v>
      </x:c>
    </x:row>
    <x:row r="37" ht="34" customHeight="1">
      <x:c r="A37" s="17" t="str">
        <x:v>e032</x:v>
      </x:c>
      <x:c r="B37" s="17" t="str">
        <x:v>prestamo_local</x:v>
      </x:c>
      <x:c r="C37" s="17" t="str">
        <x:v>loan</x:v>
      </x:c>
      <x:c r="D37" s="17" t="str">
        <x:v>domestic</x:v>
      </x:c>
      <x:c r="E37" s="17" t="n">
        <x:v>500</x:v>
      </x:c>
      <x:c r="F37" s="17" t="str">
        <x:v>+</x:v>
      </x:c>
      <x:c r="G37" s="17" t="str">
        <x:v>originate</x:v>
      </x:c>
      <x:c r="H37" s="17" t="str">
        <x:v>execute</x:v>
      </x:c>
      <x:c r="I37" s="19" t="n">
        <x:v>0</x:v>
      </x:c>
      <x:c r="J37" s="19" t="n">
        <x:v>6</x:v>
      </x:c>
      <x:c r="K37" s="17" t="str">
        <x:v>persistent</x:v>
      </x:c>
      <x:c r="L37" s="17" t="str">
        <x:v>true</x:v>
      </x:c>
      <x:c r="M37" s="17" t="str">
        <x:v>ninguna</x:v>
      </x:c>
      <x:c r="N37" s="19" t="n">
        <x:v>0</x:v>
      </x:c>
      <x:c r="O37" s="17" t="str">
        <x:v>reject_active</x:v>
      </x:c>
      <x:c r="P37" s="17" t="str">
        <x:v>Ver contrato de target</x:v>
      </x:c>
      <x:c r="Q37" s="17" t="str">
        <x:v>Contrato: principal 500, interés 20 en t+1..t+6, principal vence t+6.</x:v>
      </x:c>
      <x:c r="R37" s="17" t="str">
        <x:v>n.a.</x:v>
      </x:c>
      <x:c r="S37" s="17" t="str">
        <x:v>500</x:v>
      </x:c>
    </x:row>
    <x:row r="38" ht="34" customHeight="1">
      <x:c r="A38" s="16" t="str">
        <x:v>e033</x:v>
      </x:c>
      <x:c r="B38" s="16" t="str">
        <x:v>prestamo_local</x:v>
      </x:c>
      <x:c r="C38" s="16" t="str">
        <x:v>indicator</x:v>
      </x:c>
      <x:c r="D38" s="16" t="str">
        <x:v>credito</x:v>
      </x:c>
      <x:c r="E38" s="16" t="n">
        <x:v>-3</x:v>
      </x:c>
      <x:c r="F38" s="16" t="str">
        <x:v>-</x:v>
      </x:c>
      <x:c r="G38" s="16" t="str">
        <x:v>offset</x:v>
      </x:c>
      <x:c r="H38" s="16" t="str">
        <x:v>close</x:v>
      </x:c>
      <x:c r="I38" s="18" t="n">
        <x:v>0</x:v>
      </x:c>
      <x:c r="J38" s="18" t="n">
        <x:v>3</x:v>
      </x:c>
      <x:c r="K38" s="16" t="str">
        <x:v>persistent</x:v>
      </x:c>
      <x:c r="L38" s="16" t="str">
        <x:v>true</x:v>
      </x:c>
      <x:c r="M38" s="16" t="str">
        <x:v>ninguna</x:v>
      </x:c>
      <x:c r="N38" s="18" t="n">
        <x:v>0</x:v>
      </x:c>
      <x:c r="O38" s="16" t="str">
        <x:v>reject_active</x:v>
      </x:c>
      <x:c r="P38" s="16" t="str">
        <x:v>0..100; cap de cambio ±12 salvo expiraciones</x:v>
      </x:c>
      <x:c r="Q38" s="16" t="str">
        <x:v>Variación de resultado; no altera directamente satisfacción ni voto.</x:v>
      </x:c>
      <x:c r="R38" s="16" t="str">
        <x:v>n.a.</x:v>
      </x:c>
      <x:c r="S38" s="16" t="str">
        <x:v>-3</x:v>
      </x:c>
    </x:row>
    <x:row r="39" ht="34" customHeight="1">
      <x:c r="A39" s="17" t="str">
        <x:v>e034</x:v>
      </x:c>
      <x:c r="B39" s="17" t="str">
        <x:v>atraccion_inversiones</x:v>
      </x:c>
      <x:c r="C39" s="17" t="str">
        <x:v>ledger</x:v>
      </x:c>
      <x:c r="D39" s="17" t="str">
        <x:v>expense_once</x:v>
      </x:c>
      <x:c r="E39" s="17" t="n">
        <x:v>130</x:v>
      </x:c>
      <x:c r="F39" s="17" t="str">
        <x:v>+</x:v>
      </x:c>
      <x:c r="G39" s="17" t="str">
        <x:v>flow</x:v>
      </x:c>
      <x:c r="H39" s="17" t="str">
        <x:v>execute</x:v>
      </x:c>
      <x:c r="I39" s="19" t="n">
        <x:v>0</x:v>
      </x:c>
      <x:c r="J39" s="19" t="n">
        <x:v>1</x:v>
      </x:c>
      <x:c r="K39" s="17" t="str">
        <x:v>immediate</x:v>
      </x:c>
      <x:c r="L39" s="17" t="str">
        <x:v>true</x:v>
      </x:c>
      <x:c r="M39" s="17" t="str">
        <x:v>ninguna</x:v>
      </x:c>
      <x:c r="N39" s="19" t="n">
        <x:v>0</x:v>
      </x:c>
      <x:c r="O39" s="17" t="str">
        <x:v>sum_distinct_instances</x:v>
      </x:c>
      <x:c r="P39" s="17" t="str">
        <x:v>Ver contrato de target</x:v>
      </x:c>
      <x:c r="Q39" s="17" t="str">
        <x:v>Coste administrativo o programa. No se duplica con la columna fiscal de 04.</x:v>
      </x:c>
      <x:c r="R39" s="17" t="str">
        <x:v>expense</x:v>
      </x:c>
      <x:c r="S39" s="17" t="str">
        <x:v>130</x:v>
      </x:c>
    </x:row>
    <x:row r="40" ht="34" customHeight="1">
      <x:c r="A40" s="16" t="str">
        <x:v>e035</x:v>
      </x:c>
      <x:c r="B40" s="16" t="str">
        <x:v>atraccion_inversiones</x:v>
      </x:c>
      <x:c r="C40" s="16" t="str">
        <x:v>indicator</x:v>
      </x:c>
      <x:c r="D40" s="16" t="str">
        <x:v>actividad</x:v>
      </x:c>
      <x:c r="E40" s="16" t="n">
        <x:v>5</x:v>
      </x:c>
      <x:c r="F40" s="16" t="str">
        <x:v>+</x:v>
      </x:c>
      <x:c r="G40" s="16" t="str">
        <x:v>offset</x:v>
      </x:c>
      <x:c r="H40" s="16" t="str">
        <x:v>close</x:v>
      </x:c>
      <x:c r="I40" s="18" t="n">
        <x:v>2</x:v>
      </x:c>
      <x:c r="J40" s="18" t="n">
        <x:v>4</x:v>
      </x:c>
      <x:c r="K40" s="16" t="str">
        <x:v>conditional</x:v>
      </x:c>
      <x:c r="L40" s="16" t="str">
        <x:v>pre.credito&gt;=40 AND pre.derechos&gt;=45</x:v>
      </x:c>
      <x:c r="M40" s="16" t="str">
        <x:v>ninguna</x:v>
      </x:c>
      <x:c r="N40" s="18" t="n">
        <x:v>0</x:v>
      </x:c>
      <x:c r="O40" s="16" t="str">
        <x:v>reject_active</x:v>
      </x:c>
      <x:c r="P40" s="16" t="str">
        <x:v>0..100; cap de cambio ±12 salvo expiraciones</x:v>
      </x:c>
      <x:c r="Q40" s="16" t="str">
        <x:v>Inversión es efecto, no otro índice.</x:v>
      </x:c>
      <x:c r="R40" s="16" t="str">
        <x:v>n.a.</x:v>
      </x:c>
      <x:c r="S40" s="16" t="str">
        <x:v>5</x:v>
      </x:c>
    </x:row>
    <x:row r="41" ht="34" customHeight="1">
      <x:c r="A41" s="17" t="str">
        <x:v>e036</x:v>
      </x:c>
      <x:c r="B41" s="17" t="str">
        <x:v>atraccion_inversiones</x:v>
      </x:c>
      <x:c r="C41" s="17" t="str">
        <x:v>indicator</x:v>
      </x:c>
      <x:c r="D41" s="17" t="str">
        <x:v>externo</x:v>
      </x:c>
      <x:c r="E41" s="17" t="n">
        <x:v>2</x:v>
      </x:c>
      <x:c r="F41" s="17" t="str">
        <x:v>+</x:v>
      </x:c>
      <x:c r="G41" s="17" t="str">
        <x:v>pulse</x:v>
      </x:c>
      <x:c r="H41" s="17" t="str">
        <x:v>close</x:v>
      </x:c>
      <x:c r="I41" s="19" t="n">
        <x:v>3</x:v>
      </x:c>
      <x:c r="J41" s="19" t="n">
        <x:v>1</x:v>
      </x:c>
      <x:c r="K41" s="17" t="str">
        <x:v>conditional</x:v>
      </x:c>
      <x:c r="L41" s="17" t="str">
        <x:v>pre.credito&gt;=40 AND pre.derechos&gt;=45</x:v>
      </x:c>
      <x:c r="M41" s="17" t="str">
        <x:v>ninguna</x:v>
      </x:c>
      <x:c r="N41" s="19" t="n">
        <x:v>0</x:v>
      </x:c>
      <x:c r="O41" s="17" t="str">
        <x:v>sum_distinct_instances</x:v>
      </x:c>
      <x:c r="P41" s="17" t="str">
        <x:v>0..100; cap de cambio ±12 salvo expiraciones</x:v>
      </x:c>
      <x:c r="Q41" s="17" t="str">
        <x:v>Variación de resultado; no altera directamente satisfacción ni voto.</x:v>
      </x:c>
      <x:c r="R41" s="17" t="str">
        <x:v>n.a.</x:v>
      </x:c>
      <x:c r="S41" s="17" t="str">
        <x:v>2</x:v>
      </x:c>
    </x:row>
    <x:row r="42" ht="34" customHeight="1">
      <x:c r="A42" s="16" t="str">
        <x:v>e037</x:v>
      </x:c>
      <x:c r="B42" s="16" t="str">
        <x:v>plan_viviendas</x:v>
      </x:c>
      <x:c r="C42" s="16" t="str">
        <x:v>ledger</x:v>
      </x:c>
      <x:c r="D42" s="16" t="str">
        <x:v>expense_once</x:v>
      </x:c>
      <x:c r="E42" s="16" t="n">
        <x:v>320</x:v>
      </x:c>
      <x:c r="F42" s="16" t="str">
        <x:v>+</x:v>
      </x:c>
      <x:c r="G42" s="16" t="str">
        <x:v>flow</x:v>
      </x:c>
      <x:c r="H42" s="16" t="str">
        <x:v>execute</x:v>
      </x:c>
      <x:c r="I42" s="18" t="n">
        <x:v>0</x:v>
      </x:c>
      <x:c r="J42" s="18" t="n">
        <x:v>1</x:v>
      </x:c>
      <x:c r="K42" s="16" t="str">
        <x:v>immediate</x:v>
      </x:c>
      <x:c r="L42" s="16" t="str">
        <x:v>true</x:v>
      </x:c>
      <x:c r="M42" s="16" t="str">
        <x:v>ninguna</x:v>
      </x:c>
      <x:c r="N42" s="18" t="n">
        <x:v>0</x:v>
      </x:c>
      <x:c r="O42" s="16" t="str">
        <x:v>sum_distinct_instances</x:v>
      </x:c>
      <x:c r="P42" s="16" t="str">
        <x:v>Ver contrato de target</x:v>
      </x:c>
      <x:c r="Q42" s="16" t="str">
        <x:v>Coste administrativo o programa. No se duplica con la columna fiscal de 04.</x:v>
      </x:c>
      <x:c r="R42" s="16" t="str">
        <x:v>expense</x:v>
      </x:c>
      <x:c r="S42" s="16" t="str">
        <x:v>320</x:v>
      </x:c>
    </x:row>
    <x:row r="43" ht="34" customHeight="1">
      <x:c r="A43" s="17" t="str">
        <x:v>e038</x:v>
      </x:c>
      <x:c r="B43" s="17" t="str">
        <x:v>plan_viviendas</x:v>
      </x:c>
      <x:c r="C43" s="17" t="str">
        <x:v>indicator</x:v>
      </x:c>
      <x:c r="D43" s="17" t="str">
        <x:v>proteccion</x:v>
      </x:c>
      <x:c r="E43" s="17" t="n">
        <x:v>7</x:v>
      </x:c>
      <x:c r="F43" s="17" t="str">
        <x:v>+</x:v>
      </x:c>
      <x:c r="G43" s="17" t="str">
        <x:v>pulse</x:v>
      </x:c>
      <x:c r="H43" s="17" t="str">
        <x:v>close</x:v>
      </x:c>
      <x:c r="I43" s="19" t="n">
        <x:v>3</x:v>
      </x:c>
      <x:c r="J43" s="19" t="n">
        <x:v>1</x:v>
      </x:c>
      <x:c r="K43" s="17" t="str">
        <x:v>delayed</x:v>
      </x:c>
      <x:c r="L43" s="17" t="str">
        <x:v>true</x:v>
      </x:c>
      <x:c r="M43" s="17" t="str">
        <x:v>ninguna</x:v>
      </x:c>
      <x:c r="N43" s="19" t="n">
        <x:v>0</x:v>
      </x:c>
      <x:c r="O43" s="17" t="str">
        <x:v>sum_distinct_instances</x:v>
      </x:c>
      <x:c r="P43" s="17" t="str">
        <x:v>0..100; cap de cambio ±12 salvo expiraciones</x:v>
      </x:c>
      <x:c r="Q43" s="17" t="str">
        <x:v>Variación de resultado; no altera directamente satisfacción ni voto.</x:v>
      </x:c>
      <x:c r="R43" s="17" t="str">
        <x:v>n.a.</x:v>
      </x:c>
      <x:c r="S43" s="17" t="str">
        <x:v>7</x:v>
      </x:c>
    </x:row>
    <x:row r="44" ht="34" customHeight="1">
      <x:c r="A44" s="16" t="str">
        <x:v>e039</x:v>
      </x:c>
      <x:c r="B44" s="16" t="str">
        <x:v>plan_viviendas</x:v>
      </x:c>
      <x:c r="C44" s="16" t="str">
        <x:v>indicator</x:v>
      </x:c>
      <x:c r="D44" s="16" t="str">
        <x:v>actividad</x:v>
      </x:c>
      <x:c r="E44" s="16" t="n">
        <x:v>3</x:v>
      </x:c>
      <x:c r="F44" s="16" t="str">
        <x:v>+</x:v>
      </x:c>
      <x:c r="G44" s="16" t="str">
        <x:v>offset</x:v>
      </x:c>
      <x:c r="H44" s="16" t="str">
        <x:v>close</x:v>
      </x:c>
      <x:c r="I44" s="18" t="n">
        <x:v>0</x:v>
      </x:c>
      <x:c r="J44" s="18" t="n">
        <x:v>3</x:v>
      </x:c>
      <x:c r="K44" s="16" t="str">
        <x:v>persistent</x:v>
      </x:c>
      <x:c r="L44" s="16" t="str">
        <x:v>true</x:v>
      </x:c>
      <x:c r="M44" s="16" t="str">
        <x:v>ninguna</x:v>
      </x:c>
      <x:c r="N44" s="18" t="n">
        <x:v>0</x:v>
      </x:c>
      <x:c r="O44" s="16" t="str">
        <x:v>reject_active</x:v>
      </x:c>
      <x:c r="P44" s="16" t="str">
        <x:v>0..100; cap de cambio ±12 salvo expiraciones</x:v>
      </x:c>
      <x:c r="Q44" s="16" t="str">
        <x:v>Variación de resultado; no altera directamente satisfacción ni voto.</x:v>
      </x:c>
      <x:c r="R44" s="16" t="str">
        <x:v>n.a.</x:v>
      </x:c>
      <x:c r="S44" s="16" t="str">
        <x:v>3</x:v>
      </x:c>
    </x:row>
    <x:row r="45" ht="34" customHeight="1">
      <x:c r="A45" s="17" t="str">
        <x:v>e040</x:v>
      </x:c>
      <x:c r="B45" s="17" t="str">
        <x:v>plan_viviendas</x:v>
      </x:c>
      <x:c r="C45" s="17" t="str">
        <x:v>ledger</x:v>
      </x:c>
      <x:c r="D45" s="17" t="str">
        <x:v>expense_recurring</x:v>
      </x:c>
      <x:c r="E45" s="17" t="n">
        <x:v>30</x:v>
      </x:c>
      <x:c r="F45" s="17" t="str">
        <x:v>+</x:v>
      </x:c>
      <x:c r="G45" s="17" t="str">
        <x:v>flow</x:v>
      </x:c>
      <x:c r="H45" s="17" t="str">
        <x:v>close</x:v>
      </x:c>
      <x:c r="I45" s="19" t="n">
        <x:v>3</x:v>
      </x:c>
      <x:c r="J45" s="19" t="n">
        <x:v>0</x:v>
      </x:c>
      <x:c r="K45" s="17" t="str">
        <x:v>delayed</x:v>
      </x:c>
      <x:c r="L45" s="17" t="str">
        <x:v>true</x:v>
      </x:c>
      <x:c r="M45" s="17" t="str">
        <x:v>ninguna</x:v>
      </x:c>
      <x:c r="N45" s="19" t="n">
        <x:v>0</x:v>
      </x:c>
      <x:c r="O45" s="17" t="str">
        <x:v>sum_distinct_instances</x:v>
      </x:c>
      <x:c r="P45" s="17" t="str">
        <x:v>Ver contrato de target</x:v>
      </x:c>
      <x:c r="Q45" s="17" t="str">
        <x:v>Flujo explícito; afecta caja y cálculo fiscal durante su vigencia.</x:v>
      </x:c>
      <x:c r="R45" s="17" t="str">
        <x:v>expense</x:v>
      </x:c>
      <x:c r="S45" s="17" t="str">
        <x:v>30</x:v>
      </x:c>
    </x:row>
    <x:row r="46" ht="34" customHeight="1">
      <x:c r="A46" s="16" t="str">
        <x:v>e041</x:v>
      </x:c>
      <x:c r="B46" s="16" t="str">
        <x:v>programa_educativo</x:v>
      </x:c>
      <x:c r="C46" s="16" t="str">
        <x:v>ledger</x:v>
      </x:c>
      <x:c r="D46" s="16" t="str">
        <x:v>expense_once</x:v>
      </x:c>
      <x:c r="E46" s="16" t="n">
        <x:v>200</x:v>
      </x:c>
      <x:c r="F46" s="16" t="str">
        <x:v>+</x:v>
      </x:c>
      <x:c r="G46" s="16" t="str">
        <x:v>flow</x:v>
      </x:c>
      <x:c r="H46" s="16" t="str">
        <x:v>execute</x:v>
      </x:c>
      <x:c r="I46" s="18" t="n">
        <x:v>0</x:v>
      </x:c>
      <x:c r="J46" s="18" t="n">
        <x:v>1</x:v>
      </x:c>
      <x:c r="K46" s="16" t="str">
        <x:v>immediate</x:v>
      </x:c>
      <x:c r="L46" s="16" t="str">
        <x:v>true</x:v>
      </x:c>
      <x:c r="M46" s="16" t="str">
        <x:v>ninguna</x:v>
      </x:c>
      <x:c r="N46" s="18" t="n">
        <x:v>0</x:v>
      </x:c>
      <x:c r="O46" s="16" t="str">
        <x:v>sum_distinct_instances</x:v>
      </x:c>
      <x:c r="P46" s="16" t="str">
        <x:v>Ver contrato de target</x:v>
      </x:c>
      <x:c r="Q46" s="16" t="str">
        <x:v>Coste administrativo o programa. No se duplica con la columna fiscal de 04.</x:v>
      </x:c>
      <x:c r="R46" s="16" t="str">
        <x:v>expense</x:v>
      </x:c>
      <x:c r="S46" s="16" t="str">
        <x:v>200</x:v>
      </x:c>
    </x:row>
    <x:row r="47" ht="34" customHeight="1">
      <x:c r="A47" s="17" t="str">
        <x:v>e042</x:v>
      </x:c>
      <x:c r="B47" s="17" t="str">
        <x:v>programa_educativo</x:v>
      </x:c>
      <x:c r="C47" s="17" t="str">
        <x:v>indicator</x:v>
      </x:c>
      <x:c r="D47" s="17" t="str">
        <x:v>educacion</x:v>
      </x:c>
      <x:c r="E47" s="17" t="n">
        <x:v>6</x:v>
      </x:c>
      <x:c r="F47" s="17" t="str">
        <x:v>+</x:v>
      </x:c>
      <x:c r="G47" s="17" t="str">
        <x:v>pulse</x:v>
      </x:c>
      <x:c r="H47" s="17" t="str">
        <x:v>close</x:v>
      </x:c>
      <x:c r="I47" s="19" t="n">
        <x:v>2</x:v>
      </x:c>
      <x:c r="J47" s="19" t="n">
        <x:v>1</x:v>
      </x:c>
      <x:c r="K47" s="17" t="str">
        <x:v>delayed</x:v>
      </x:c>
      <x:c r="L47" s="17" t="str">
        <x:v>true</x:v>
      </x:c>
      <x:c r="M47" s="17" t="str">
        <x:v>ninguna</x:v>
      </x:c>
      <x:c r="N47" s="19" t="n">
        <x:v>0</x:v>
      </x:c>
      <x:c r="O47" s="17" t="str">
        <x:v>sum_distinct_instances</x:v>
      </x:c>
      <x:c r="P47" s="17" t="str">
        <x:v>0..100; cap de cambio ±12 salvo expiraciones</x:v>
      </x:c>
      <x:c r="Q47" s="17" t="str">
        <x:v>Variación de resultado; no altera directamente satisfacción ni voto.</x:v>
      </x:c>
      <x:c r="R47" s="17" t="str">
        <x:v>n.a.</x:v>
      </x:c>
      <x:c r="S47" s="17" t="str">
        <x:v>6</x:v>
      </x:c>
    </x:row>
    <x:row r="48" ht="34" customHeight="1">
      <x:c r="A48" s="16" t="str">
        <x:v>e043</x:v>
      </x:c>
      <x:c r="B48" s="16" t="str">
        <x:v>programa_educativo</x:v>
      </x:c>
      <x:c r="C48" s="16" t="str">
        <x:v>ledger</x:v>
      </x:c>
      <x:c r="D48" s="16" t="str">
        <x:v>expense_recurring</x:v>
      </x:c>
      <x:c r="E48" s="16" t="n">
        <x:v>25</x:v>
      </x:c>
      <x:c r="F48" s="16" t="str">
        <x:v>+</x:v>
      </x:c>
      <x:c r="G48" s="16" t="str">
        <x:v>flow</x:v>
      </x:c>
      <x:c r="H48" s="16" t="str">
        <x:v>close</x:v>
      </x:c>
      <x:c r="I48" s="18" t="n">
        <x:v>1</x:v>
      </x:c>
      <x:c r="J48" s="18" t="n">
        <x:v>0</x:v>
      </x:c>
      <x:c r="K48" s="16" t="str">
        <x:v>delayed</x:v>
      </x:c>
      <x:c r="L48" s="16" t="str">
        <x:v>true</x:v>
      </x:c>
      <x:c r="M48" s="16" t="str">
        <x:v>ninguna</x:v>
      </x:c>
      <x:c r="N48" s="18" t="n">
        <x:v>0</x:v>
      </x:c>
      <x:c r="O48" s="16" t="str">
        <x:v>sum_distinct_instances</x:v>
      </x:c>
      <x:c r="P48" s="16" t="str">
        <x:v>Ver contrato de target</x:v>
      </x:c>
      <x:c r="Q48" s="16" t="str">
        <x:v>Flujo explícito; afecta caja y cálculo fiscal durante su vigencia.</x:v>
      </x:c>
      <x:c r="R48" s="16" t="str">
        <x:v>expense</x:v>
      </x:c>
      <x:c r="S48" s="16" t="str">
        <x:v>25</x:v>
      </x:c>
    </x:row>
    <x:row r="49" ht="34" customHeight="1">
      <x:c r="A49" s="17" t="str">
        <x:v>e044</x:v>
      </x:c>
      <x:c r="B49" s="17" t="str">
        <x:v>salud_preventiva</x:v>
      </x:c>
      <x:c r="C49" s="17" t="str">
        <x:v>ledger</x:v>
      </x:c>
      <x:c r="D49" s="17" t="str">
        <x:v>expense_once</x:v>
      </x:c>
      <x:c r="E49" s="17" t="n">
        <x:v>180</x:v>
      </x:c>
      <x:c r="F49" s="17" t="str">
        <x:v>+</x:v>
      </x:c>
      <x:c r="G49" s="17" t="str">
        <x:v>flow</x:v>
      </x:c>
      <x:c r="H49" s="17" t="str">
        <x:v>execute</x:v>
      </x:c>
      <x:c r="I49" s="19" t="n">
        <x:v>0</x:v>
      </x:c>
      <x:c r="J49" s="19" t="n">
        <x:v>1</x:v>
      </x:c>
      <x:c r="K49" s="17" t="str">
        <x:v>immediate</x:v>
      </x:c>
      <x:c r="L49" s="17" t="str">
        <x:v>true</x:v>
      </x:c>
      <x:c r="M49" s="17" t="str">
        <x:v>ninguna</x:v>
      </x:c>
      <x:c r="N49" s="19" t="n">
        <x:v>0</x:v>
      </x:c>
      <x:c r="O49" s="17" t="str">
        <x:v>sum_distinct_instances</x:v>
      </x:c>
      <x:c r="P49" s="17" t="str">
        <x:v>Ver contrato de target</x:v>
      </x:c>
      <x:c r="Q49" s="17" t="str">
        <x:v>Coste administrativo o programa. No se duplica con la columna fiscal de 04.</x:v>
      </x:c>
      <x:c r="R49" s="17" t="str">
        <x:v>expense</x:v>
      </x:c>
      <x:c r="S49" s="17" t="str">
        <x:v>180</x:v>
      </x:c>
    </x:row>
    <x:row r="50" ht="34" customHeight="1">
      <x:c r="A50" s="16" t="str">
        <x:v>e045</x:v>
      </x:c>
      <x:c r="B50" s="16" t="str">
        <x:v>salud_preventiva</x:v>
      </x:c>
      <x:c r="C50" s="16" t="str">
        <x:v>indicator</x:v>
      </x:c>
      <x:c r="D50" s="16" t="str">
        <x:v>salud</x:v>
      </x:c>
      <x:c r="E50" s="16" t="n">
        <x:v>4</x:v>
      </x:c>
      <x:c r="F50" s="16" t="str">
        <x:v>+</x:v>
      </x:c>
      <x:c r="G50" s="16" t="str">
        <x:v>pulse</x:v>
      </x:c>
      <x:c r="H50" s="16" t="str">
        <x:v>close</x:v>
      </x:c>
      <x:c r="I50" s="18" t="n">
        <x:v>1</x:v>
      </x:c>
      <x:c r="J50" s="18" t="n">
        <x:v>1</x:v>
      </x:c>
      <x:c r="K50" s="16" t="str">
        <x:v>delayed</x:v>
      </x:c>
      <x:c r="L50" s="16" t="str">
        <x:v>true</x:v>
      </x:c>
      <x:c r="M50" s="16" t="str">
        <x:v>ninguna</x:v>
      </x:c>
      <x:c r="N50" s="18" t="n">
        <x:v>0</x:v>
      </x:c>
      <x:c r="O50" s="16" t="str">
        <x:v>sum_distinct_instances</x:v>
      </x:c>
      <x:c r="P50" s="16" t="str">
        <x:v>0..100; cap de cambio ±12 salvo expiraciones</x:v>
      </x:c>
      <x:c r="Q50" s="16" t="str">
        <x:v>Variación de resultado; no altera directamente satisfacción ni voto.</x:v>
      </x:c>
      <x:c r="R50" s="16" t="str">
        <x:v>n.a.</x:v>
      </x:c>
      <x:c r="S50" s="16" t="str">
        <x:v>4</x:v>
      </x:c>
    </x:row>
    <x:row r="51" ht="34" customHeight="1">
      <x:c r="A51" s="17" t="str">
        <x:v>e046</x:v>
      </x:c>
      <x:c r="B51" s="17" t="str">
        <x:v>salud_preventiva</x:v>
      </x:c>
      <x:c r="C51" s="17" t="str">
        <x:v>ledger</x:v>
      </x:c>
      <x:c r="D51" s="17" t="str">
        <x:v>expense_recurring</x:v>
      </x:c>
      <x:c r="E51" s="17" t="n">
        <x:v>20</x:v>
      </x:c>
      <x:c r="F51" s="17" t="str">
        <x:v>+</x:v>
      </x:c>
      <x:c r="G51" s="17" t="str">
        <x:v>flow</x:v>
      </x:c>
      <x:c r="H51" s="17" t="str">
        <x:v>close</x:v>
      </x:c>
      <x:c r="I51" s="19" t="n">
        <x:v>1</x:v>
      </x:c>
      <x:c r="J51" s="19" t="n">
        <x:v>0</x:v>
      </x:c>
      <x:c r="K51" s="17" t="str">
        <x:v>delayed</x:v>
      </x:c>
      <x:c r="L51" s="17" t="str">
        <x:v>true</x:v>
      </x:c>
      <x:c r="M51" s="17" t="str">
        <x:v>ninguna</x:v>
      </x:c>
      <x:c r="N51" s="19" t="n">
        <x:v>0</x:v>
      </x:c>
      <x:c r="O51" s="17" t="str">
        <x:v>sum_distinct_instances</x:v>
      </x:c>
      <x:c r="P51" s="17" t="str">
        <x:v>Ver contrato de target</x:v>
      </x:c>
      <x:c r="Q51" s="17" t="str">
        <x:v>Flujo explícito; afecta caja y cálculo fiscal durante su vigencia.</x:v>
      </x:c>
      <x:c r="R51" s="17" t="str">
        <x:v>expense</x:v>
      </x:c>
      <x:c r="S51" s="17" t="str">
        <x:v>20</x:v>
      </x:c>
    </x:row>
    <x:row r="52" ht="34" customHeight="1">
      <x:c r="A52" s="16" t="str">
        <x:v>e047</x:v>
      </x:c>
      <x:c r="B52" s="16" t="str">
        <x:v>empleo_joven</x:v>
      </x:c>
      <x:c r="C52" s="16" t="str">
        <x:v>ledger</x:v>
      </x:c>
      <x:c r="D52" s="16" t="str">
        <x:v>expense_once</x:v>
      </x:c>
      <x:c r="E52" s="16" t="n">
        <x:v>120</x:v>
      </x:c>
      <x:c r="F52" s="16" t="str">
        <x:v>+</x:v>
      </x:c>
      <x:c r="G52" s="16" t="str">
        <x:v>flow</x:v>
      </x:c>
      <x:c r="H52" s="16" t="str">
        <x:v>execute</x:v>
      </x:c>
      <x:c r="I52" s="18" t="n">
        <x:v>0</x:v>
      </x:c>
      <x:c r="J52" s="18" t="n">
        <x:v>1</x:v>
      </x:c>
      <x:c r="K52" s="16" t="str">
        <x:v>immediate</x:v>
      </x:c>
      <x:c r="L52" s="16" t="str">
        <x:v>true</x:v>
      </x:c>
      <x:c r="M52" s="16" t="str">
        <x:v>ninguna</x:v>
      </x:c>
      <x:c r="N52" s="18" t="n">
        <x:v>0</x:v>
      </x:c>
      <x:c r="O52" s="16" t="str">
        <x:v>sum_distinct_instances</x:v>
      </x:c>
      <x:c r="P52" s="16" t="str">
        <x:v>Ver contrato de target</x:v>
      </x:c>
      <x:c r="Q52" s="16" t="str">
        <x:v>Coste administrativo o programa. No se duplica con la columna fiscal de 04.</x:v>
      </x:c>
      <x:c r="R52" s="16" t="str">
        <x:v>expense</x:v>
      </x:c>
      <x:c r="S52" s="16" t="str">
        <x:v>120</x:v>
      </x:c>
    </x:row>
    <x:row r="53" ht="34" customHeight="1">
      <x:c r="A53" s="17" t="str">
        <x:v>e048</x:v>
      </x:c>
      <x:c r="B53" s="17" t="str">
        <x:v>empleo_joven</x:v>
      </x:c>
      <x:c r="C53" s="17" t="str">
        <x:v>indicator</x:v>
      </x:c>
      <x:c r="D53" s="17" t="str">
        <x:v>actividad</x:v>
      </x:c>
      <x:c r="E53" s="17" t="n">
        <x:v>3</x:v>
      </x:c>
      <x:c r="F53" s="17" t="str">
        <x:v>+</x:v>
      </x:c>
      <x:c r="G53" s="17" t="str">
        <x:v>offset</x:v>
      </x:c>
      <x:c r="H53" s="17" t="str">
        <x:v>close</x:v>
      </x:c>
      <x:c r="I53" s="19" t="n">
        <x:v>1</x:v>
      </x:c>
      <x:c r="J53" s="19" t="n">
        <x:v>4</x:v>
      </x:c>
      <x:c r="K53" s="17" t="str">
        <x:v>delayed+persistent</x:v>
      </x:c>
      <x:c r="L53" s="17" t="str">
        <x:v>true</x:v>
      </x:c>
      <x:c r="M53" s="17" t="str">
        <x:v>ninguna</x:v>
      </x:c>
      <x:c r="N53" s="19" t="n">
        <x:v>0</x:v>
      </x:c>
      <x:c r="O53" s="17" t="str">
        <x:v>reject_active</x:v>
      </x:c>
      <x:c r="P53" s="17" t="str">
        <x:v>0..100; cap de cambio ±12 salvo expiraciones</x:v>
      </x:c>
      <x:c r="Q53" s="17" t="str">
        <x:v>Variación de resultado; no altera directamente satisfacción ni voto.</x:v>
      </x:c>
      <x:c r="R53" s="17" t="str">
        <x:v>n.a.</x:v>
      </x:c>
      <x:c r="S53" s="17" t="str">
        <x:v>3</x:v>
      </x:c>
    </x:row>
    <x:row r="54" ht="34" customHeight="1">
      <x:c r="A54" s="16" t="str">
        <x:v>e049</x:v>
      </x:c>
      <x:c r="B54" s="16" t="str">
        <x:v>empleo_joven</x:v>
      </x:c>
      <x:c r="C54" s="16" t="str">
        <x:v>indicator</x:v>
      </x:c>
      <x:c r="D54" s="16" t="str">
        <x:v>educacion</x:v>
      </x:c>
      <x:c r="E54" s="16" t="n">
        <x:v>2</x:v>
      </x:c>
      <x:c r="F54" s="16" t="str">
        <x:v>+</x:v>
      </x:c>
      <x:c r="G54" s="16" t="str">
        <x:v>pulse</x:v>
      </x:c>
      <x:c r="H54" s="16" t="str">
        <x:v>close</x:v>
      </x:c>
      <x:c r="I54" s="18" t="n">
        <x:v>1</x:v>
      </x:c>
      <x:c r="J54" s="18" t="n">
        <x:v>1</x:v>
      </x:c>
      <x:c r="K54" s="16" t="str">
        <x:v>delayed</x:v>
      </x:c>
      <x:c r="L54" s="16" t="str">
        <x:v>true</x:v>
      </x:c>
      <x:c r="M54" s="16" t="str">
        <x:v>ninguna</x:v>
      </x:c>
      <x:c r="N54" s="18" t="n">
        <x:v>0</x:v>
      </x:c>
      <x:c r="O54" s="16" t="str">
        <x:v>sum_distinct_instances</x:v>
      </x:c>
      <x:c r="P54" s="16" t="str">
        <x:v>0..100; cap de cambio ±12 salvo expiraciones</x:v>
      </x:c>
      <x:c r="Q54" s="16" t="str">
        <x:v>Variación de resultado; no altera directamente satisfacción ni voto.</x:v>
      </x:c>
      <x:c r="R54" s="16" t="str">
        <x:v>n.a.</x:v>
      </x:c>
      <x:c r="S54" s="16" t="str">
        <x:v>2</x:v>
      </x:c>
    </x:row>
    <x:row r="55" ht="34" customHeight="1">
      <x:c r="A55" s="17" t="str">
        <x:v>e050</x:v>
      </x:c>
      <x:c r="B55" s="17" t="str">
        <x:v>empleo_joven</x:v>
      </x:c>
      <x:c r="C55" s="17" t="str">
        <x:v>ledger</x:v>
      </x:c>
      <x:c r="D55" s="17" t="str">
        <x:v>expense_recurring</x:v>
      </x:c>
      <x:c r="E55" s="17" t="n">
        <x:v>25</x:v>
      </x:c>
      <x:c r="F55" s="17" t="str">
        <x:v>+</x:v>
      </x:c>
      <x:c r="G55" s="17" t="str">
        <x:v>flow</x:v>
      </x:c>
      <x:c r="H55" s="17" t="str">
        <x:v>close</x:v>
      </x:c>
      <x:c r="I55" s="19" t="n">
        <x:v>1</x:v>
      </x:c>
      <x:c r="J55" s="19" t="n">
        <x:v>4</x:v>
      </x:c>
      <x:c r="K55" s="17" t="str">
        <x:v>delayed+persistent</x:v>
      </x:c>
      <x:c r="L55" s="17" t="str">
        <x:v>true</x:v>
      </x:c>
      <x:c r="M55" s="17" t="str">
        <x:v>ninguna</x:v>
      </x:c>
      <x:c r="N55" s="19" t="n">
        <x:v>0</x:v>
      </x:c>
      <x:c r="O55" s="17" t="str">
        <x:v>sum_distinct_instances</x:v>
      </x:c>
      <x:c r="P55" s="17" t="str">
        <x:v>Ver contrato de target</x:v>
      </x:c>
      <x:c r="Q55" s="17" t="str">
        <x:v>Flujo explícito; afecta caja y cálculo fiscal durante su vigencia.</x:v>
      </x:c>
      <x:c r="R55" s="17" t="str">
        <x:v>expense</x:v>
      </x:c>
      <x:c r="S55" s="17" t="str">
        <x:v>25</x:v>
      </x:c>
    </x:row>
    <x:row r="56" ht="34" customHeight="1">
      <x:c r="A56" s="16" t="str">
        <x:v>e051</x:v>
      </x:c>
      <x:c r="B56" s="16" t="str">
        <x:v>cobertura_social</x:v>
      </x:c>
      <x:c r="C56" s="16" t="str">
        <x:v>ledger</x:v>
      </x:c>
      <x:c r="D56" s="16" t="str">
        <x:v>expense_once</x:v>
      </x:c>
      <x:c r="E56" s="16" t="n">
        <x:v>100</x:v>
      </x:c>
      <x:c r="F56" s="16" t="str">
        <x:v>+</x:v>
      </x:c>
      <x:c r="G56" s="16" t="str">
        <x:v>flow</x:v>
      </x:c>
      <x:c r="H56" s="16" t="str">
        <x:v>execute</x:v>
      </x:c>
      <x:c r="I56" s="18" t="n">
        <x:v>0</x:v>
      </x:c>
      <x:c r="J56" s="18" t="n">
        <x:v>1</x:v>
      </x:c>
      <x:c r="K56" s="16" t="str">
        <x:v>immediate</x:v>
      </x:c>
      <x:c r="L56" s="16" t="str">
        <x:v>true</x:v>
      </x:c>
      <x:c r="M56" s="16" t="str">
        <x:v>ninguna</x:v>
      </x:c>
      <x:c r="N56" s="18" t="n">
        <x:v>0</x:v>
      </x:c>
      <x:c r="O56" s="16" t="str">
        <x:v>sum_distinct_instances</x:v>
      </x:c>
      <x:c r="P56" s="16" t="str">
        <x:v>Ver contrato de target</x:v>
      </x:c>
      <x:c r="Q56" s="16" t="str">
        <x:v>Coste administrativo o programa. No se duplica con la columna fiscal de 04.</x:v>
      </x:c>
      <x:c r="R56" s="16" t="str">
        <x:v>expense</x:v>
      </x:c>
      <x:c r="S56" s="16" t="str">
        <x:v>100</x:v>
      </x:c>
    </x:row>
    <x:row r="57" ht="34" customHeight="1">
      <x:c r="A57" s="17" t="str">
        <x:v>e052</x:v>
      </x:c>
      <x:c r="B57" s="17" t="str">
        <x:v>cobertura_social</x:v>
      </x:c>
      <x:c r="C57" s="17" t="str">
        <x:v>indicator</x:v>
      </x:c>
      <x:c r="D57" s="17" t="str">
        <x:v>proteccion</x:v>
      </x:c>
      <x:c r="E57" s="17" t="n">
        <x:v>6</x:v>
      </x:c>
      <x:c r="F57" s="17" t="str">
        <x:v>+</x:v>
      </x:c>
      <x:c r="G57" s="17" t="str">
        <x:v>pulse</x:v>
      </x:c>
      <x:c r="H57" s="17" t="str">
        <x:v>close</x:v>
      </x:c>
      <x:c r="I57" s="19" t="n">
        <x:v>1</x:v>
      </x:c>
      <x:c r="J57" s="19" t="n">
        <x:v>1</x:v>
      </x:c>
      <x:c r="K57" s="17" t="str">
        <x:v>delayed</x:v>
      </x:c>
      <x:c r="L57" s="17" t="str">
        <x:v>true</x:v>
      </x:c>
      <x:c r="M57" s="17" t="str">
        <x:v>ninguna</x:v>
      </x:c>
      <x:c r="N57" s="19" t="n">
        <x:v>0</x:v>
      </x:c>
      <x:c r="O57" s="17" t="str">
        <x:v>sum_distinct_instances</x:v>
      </x:c>
      <x:c r="P57" s="17" t="str">
        <x:v>0..100; cap de cambio ±12 salvo expiraciones</x:v>
      </x:c>
      <x:c r="Q57" s="17" t="str">
        <x:v>Variación de resultado; no altera directamente satisfacción ni voto.</x:v>
      </x:c>
      <x:c r="R57" s="17" t="str">
        <x:v>n.a.</x:v>
      </x:c>
      <x:c r="S57" s="17" t="str">
        <x:v>6</x:v>
      </x:c>
    </x:row>
    <x:row r="58" ht="34" customHeight="1">
      <x:c r="A58" s="16" t="str">
        <x:v>e053</x:v>
      </x:c>
      <x:c r="B58" s="16" t="str">
        <x:v>cobertura_social</x:v>
      </x:c>
      <x:c r="C58" s="16" t="str">
        <x:v>ledger</x:v>
      </x:c>
      <x:c r="D58" s="16" t="str">
        <x:v>expense_recurring</x:v>
      </x:c>
      <x:c r="E58" s="16" t="n">
        <x:v>65</x:v>
      </x:c>
      <x:c r="F58" s="16" t="str">
        <x:v>+</x:v>
      </x:c>
      <x:c r="G58" s="16" t="str">
        <x:v>flow</x:v>
      </x:c>
      <x:c r="H58" s="16" t="str">
        <x:v>close</x:v>
      </x:c>
      <x:c r="I58" s="18" t="n">
        <x:v>1</x:v>
      </x:c>
      <x:c r="J58" s="18" t="n">
        <x:v>0</x:v>
      </x:c>
      <x:c r="K58" s="16" t="str">
        <x:v>delayed</x:v>
      </x:c>
      <x:c r="L58" s="16" t="str">
        <x:v>true</x:v>
      </x:c>
      <x:c r="M58" s="16" t="str">
        <x:v>ninguna</x:v>
      </x:c>
      <x:c r="N58" s="18" t="n">
        <x:v>0</x:v>
      </x:c>
      <x:c r="O58" s="16" t="str">
        <x:v>sum_distinct_instances</x:v>
      </x:c>
      <x:c r="P58" s="16" t="str">
        <x:v>Ver contrato de target</x:v>
      </x:c>
      <x:c r="Q58" s="16" t="str">
        <x:v>Flujo explícito; afecta caja y cálculo fiscal durante su vigencia.</x:v>
      </x:c>
      <x:c r="R58" s="16" t="str">
        <x:v>expense</x:v>
      </x:c>
      <x:c r="S58" s="16" t="str">
        <x:v>65</x:v>
      </x:c>
    </x:row>
    <x:row r="59" ht="34" customHeight="1">
      <x:c r="A59" s="17" t="str">
        <x:v>e054</x:v>
      </x:c>
      <x:c r="B59" s="17" t="str">
        <x:v>alfabetizacion</x:v>
      </x:c>
      <x:c r="C59" s="17" t="str">
        <x:v>ledger</x:v>
      </x:c>
      <x:c r="D59" s="17" t="str">
        <x:v>expense_once</x:v>
      </x:c>
      <x:c r="E59" s="17" t="n">
        <x:v>110</x:v>
      </x:c>
      <x:c r="F59" s="17" t="str">
        <x:v>+</x:v>
      </x:c>
      <x:c r="G59" s="17" t="str">
        <x:v>flow</x:v>
      </x:c>
      <x:c r="H59" s="17" t="str">
        <x:v>execute</x:v>
      </x:c>
      <x:c r="I59" s="19" t="n">
        <x:v>0</x:v>
      </x:c>
      <x:c r="J59" s="19" t="n">
        <x:v>1</x:v>
      </x:c>
      <x:c r="K59" s="17" t="str">
        <x:v>immediate</x:v>
      </x:c>
      <x:c r="L59" s="17" t="str">
        <x:v>true</x:v>
      </x:c>
      <x:c r="M59" s="17" t="str">
        <x:v>ninguna</x:v>
      </x:c>
      <x:c r="N59" s="19" t="n">
        <x:v>0</x:v>
      </x:c>
      <x:c r="O59" s="17" t="str">
        <x:v>sum_distinct_instances</x:v>
      </x:c>
      <x:c r="P59" s="17" t="str">
        <x:v>Ver contrato de target</x:v>
      </x:c>
      <x:c r="Q59" s="17" t="str">
        <x:v>Coste administrativo o programa. No se duplica con la columna fiscal de 04.</x:v>
      </x:c>
      <x:c r="R59" s="17" t="str">
        <x:v>expense</x:v>
      </x:c>
      <x:c r="S59" s="17" t="str">
        <x:v>110</x:v>
      </x:c>
    </x:row>
    <x:row r="60" ht="34" customHeight="1">
      <x:c r="A60" s="16" t="str">
        <x:v>e055</x:v>
      </x:c>
      <x:c r="B60" s="16" t="str">
        <x:v>alfabetizacion</x:v>
      </x:c>
      <x:c r="C60" s="16" t="str">
        <x:v>indicator</x:v>
      </x:c>
      <x:c r="D60" s="16" t="str">
        <x:v>educacion</x:v>
      </x:c>
      <x:c r="E60" s="16" t="n">
        <x:v>3</x:v>
      </x:c>
      <x:c r="F60" s="16" t="str">
        <x:v>+</x:v>
      </x:c>
      <x:c r="G60" s="16" t="str">
        <x:v>pulse</x:v>
      </x:c>
      <x:c r="H60" s="16" t="str">
        <x:v>close</x:v>
      </x:c>
      <x:c r="I60" s="18" t="n">
        <x:v>1</x:v>
      </x:c>
      <x:c r="J60" s="18" t="n">
        <x:v>1</x:v>
      </x:c>
      <x:c r="K60" s="16" t="str">
        <x:v>delayed</x:v>
      </x:c>
      <x:c r="L60" s="16" t="str">
        <x:v>true</x:v>
      </x:c>
      <x:c r="M60" s="16" t="str">
        <x:v>ninguna</x:v>
      </x:c>
      <x:c r="N60" s="18" t="n">
        <x:v>0</x:v>
      </x:c>
      <x:c r="O60" s="16" t="str">
        <x:v>sum_distinct_instances</x:v>
      </x:c>
      <x:c r="P60" s="16" t="str">
        <x:v>0..100; cap de cambio ±12 salvo expiraciones</x:v>
      </x:c>
      <x:c r="Q60" s="16" t="str">
        <x:v>Variación de resultado; no altera directamente satisfacción ni voto.</x:v>
      </x:c>
      <x:c r="R60" s="16" t="str">
        <x:v>n.a.</x:v>
      </x:c>
      <x:c r="S60" s="16" t="str">
        <x:v>3</x:v>
      </x:c>
    </x:row>
    <x:row r="61" ht="34" customHeight="1">
      <x:c r="A61" s="17" t="str">
        <x:v>e056</x:v>
      </x:c>
      <x:c r="B61" s="17" t="str">
        <x:v>alfabetizacion</x:v>
      </x:c>
      <x:c r="C61" s="17" t="str">
        <x:v>indicator</x:v>
      </x:c>
      <x:c r="D61" s="17" t="str">
        <x:v>educacion</x:v>
      </x:c>
      <x:c r="E61" s="17" t="n">
        <x:v>2</x:v>
      </x:c>
      <x:c r="F61" s="17" t="str">
        <x:v>+</x:v>
      </x:c>
      <x:c r="G61" s="17" t="str">
        <x:v>pulse</x:v>
      </x:c>
      <x:c r="H61" s="17" t="str">
        <x:v>close</x:v>
      </x:c>
      <x:c r="I61" s="19" t="n">
        <x:v>1</x:v>
      </x:c>
      <x:c r="J61" s="19" t="n">
        <x:v>1</x:v>
      </x:c>
      <x:c r="K61" s="17" t="str">
        <x:v>conditional</x:v>
      </x:c>
      <x:c r="L61" s="17" t="str">
        <x:v>pre.educacion&lt;40</x:v>
      </x:c>
      <x:c r="M61" s="17" t="str">
        <x:v>ninguna</x:v>
      </x:c>
      <x:c r="N61" s="19" t="n">
        <x:v>0</x:v>
      </x:c>
      <x:c r="O61" s="17" t="str">
        <x:v>sum_distinct_instances</x:v>
      </x:c>
      <x:c r="P61" s="17" t="str">
        <x:v>0..100; cap de cambio ±12 salvo expiraciones</x:v>
      </x:c>
      <x:c r="Q61" s="17" t="str">
        <x:v>Refuerzo por brecha de acceso.</x:v>
      </x:c>
      <x:c r="R61" s="17" t="str">
        <x:v>n.a.</x:v>
      </x:c>
      <x:c r="S61" s="17" t="str">
        <x:v>2</x:v>
      </x:c>
    </x:row>
    <x:row r="62" ht="34" customHeight="1">
      <x:c r="A62" s="16" t="str">
        <x:v>e057</x:v>
      </x:c>
      <x:c r="B62" s="16" t="str">
        <x:v>programa_alimentario</x:v>
      </x:c>
      <x:c r="C62" s="16" t="str">
        <x:v>ledger</x:v>
      </x:c>
      <x:c r="D62" s="16" t="str">
        <x:v>expense_once</x:v>
      </x:c>
      <x:c r="E62" s="16" t="n">
        <x:v>80</x:v>
      </x:c>
      <x:c r="F62" s="16" t="str">
        <x:v>+</x:v>
      </x:c>
      <x:c r="G62" s="16" t="str">
        <x:v>flow</x:v>
      </x:c>
      <x:c r="H62" s="16" t="str">
        <x:v>execute</x:v>
      </x:c>
      <x:c r="I62" s="18" t="n">
        <x:v>0</x:v>
      </x:c>
      <x:c r="J62" s="18" t="n">
        <x:v>1</x:v>
      </x:c>
      <x:c r="K62" s="16" t="str">
        <x:v>immediate</x:v>
      </x:c>
      <x:c r="L62" s="16" t="str">
        <x:v>true</x:v>
      </x:c>
      <x:c r="M62" s="16" t="str">
        <x:v>ninguna</x:v>
      </x:c>
      <x:c r="N62" s="18" t="n">
        <x:v>0</x:v>
      </x:c>
      <x:c r="O62" s="16" t="str">
        <x:v>sum_distinct_instances</x:v>
      </x:c>
      <x:c r="P62" s="16" t="str">
        <x:v>Ver contrato de target</x:v>
      </x:c>
      <x:c r="Q62" s="16" t="str">
        <x:v>Coste administrativo o programa. No se duplica con la columna fiscal de 04.</x:v>
      </x:c>
      <x:c r="R62" s="16" t="str">
        <x:v>expense</x:v>
      </x:c>
      <x:c r="S62" s="16" t="str">
        <x:v>80</x:v>
      </x:c>
    </x:row>
    <x:row r="63" ht="34" customHeight="1">
      <x:c r="A63" s="17" t="str">
        <x:v>e058</x:v>
      </x:c>
      <x:c r="B63" s="17" t="str">
        <x:v>programa_alimentario</x:v>
      </x:c>
      <x:c r="C63" s="17" t="str">
        <x:v>indicator</x:v>
      </x:c>
      <x:c r="D63" s="17" t="str">
        <x:v>proteccion</x:v>
      </x:c>
      <x:c r="E63" s="17" t="n">
        <x:v>5</x:v>
      </x:c>
      <x:c r="F63" s="17" t="str">
        <x:v>+</x:v>
      </x:c>
      <x:c r="G63" s="17" t="str">
        <x:v>offset</x:v>
      </x:c>
      <x:c r="H63" s="17" t="str">
        <x:v>close</x:v>
      </x:c>
      <x:c r="I63" s="19" t="n">
        <x:v>0</x:v>
      </x:c>
      <x:c r="J63" s="19" t="n">
        <x:v>3</x:v>
      </x:c>
      <x:c r="K63" s="17" t="str">
        <x:v>persistent</x:v>
      </x:c>
      <x:c r="L63" s="17" t="str">
        <x:v>true</x:v>
      </x:c>
      <x:c r="M63" s="17" t="str">
        <x:v>ninguna</x:v>
      </x:c>
      <x:c r="N63" s="19" t="n">
        <x:v>0</x:v>
      </x:c>
      <x:c r="O63" s="17" t="str">
        <x:v>reject_active</x:v>
      </x:c>
      <x:c r="P63" s="17" t="str">
        <x:v>0..100; cap de cambio ±12 salvo expiraciones</x:v>
      </x:c>
      <x:c r="Q63" s="17" t="str">
        <x:v>Variación de resultado; no altera directamente satisfacción ni voto.</x:v>
      </x:c>
      <x:c r="R63" s="17" t="str">
        <x:v>n.a.</x:v>
      </x:c>
      <x:c r="S63" s="17" t="str">
        <x:v>5</x:v>
      </x:c>
    </x:row>
    <x:row r="64" ht="34" customHeight="1">
      <x:c r="A64" s="16" t="str">
        <x:v>e059</x:v>
      </x:c>
      <x:c r="B64" s="16" t="str">
        <x:v>programa_alimentario</x:v>
      </x:c>
      <x:c r="C64" s="16" t="str">
        <x:v>ledger</x:v>
      </x:c>
      <x:c r="D64" s="16" t="str">
        <x:v>expense_recurring</x:v>
      </x:c>
      <x:c r="E64" s="16" t="n">
        <x:v>40</x:v>
      </x:c>
      <x:c r="F64" s="16" t="str">
        <x:v>+</x:v>
      </x:c>
      <x:c r="G64" s="16" t="str">
        <x:v>flow</x:v>
      </x:c>
      <x:c r="H64" s="16" t="str">
        <x:v>close</x:v>
      </x:c>
      <x:c r="I64" s="18" t="n">
        <x:v>1</x:v>
      </x:c>
      <x:c r="J64" s="18" t="n">
        <x:v>2</x:v>
      </x:c>
      <x:c r="K64" s="16" t="str">
        <x:v>delayed+persistent</x:v>
      </x:c>
      <x:c r="L64" s="16" t="str">
        <x:v>true</x:v>
      </x:c>
      <x:c r="M64" s="16" t="str">
        <x:v>ninguna</x:v>
      </x:c>
      <x:c r="N64" s="18" t="n">
        <x:v>0</x:v>
      </x:c>
      <x:c r="O64" s="16" t="str">
        <x:v>sum_distinct_instances</x:v>
      </x:c>
      <x:c r="P64" s="16" t="str">
        <x:v>Ver contrato de target</x:v>
      </x:c>
      <x:c r="Q64" s="16" t="str">
        <x:v>Flujo explícito; afecta caja y cálculo fiscal durante su vigencia.</x:v>
      </x:c>
      <x:c r="R64" s="16" t="str">
        <x:v>expense</x:v>
      </x:c>
      <x:c r="S64" s="16" t="str">
        <x:v>40</x:v>
      </x:c>
    </x:row>
    <x:row r="65" ht="34" customHeight="1">
      <x:c r="A65" s="17" t="str">
        <x:v>e060</x:v>
      </x:c>
      <x:c r="B65" s="17" t="str">
        <x:v>igualdad_genero</x:v>
      </x:c>
      <x:c r="C65" s="17" t="str">
        <x:v>ledger</x:v>
      </x:c>
      <x:c r="D65" s="17" t="str">
        <x:v>expense_once</x:v>
      </x:c>
      <x:c r="E65" s="17" t="n">
        <x:v>120</x:v>
      </x:c>
      <x:c r="F65" s="17" t="str">
        <x:v>+</x:v>
      </x:c>
      <x:c r="G65" s="17" t="str">
        <x:v>flow</x:v>
      </x:c>
      <x:c r="H65" s="17" t="str">
        <x:v>execute</x:v>
      </x:c>
      <x:c r="I65" s="19" t="n">
        <x:v>0</x:v>
      </x:c>
      <x:c r="J65" s="19" t="n">
        <x:v>1</x:v>
      </x:c>
      <x:c r="K65" s="17" t="str">
        <x:v>immediate</x:v>
      </x:c>
      <x:c r="L65" s="17" t="str">
        <x:v>true</x:v>
      </x:c>
      <x:c r="M65" s="17" t="str">
        <x:v>ninguna</x:v>
      </x:c>
      <x:c r="N65" s="19" t="n">
        <x:v>0</x:v>
      </x:c>
      <x:c r="O65" s="17" t="str">
        <x:v>sum_distinct_instances</x:v>
      </x:c>
      <x:c r="P65" s="17" t="str">
        <x:v>Ver contrato de target</x:v>
      </x:c>
      <x:c r="Q65" s="17" t="str">
        <x:v>Coste administrativo o programa. No se duplica con la columna fiscal de 04.</x:v>
      </x:c>
      <x:c r="R65" s="17" t="str">
        <x:v>expense</x:v>
      </x:c>
      <x:c r="S65" s="17" t="str">
        <x:v>120</x:v>
      </x:c>
    </x:row>
    <x:row r="66" ht="34" customHeight="1">
      <x:c r="A66" s="16" t="str">
        <x:v>e061</x:v>
      </x:c>
      <x:c r="B66" s="16" t="str">
        <x:v>igualdad_genero</x:v>
      </x:c>
      <x:c r="C66" s="16" t="str">
        <x:v>indicator</x:v>
      </x:c>
      <x:c r="D66" s="16" t="str">
        <x:v>derechos</x:v>
      </x:c>
      <x:c r="E66" s="16" t="n">
        <x:v>4</x:v>
      </x:c>
      <x:c r="F66" s="16" t="str">
        <x:v>+</x:v>
      </x:c>
      <x:c r="G66" s="16" t="str">
        <x:v>pulse</x:v>
      </x:c>
      <x:c r="H66" s="16" t="str">
        <x:v>close</x:v>
      </x:c>
      <x:c r="I66" s="18" t="n">
        <x:v>1</x:v>
      </x:c>
      <x:c r="J66" s="18" t="n">
        <x:v>1</x:v>
      </x:c>
      <x:c r="K66" s="16" t="str">
        <x:v>delayed</x:v>
      </x:c>
      <x:c r="L66" s="16" t="str">
        <x:v>true</x:v>
      </x:c>
      <x:c r="M66" s="16" t="str">
        <x:v>ninguna</x:v>
      </x:c>
      <x:c r="N66" s="18" t="n">
        <x:v>0</x:v>
      </x:c>
      <x:c r="O66" s="16" t="str">
        <x:v>sum_distinct_instances</x:v>
      </x:c>
      <x:c r="P66" s="16" t="str">
        <x:v>0..100; cap de cambio ±12 salvo expiraciones</x:v>
      </x:c>
      <x:c r="Q66" s="16" t="str">
        <x:v>Variación de resultado; no altera directamente satisfacción ni voto.</x:v>
      </x:c>
      <x:c r="R66" s="16" t="str">
        <x:v>n.a.</x:v>
      </x:c>
      <x:c r="S66" s="16" t="str">
        <x:v>4</x:v>
      </x:c>
    </x:row>
    <x:row r="67" ht="34" customHeight="1">
      <x:c r="A67" s="17" t="str">
        <x:v>e062</x:v>
      </x:c>
      <x:c r="B67" s="17" t="str">
        <x:v>igualdad_genero</x:v>
      </x:c>
      <x:c r="C67" s="17" t="str">
        <x:v>indicator</x:v>
      </x:c>
      <x:c r="D67" s="17" t="str">
        <x:v>proteccion</x:v>
      </x:c>
      <x:c r="E67" s="17" t="n">
        <x:v>2</x:v>
      </x:c>
      <x:c r="F67" s="17" t="str">
        <x:v>+</x:v>
      </x:c>
      <x:c r="G67" s="17" t="str">
        <x:v>pulse</x:v>
      </x:c>
      <x:c r="H67" s="17" t="str">
        <x:v>close</x:v>
      </x:c>
      <x:c r="I67" s="19" t="n">
        <x:v>2</x:v>
      </x:c>
      <x:c r="J67" s="19" t="n">
        <x:v>1</x:v>
      </x:c>
      <x:c r="K67" s="17" t="str">
        <x:v>delayed</x:v>
      </x:c>
      <x:c r="L67" s="17" t="str">
        <x:v>true</x:v>
      </x:c>
      <x:c r="M67" s="17" t="str">
        <x:v>ninguna</x:v>
      </x:c>
      <x:c r="N67" s="19" t="n">
        <x:v>0</x:v>
      </x:c>
      <x:c r="O67" s="17" t="str">
        <x:v>sum_distinct_instances</x:v>
      </x:c>
      <x:c r="P67" s="17" t="str">
        <x:v>0..100; cap de cambio ±12 salvo expiraciones</x:v>
      </x:c>
      <x:c r="Q67" s="17" t="str">
        <x:v>Variación de resultado; no altera directamente satisfacción ni voto.</x:v>
      </x:c>
      <x:c r="R67" s="17" t="str">
        <x:v>n.a.</x:v>
      </x:c>
      <x:c r="S67" s="17" t="str">
        <x:v>2</x:v>
      </x:c>
    </x:row>
    <x:row r="68" ht="34" customHeight="1">
      <x:c r="A68" s="16" t="str">
        <x:v>e063</x:v>
      </x:c>
      <x:c r="B68" s="16" t="str">
        <x:v>igualdad_genero</x:v>
      </x:c>
      <x:c r="C68" s="16" t="str">
        <x:v>ledger</x:v>
      </x:c>
      <x:c r="D68" s="16" t="str">
        <x:v>expense_recurring</x:v>
      </x:c>
      <x:c r="E68" s="16" t="n">
        <x:v>20</x:v>
      </x:c>
      <x:c r="F68" s="16" t="str">
        <x:v>+</x:v>
      </x:c>
      <x:c r="G68" s="16" t="str">
        <x:v>flow</x:v>
      </x:c>
      <x:c r="H68" s="16" t="str">
        <x:v>close</x:v>
      </x:c>
      <x:c r="I68" s="18" t="n">
        <x:v>1</x:v>
      </x:c>
      <x:c r="J68" s="18" t="n">
        <x:v>0</x:v>
      </x:c>
      <x:c r="K68" s="16" t="str">
        <x:v>delayed</x:v>
      </x:c>
      <x:c r="L68" s="16" t="str">
        <x:v>true</x:v>
      </x:c>
      <x:c r="M68" s="16" t="str">
        <x:v>ninguna</x:v>
      </x:c>
      <x:c r="N68" s="18" t="n">
        <x:v>0</x:v>
      </x:c>
      <x:c r="O68" s="16" t="str">
        <x:v>sum_distinct_instances</x:v>
      </x:c>
      <x:c r="P68" s="16" t="str">
        <x:v>Ver contrato de target</x:v>
      </x:c>
      <x:c r="Q68" s="16" t="str">
        <x:v>Flujo explícito; afecta caja y cálculo fiscal durante su vigencia.</x:v>
      </x:c>
      <x:c r="R68" s="16" t="str">
        <x:v>expense</x:v>
      </x:c>
      <x:c r="S68" s="16" t="str">
        <x:v>20</x:v>
      </x:c>
    </x:row>
    <x:row r="69" ht="34" customHeight="1">
      <x:c r="A69" s="17" t="str">
        <x:v>e064</x:v>
      </x:c>
      <x:c r="B69" s="17" t="str">
        <x:v>transporte_publico</x:v>
      </x:c>
      <x:c r="C69" s="17" t="str">
        <x:v>ledger</x:v>
      </x:c>
      <x:c r="D69" s="17" t="str">
        <x:v>expense_once</x:v>
      </x:c>
      <x:c r="E69" s="17" t="n">
        <x:v>260</x:v>
      </x:c>
      <x:c r="F69" s="17" t="str">
        <x:v>+</x:v>
      </x:c>
      <x:c r="G69" s="17" t="str">
        <x:v>flow</x:v>
      </x:c>
      <x:c r="H69" s="17" t="str">
        <x:v>execute</x:v>
      </x:c>
      <x:c r="I69" s="19" t="n">
        <x:v>0</x:v>
      </x:c>
      <x:c r="J69" s="19" t="n">
        <x:v>1</x:v>
      </x:c>
      <x:c r="K69" s="17" t="str">
        <x:v>immediate</x:v>
      </x:c>
      <x:c r="L69" s="17" t="str">
        <x:v>true</x:v>
      </x:c>
      <x:c r="M69" s="17" t="str">
        <x:v>ninguna</x:v>
      </x:c>
      <x:c r="N69" s="19" t="n">
        <x:v>0</x:v>
      </x:c>
      <x:c r="O69" s="17" t="str">
        <x:v>sum_distinct_instances</x:v>
      </x:c>
      <x:c r="P69" s="17" t="str">
        <x:v>Ver contrato de target</x:v>
      </x:c>
      <x:c r="Q69" s="17" t="str">
        <x:v>Coste administrativo o programa. No se duplica con la columna fiscal de 04.</x:v>
      </x:c>
      <x:c r="R69" s="17" t="str">
        <x:v>expense</x:v>
      </x:c>
      <x:c r="S69" s="17" t="str">
        <x:v>260</x:v>
      </x:c>
    </x:row>
    <x:row r="70" ht="34" customHeight="1">
      <x:c r="A70" s="16" t="str">
        <x:v>e065</x:v>
      </x:c>
      <x:c r="B70" s="16" t="str">
        <x:v>transporte_publico</x:v>
      </x:c>
      <x:c r="C70" s="16" t="str">
        <x:v>indicator</x:v>
      </x:c>
      <x:c r="D70" s="16" t="str">
        <x:v>infraestructura</x:v>
      </x:c>
      <x:c r="E70" s="16" t="n">
        <x:v>4</x:v>
      </x:c>
      <x:c r="F70" s="16" t="str">
        <x:v>+</x:v>
      </x:c>
      <x:c r="G70" s="16" t="str">
        <x:v>pulse</x:v>
      </x:c>
      <x:c r="H70" s="16" t="str">
        <x:v>close</x:v>
      </x:c>
      <x:c r="I70" s="18" t="n">
        <x:v>2</x:v>
      </x:c>
      <x:c r="J70" s="18" t="n">
        <x:v>1</x:v>
      </x:c>
      <x:c r="K70" s="16" t="str">
        <x:v>delayed</x:v>
      </x:c>
      <x:c r="L70" s="16" t="str">
        <x:v>true</x:v>
      </x:c>
      <x:c r="M70" s="16" t="str">
        <x:v>ninguna</x:v>
      </x:c>
      <x:c r="N70" s="18" t="n">
        <x:v>0</x:v>
      </x:c>
      <x:c r="O70" s="16" t="str">
        <x:v>sum_distinct_instances</x:v>
      </x:c>
      <x:c r="P70" s="16" t="str">
        <x:v>0..100; cap de cambio ±12 salvo expiraciones</x:v>
      </x:c>
      <x:c r="Q70" s="16" t="str">
        <x:v>Variación de resultado; no altera directamente satisfacción ni voto.</x:v>
      </x:c>
      <x:c r="R70" s="16" t="str">
        <x:v>n.a.</x:v>
      </x:c>
      <x:c r="S70" s="16" t="str">
        <x:v>4</x:v>
      </x:c>
    </x:row>
    <x:row r="71" ht="34" customHeight="1">
      <x:c r="A71" s="17" t="str">
        <x:v>e066</x:v>
      </x:c>
      <x:c r="B71" s="17" t="str">
        <x:v>transporte_publico</x:v>
      </x:c>
      <x:c r="C71" s="17" t="str">
        <x:v>indicator</x:v>
      </x:c>
      <x:c r="D71" s="17" t="str">
        <x:v>ingreso_real</x:v>
      </x:c>
      <x:c r="E71" s="17" t="n">
        <x:v>2</x:v>
      </x:c>
      <x:c r="F71" s="17" t="str">
        <x:v>+</x:v>
      </x:c>
      <x:c r="G71" s="17" t="str">
        <x:v>offset</x:v>
      </x:c>
      <x:c r="H71" s="17" t="str">
        <x:v>close</x:v>
      </x:c>
      <x:c r="I71" s="19" t="n">
        <x:v>2</x:v>
      </x:c>
      <x:c r="J71" s="19" t="n">
        <x:v>4</x:v>
      </x:c>
      <x:c r="K71" s="17" t="str">
        <x:v>delayed+persistent</x:v>
      </x:c>
      <x:c r="L71" s="17" t="str">
        <x:v>true</x:v>
      </x:c>
      <x:c r="M71" s="17" t="str">
        <x:v>ninguna</x:v>
      </x:c>
      <x:c r="N71" s="19" t="n">
        <x:v>0</x:v>
      </x:c>
      <x:c r="O71" s="17" t="str">
        <x:v>reject_active</x:v>
      </x:c>
      <x:c r="P71" s="17" t="str">
        <x:v>0..100; cap de cambio ±12 salvo expiraciones</x:v>
      </x:c>
      <x:c r="Q71" s="17" t="str">
        <x:v>Variación de resultado; no altera directamente satisfacción ni voto.</x:v>
      </x:c>
      <x:c r="R71" s="17" t="str">
        <x:v>n.a.</x:v>
      </x:c>
      <x:c r="S71" s="17" t="str">
        <x:v>2</x:v>
      </x:c>
    </x:row>
    <x:row r="72" ht="34" customHeight="1">
      <x:c r="A72" s="16" t="str">
        <x:v>e067</x:v>
      </x:c>
      <x:c r="B72" s="16" t="str">
        <x:v>transporte_publico</x:v>
      </x:c>
      <x:c r="C72" s="16" t="str">
        <x:v>ledger</x:v>
      </x:c>
      <x:c r="D72" s="16" t="str">
        <x:v>expense_recurring</x:v>
      </x:c>
      <x:c r="E72" s="16" t="n">
        <x:v>25</x:v>
      </x:c>
      <x:c r="F72" s="16" t="str">
        <x:v>+</x:v>
      </x:c>
      <x:c r="G72" s="16" t="str">
        <x:v>flow</x:v>
      </x:c>
      <x:c r="H72" s="16" t="str">
        <x:v>close</x:v>
      </x:c>
      <x:c r="I72" s="18" t="n">
        <x:v>2</x:v>
      </x:c>
      <x:c r="J72" s="18" t="n">
        <x:v>0</x:v>
      </x:c>
      <x:c r="K72" s="16" t="str">
        <x:v>delayed</x:v>
      </x:c>
      <x:c r="L72" s="16" t="str">
        <x:v>true</x:v>
      </x:c>
      <x:c r="M72" s="16" t="str">
        <x:v>ninguna</x:v>
      </x:c>
      <x:c r="N72" s="18" t="n">
        <x:v>0</x:v>
      </x:c>
      <x:c r="O72" s="16" t="str">
        <x:v>sum_distinct_instances</x:v>
      </x:c>
      <x:c r="P72" s="16" t="str">
        <x:v>Ver contrato de target</x:v>
      </x:c>
      <x:c r="Q72" s="16" t="str">
        <x:v>Flujo explícito; afecta caja y cálculo fiscal durante su vigencia.</x:v>
      </x:c>
      <x:c r="R72" s="16" t="str">
        <x:v>expense</x:v>
      </x:c>
      <x:c r="S72" s="16" t="str">
        <x:v>25</x:v>
      </x:c>
    </x:row>
    <x:row r="73" ht="34" customHeight="1">
      <x:c r="A73" s="17" t="str">
        <x:v>e068</x:v>
      </x:c>
      <x:c r="B73" s="17" t="str">
        <x:v>energia_renovable</x:v>
      </x:c>
      <x:c r="C73" s="17" t="str">
        <x:v>ledger</x:v>
      </x:c>
      <x:c r="D73" s="17" t="str">
        <x:v>expense_once</x:v>
      </x:c>
      <x:c r="E73" s="17" t="n">
        <x:v>400</x:v>
      </x:c>
      <x:c r="F73" s="17" t="str">
        <x:v>+</x:v>
      </x:c>
      <x:c r="G73" s="17" t="str">
        <x:v>flow</x:v>
      </x:c>
      <x:c r="H73" s="17" t="str">
        <x:v>execute</x:v>
      </x:c>
      <x:c r="I73" s="19" t="n">
        <x:v>0</x:v>
      </x:c>
      <x:c r="J73" s="19" t="n">
        <x:v>1</x:v>
      </x:c>
      <x:c r="K73" s="17" t="str">
        <x:v>immediate</x:v>
      </x:c>
      <x:c r="L73" s="17" t="str">
        <x:v>true</x:v>
      </x:c>
      <x:c r="M73" s="17" t="str">
        <x:v>ninguna</x:v>
      </x:c>
      <x:c r="N73" s="19" t="n">
        <x:v>0</x:v>
      </x:c>
      <x:c r="O73" s="17" t="str">
        <x:v>sum_distinct_instances</x:v>
      </x:c>
      <x:c r="P73" s="17" t="str">
        <x:v>Ver contrato de target</x:v>
      </x:c>
      <x:c r="Q73" s="17" t="str">
        <x:v>Coste administrativo o programa. No se duplica con la columna fiscal de 04.</x:v>
      </x:c>
      <x:c r="R73" s="17" t="str">
        <x:v>expense</x:v>
      </x:c>
      <x:c r="S73" s="17" t="str">
        <x:v>400</x:v>
      </x:c>
    </x:row>
    <x:row r="74" ht="34" customHeight="1">
      <x:c r="A74" s="16" t="str">
        <x:v>e069</x:v>
      </x:c>
      <x:c r="B74" s="16" t="str">
        <x:v>energia_renovable</x:v>
      </x:c>
      <x:c r="C74" s="16" t="str">
        <x:v>indicator</x:v>
      </x:c>
      <x:c r="D74" s="16" t="str">
        <x:v>infraestructura</x:v>
      </x:c>
      <x:c r="E74" s="16" t="n">
        <x:v>5</x:v>
      </x:c>
      <x:c r="F74" s="16" t="str">
        <x:v>+</x:v>
      </x:c>
      <x:c r="G74" s="16" t="str">
        <x:v>pulse</x:v>
      </x:c>
      <x:c r="H74" s="16" t="str">
        <x:v>close</x:v>
      </x:c>
      <x:c r="I74" s="18" t="n">
        <x:v>3</x:v>
      </x:c>
      <x:c r="J74" s="18" t="n">
        <x:v>1</x:v>
      </x:c>
      <x:c r="K74" s="16" t="str">
        <x:v>delayed</x:v>
      </x:c>
      <x:c r="L74" s="16" t="str">
        <x:v>true</x:v>
      </x:c>
      <x:c r="M74" s="16" t="str">
        <x:v>ninguna</x:v>
      </x:c>
      <x:c r="N74" s="18" t="n">
        <x:v>0</x:v>
      </x:c>
      <x:c r="O74" s="16" t="str">
        <x:v>sum_distinct_instances</x:v>
      </x:c>
      <x:c r="P74" s="16" t="str">
        <x:v>0..100; cap de cambio ±12 salvo expiraciones</x:v>
      </x:c>
      <x:c r="Q74" s="16" t="str">
        <x:v>Variación de resultado; no altera directamente satisfacción ni voto.</x:v>
      </x:c>
      <x:c r="R74" s="16" t="str">
        <x:v>n.a.</x:v>
      </x:c>
      <x:c r="S74" s="16" t="str">
        <x:v>5</x:v>
      </x:c>
    </x:row>
    <x:row r="75" ht="34" customHeight="1">
      <x:c r="A75" s="17" t="str">
        <x:v>e070</x:v>
      </x:c>
      <x:c r="B75" s="17" t="str">
        <x:v>energia_renovable</x:v>
      </x:c>
      <x:c r="C75" s="17" t="str">
        <x:v>indicator</x:v>
      </x:c>
      <x:c r="D75" s="17" t="str">
        <x:v>ambiente</x:v>
      </x:c>
      <x:c r="E75" s="17" t="n">
        <x:v>5</x:v>
      </x:c>
      <x:c r="F75" s="17" t="str">
        <x:v>+</x:v>
      </x:c>
      <x:c r="G75" s="17" t="str">
        <x:v>pulse</x:v>
      </x:c>
      <x:c r="H75" s="17" t="str">
        <x:v>close</x:v>
      </x:c>
      <x:c r="I75" s="19" t="n">
        <x:v>3</x:v>
      </x:c>
      <x:c r="J75" s="19" t="n">
        <x:v>1</x:v>
      </x:c>
      <x:c r="K75" s="17" t="str">
        <x:v>delayed</x:v>
      </x:c>
      <x:c r="L75" s="17" t="str">
        <x:v>true</x:v>
      </x:c>
      <x:c r="M75" s="17" t="str">
        <x:v>ninguna</x:v>
      </x:c>
      <x:c r="N75" s="19" t="n">
        <x:v>0</x:v>
      </x:c>
      <x:c r="O75" s="17" t="str">
        <x:v>sum_distinct_instances</x:v>
      </x:c>
      <x:c r="P75" s="17" t="str">
        <x:v>0..100; cap de cambio ±12 salvo expiraciones</x:v>
      </x:c>
      <x:c r="Q75" s="17" t="str">
        <x:v>Variación de resultado; no altera directamente satisfacción ni voto.</x:v>
      </x:c>
      <x:c r="R75" s="17" t="str">
        <x:v>n.a.</x:v>
      </x:c>
      <x:c r="S75" s="17" t="str">
        <x:v>5</x:v>
      </x:c>
    </x:row>
    <x:row r="76" ht="34" customHeight="1">
      <x:c r="A76" s="16" t="str">
        <x:v>e071</x:v>
      </x:c>
      <x:c r="B76" s="16" t="str">
        <x:v>energia_renovable</x:v>
      </x:c>
      <x:c r="C76" s="16" t="str">
        <x:v>ledger</x:v>
      </x:c>
      <x:c r="D76" s="16" t="str">
        <x:v>expense_recurring</x:v>
      </x:c>
      <x:c r="E76" s="16" t="n">
        <x:v>25</x:v>
      </x:c>
      <x:c r="F76" s="16" t="str">
        <x:v>+</x:v>
      </x:c>
      <x:c r="G76" s="16" t="str">
        <x:v>flow</x:v>
      </x:c>
      <x:c r="H76" s="16" t="str">
        <x:v>close</x:v>
      </x:c>
      <x:c r="I76" s="18" t="n">
        <x:v>3</x:v>
      </x:c>
      <x:c r="J76" s="18" t="n">
        <x:v>0</x:v>
      </x:c>
      <x:c r="K76" s="16" t="str">
        <x:v>delayed</x:v>
      </x:c>
      <x:c r="L76" s="16" t="str">
        <x:v>true</x:v>
      </x:c>
      <x:c r="M76" s="16" t="str">
        <x:v>ninguna</x:v>
      </x:c>
      <x:c r="N76" s="18" t="n">
        <x:v>0</x:v>
      </x:c>
      <x:c r="O76" s="16" t="str">
        <x:v>sum_distinct_instances</x:v>
      </x:c>
      <x:c r="P76" s="16" t="str">
        <x:v>Ver contrato de target</x:v>
      </x:c>
      <x:c r="Q76" s="16" t="str">
        <x:v>Flujo explícito; afecta caja y cálculo fiscal durante su vigencia.</x:v>
      </x:c>
      <x:c r="R76" s="16" t="str">
        <x:v>expense</x:v>
      </x:c>
      <x:c r="S76" s="16" t="str">
        <x:v>25</x:v>
      </x:c>
    </x:row>
    <x:row r="77" ht="34" customHeight="1">
      <x:c r="A77" s="17" t="str">
        <x:v>e072</x:v>
      </x:c>
      <x:c r="B77" s="17" t="str">
        <x:v>construccion_hospitales</x:v>
      </x:c>
      <x:c r="C77" s="17" t="str">
        <x:v>ledger</x:v>
      </x:c>
      <x:c r="D77" s="17" t="str">
        <x:v>expense_once</x:v>
      </x:c>
      <x:c r="E77" s="17" t="n">
        <x:v>450</x:v>
      </x:c>
      <x:c r="F77" s="17" t="str">
        <x:v>+</x:v>
      </x:c>
      <x:c r="G77" s="17" t="str">
        <x:v>flow</x:v>
      </x:c>
      <x:c r="H77" s="17" t="str">
        <x:v>execute</x:v>
      </x:c>
      <x:c r="I77" s="19" t="n">
        <x:v>0</x:v>
      </x:c>
      <x:c r="J77" s="19" t="n">
        <x:v>1</x:v>
      </x:c>
      <x:c r="K77" s="17" t="str">
        <x:v>immediate</x:v>
      </x:c>
      <x:c r="L77" s="17" t="str">
        <x:v>true</x:v>
      </x:c>
      <x:c r="M77" s="17" t="str">
        <x:v>ninguna</x:v>
      </x:c>
      <x:c r="N77" s="19" t="n">
        <x:v>0</x:v>
      </x:c>
      <x:c r="O77" s="17" t="str">
        <x:v>sum_distinct_instances</x:v>
      </x:c>
      <x:c r="P77" s="17" t="str">
        <x:v>Ver contrato de target</x:v>
      </x:c>
      <x:c r="Q77" s="17" t="str">
        <x:v>Coste administrativo o programa. No se duplica con la columna fiscal de 04.</x:v>
      </x:c>
      <x:c r="R77" s="17" t="str">
        <x:v>expense</x:v>
      </x:c>
      <x:c r="S77" s="17" t="str">
        <x:v>450</x:v>
      </x:c>
    </x:row>
    <x:row r="78" ht="34" customHeight="1">
      <x:c r="A78" s="16" t="str">
        <x:v>e073</x:v>
      </x:c>
      <x:c r="B78" s="16" t="str">
        <x:v>construccion_hospitales</x:v>
      </x:c>
      <x:c r="C78" s="16" t="str">
        <x:v>indicator</x:v>
      </x:c>
      <x:c r="D78" s="16" t="str">
        <x:v>salud</x:v>
      </x:c>
      <x:c r="E78" s="16" t="n">
        <x:v>9</x:v>
      </x:c>
      <x:c r="F78" s="16" t="str">
        <x:v>+</x:v>
      </x:c>
      <x:c r="G78" s="16" t="str">
        <x:v>pulse</x:v>
      </x:c>
      <x:c r="H78" s="16" t="str">
        <x:v>close</x:v>
      </x:c>
      <x:c r="I78" s="18" t="n">
        <x:v>3</x:v>
      </x:c>
      <x:c r="J78" s="18" t="n">
        <x:v>1</x:v>
      </x:c>
      <x:c r="K78" s="16" t="str">
        <x:v>delayed</x:v>
      </x:c>
      <x:c r="L78" s="16" t="str">
        <x:v>true</x:v>
      </x:c>
      <x:c r="M78" s="16" t="str">
        <x:v>ninguna</x:v>
      </x:c>
      <x:c r="N78" s="18" t="n">
        <x:v>0</x:v>
      </x:c>
      <x:c r="O78" s="16" t="str">
        <x:v>sum_distinct_instances</x:v>
      </x:c>
      <x:c r="P78" s="16" t="str">
        <x:v>0..100; cap de cambio ±12 salvo expiraciones</x:v>
      </x:c>
      <x:c r="Q78" s="16" t="str">
        <x:v>Variación de resultado; no altera directamente satisfacción ni voto.</x:v>
      </x:c>
      <x:c r="R78" s="16" t="str">
        <x:v>n.a.</x:v>
      </x:c>
      <x:c r="S78" s="16" t="str">
        <x:v>9</x:v>
      </x:c>
    </x:row>
    <x:row r="79" ht="34" customHeight="1">
      <x:c r="A79" s="17" t="str">
        <x:v>e074</x:v>
      </x:c>
      <x:c r="B79" s="17" t="str">
        <x:v>construccion_hospitales</x:v>
      </x:c>
      <x:c r="C79" s="17" t="str">
        <x:v>ledger</x:v>
      </x:c>
      <x:c r="D79" s="17" t="str">
        <x:v>expense_recurring</x:v>
      </x:c>
      <x:c r="E79" s="17" t="n">
        <x:v>55</x:v>
      </x:c>
      <x:c r="F79" s="17" t="str">
        <x:v>+</x:v>
      </x:c>
      <x:c r="G79" s="17" t="str">
        <x:v>flow</x:v>
      </x:c>
      <x:c r="H79" s="17" t="str">
        <x:v>close</x:v>
      </x:c>
      <x:c r="I79" s="19" t="n">
        <x:v>3</x:v>
      </x:c>
      <x:c r="J79" s="19" t="n">
        <x:v>0</x:v>
      </x:c>
      <x:c r="K79" s="17" t="str">
        <x:v>delayed</x:v>
      </x:c>
      <x:c r="L79" s="17" t="str">
        <x:v>true</x:v>
      </x:c>
      <x:c r="M79" s="17" t="str">
        <x:v>ninguna</x:v>
      </x:c>
      <x:c r="N79" s="19" t="n">
        <x:v>0</x:v>
      </x:c>
      <x:c r="O79" s="17" t="str">
        <x:v>sum_distinct_instances</x:v>
      </x:c>
      <x:c r="P79" s="17" t="str">
        <x:v>Ver contrato de target</x:v>
      </x:c>
      <x:c r="Q79" s="17" t="str">
        <x:v>Flujo explícito; afecta caja y cálculo fiscal durante su vigencia.</x:v>
      </x:c>
      <x:c r="R79" s="17" t="str">
        <x:v>expense</x:v>
      </x:c>
      <x:c r="S79" s="17" t="str">
        <x:v>55</x:v>
      </x:c>
    </x:row>
    <x:row r="80" ht="34" customHeight="1">
      <x:c r="A80" s="16" t="str">
        <x:v>e075</x:v>
      </x:c>
      <x:c r="B80" s="16" t="str">
        <x:v>plan_conectividad</x:v>
      </x:c>
      <x:c r="C80" s="16" t="str">
        <x:v>ledger</x:v>
      </x:c>
      <x:c r="D80" s="16" t="str">
        <x:v>expense_once</x:v>
      </x:c>
      <x:c r="E80" s="16" t="n">
        <x:v>260</x:v>
      </x:c>
      <x:c r="F80" s="16" t="str">
        <x:v>+</x:v>
      </x:c>
      <x:c r="G80" s="16" t="str">
        <x:v>flow</x:v>
      </x:c>
      <x:c r="H80" s="16" t="str">
        <x:v>execute</x:v>
      </x:c>
      <x:c r="I80" s="18" t="n">
        <x:v>0</x:v>
      </x:c>
      <x:c r="J80" s="18" t="n">
        <x:v>1</x:v>
      </x:c>
      <x:c r="K80" s="16" t="str">
        <x:v>immediate</x:v>
      </x:c>
      <x:c r="L80" s="16" t="str">
        <x:v>true</x:v>
      </x:c>
      <x:c r="M80" s="16" t="str">
        <x:v>ninguna</x:v>
      </x:c>
      <x:c r="N80" s="18" t="n">
        <x:v>0</x:v>
      </x:c>
      <x:c r="O80" s="16" t="str">
        <x:v>sum_distinct_instances</x:v>
      </x:c>
      <x:c r="P80" s="16" t="str">
        <x:v>Ver contrato de target</x:v>
      </x:c>
      <x:c r="Q80" s="16" t="str">
        <x:v>Coste administrativo o programa. No se duplica con la columna fiscal de 04.</x:v>
      </x:c>
      <x:c r="R80" s="16" t="str">
        <x:v>expense</x:v>
      </x:c>
      <x:c r="S80" s="16" t="str">
        <x:v>260</x:v>
      </x:c>
    </x:row>
    <x:row r="81" ht="34" customHeight="1">
      <x:c r="A81" s="17" t="str">
        <x:v>e076</x:v>
      </x:c>
      <x:c r="B81" s="17" t="str">
        <x:v>plan_conectividad</x:v>
      </x:c>
      <x:c r="C81" s="17" t="str">
        <x:v>indicator</x:v>
      </x:c>
      <x:c r="D81" s="17" t="str">
        <x:v>infraestructura</x:v>
      </x:c>
      <x:c r="E81" s="17" t="n">
        <x:v>4</x:v>
      </x:c>
      <x:c r="F81" s="17" t="str">
        <x:v>+</x:v>
      </x:c>
      <x:c r="G81" s="17" t="str">
        <x:v>pulse</x:v>
      </x:c>
      <x:c r="H81" s="17" t="str">
        <x:v>close</x:v>
      </x:c>
      <x:c r="I81" s="19" t="n">
        <x:v>2</x:v>
      </x:c>
      <x:c r="J81" s="19" t="n">
        <x:v>1</x:v>
      </x:c>
      <x:c r="K81" s="17" t="str">
        <x:v>delayed</x:v>
      </x:c>
      <x:c r="L81" s="17" t="str">
        <x:v>true</x:v>
      </x:c>
      <x:c r="M81" s="17" t="str">
        <x:v>ninguna</x:v>
      </x:c>
      <x:c r="N81" s="19" t="n">
        <x:v>0</x:v>
      </x:c>
      <x:c r="O81" s="17" t="str">
        <x:v>sum_distinct_instances</x:v>
      </x:c>
      <x:c r="P81" s="17" t="str">
        <x:v>0..100; cap de cambio ±12 salvo expiraciones</x:v>
      </x:c>
      <x:c r="Q81" s="17" t="str">
        <x:v>Variación de resultado; no altera directamente satisfacción ni voto.</x:v>
      </x:c>
      <x:c r="R81" s="17" t="str">
        <x:v>n.a.</x:v>
      </x:c>
      <x:c r="S81" s="17" t="str">
        <x:v>4</x:v>
      </x:c>
    </x:row>
    <x:row r="82" ht="34" customHeight="1">
      <x:c r="A82" s="16" t="str">
        <x:v>e077</x:v>
      </x:c>
      <x:c r="B82" s="16" t="str">
        <x:v>plan_conectividad</x:v>
      </x:c>
      <x:c r="C82" s="16" t="str">
        <x:v>indicator</x:v>
      </x:c>
      <x:c r="D82" s="16" t="str">
        <x:v>educacion</x:v>
      </x:c>
      <x:c r="E82" s="16" t="n">
        <x:v>2</x:v>
      </x:c>
      <x:c r="F82" s="16" t="str">
        <x:v>+</x:v>
      </x:c>
      <x:c r="G82" s="16" t="str">
        <x:v>pulse</x:v>
      </x:c>
      <x:c r="H82" s="16" t="str">
        <x:v>close</x:v>
      </x:c>
      <x:c r="I82" s="18" t="n">
        <x:v>2</x:v>
      </x:c>
      <x:c r="J82" s="18" t="n">
        <x:v>1</x:v>
      </x:c>
      <x:c r="K82" s="16" t="str">
        <x:v>delayed</x:v>
      </x:c>
      <x:c r="L82" s="16" t="str">
        <x:v>true</x:v>
      </x:c>
      <x:c r="M82" s="16" t="str">
        <x:v>ninguna</x:v>
      </x:c>
      <x:c r="N82" s="18" t="n">
        <x:v>0</x:v>
      </x:c>
      <x:c r="O82" s="16" t="str">
        <x:v>sum_distinct_instances</x:v>
      </x:c>
      <x:c r="P82" s="16" t="str">
        <x:v>0..100; cap de cambio ±12 salvo expiraciones</x:v>
      </x:c>
      <x:c r="Q82" s="16" t="str">
        <x:v>Variación de resultado; no altera directamente satisfacción ni voto.</x:v>
      </x:c>
      <x:c r="R82" s="16" t="str">
        <x:v>n.a.</x:v>
      </x:c>
      <x:c r="S82" s="16" t="str">
        <x:v>2</x:v>
      </x:c>
    </x:row>
    <x:row r="83" ht="34" customHeight="1">
      <x:c r="A83" s="17" t="str">
        <x:v>e078</x:v>
      </x:c>
      <x:c r="B83" s="17" t="str">
        <x:v>plan_conectividad</x:v>
      </x:c>
      <x:c r="C83" s="17" t="str">
        <x:v>ledger</x:v>
      </x:c>
      <x:c r="D83" s="17" t="str">
        <x:v>expense_recurring</x:v>
      </x:c>
      <x:c r="E83" s="17" t="n">
        <x:v>20</x:v>
      </x:c>
      <x:c r="F83" s="17" t="str">
        <x:v>+</x:v>
      </x:c>
      <x:c r="G83" s="17" t="str">
        <x:v>flow</x:v>
      </x:c>
      <x:c r="H83" s="17" t="str">
        <x:v>close</x:v>
      </x:c>
      <x:c r="I83" s="19" t="n">
        <x:v>2</x:v>
      </x:c>
      <x:c r="J83" s="19" t="n">
        <x:v>0</x:v>
      </x:c>
      <x:c r="K83" s="17" t="str">
        <x:v>delayed</x:v>
      </x:c>
      <x:c r="L83" s="17" t="str">
        <x:v>true</x:v>
      </x:c>
      <x:c r="M83" s="17" t="str">
        <x:v>ninguna</x:v>
      </x:c>
      <x:c r="N83" s="19" t="n">
        <x:v>0</x:v>
      </x:c>
      <x:c r="O83" s="17" t="str">
        <x:v>sum_distinct_instances</x:v>
      </x:c>
      <x:c r="P83" s="17" t="str">
        <x:v>Ver contrato de target</x:v>
      </x:c>
      <x:c r="Q83" s="17" t="str">
        <x:v>Flujo explícito; afecta caja y cálculo fiscal durante su vigencia.</x:v>
      </x:c>
      <x:c r="R83" s="17" t="str">
        <x:v>expense</x:v>
      </x:c>
      <x:c r="S83" s="17" t="str">
        <x:v>20</x:v>
      </x:c>
    </x:row>
    <x:row r="84" ht="34" customHeight="1">
      <x:c r="A84" s="16" t="str">
        <x:v>e079</x:v>
      </x:c>
      <x:c r="B84" s="16" t="str">
        <x:v>reforestacion</x:v>
      </x:c>
      <x:c r="C84" s="16" t="str">
        <x:v>ledger</x:v>
      </x:c>
      <x:c r="D84" s="16" t="str">
        <x:v>expense_once</x:v>
      </x:c>
      <x:c r="E84" s="16" t="n">
        <x:v>160</x:v>
      </x:c>
      <x:c r="F84" s="16" t="str">
        <x:v>+</x:v>
      </x:c>
      <x:c r="G84" s="16" t="str">
        <x:v>flow</x:v>
      </x:c>
      <x:c r="H84" s="16" t="str">
        <x:v>execute</x:v>
      </x:c>
      <x:c r="I84" s="18" t="n">
        <x:v>0</x:v>
      </x:c>
      <x:c r="J84" s="18" t="n">
        <x:v>1</x:v>
      </x:c>
      <x:c r="K84" s="16" t="str">
        <x:v>immediate</x:v>
      </x:c>
      <x:c r="L84" s="16" t="str">
        <x:v>true</x:v>
      </x:c>
      <x:c r="M84" s="16" t="str">
        <x:v>ninguna</x:v>
      </x:c>
      <x:c r="N84" s="18" t="n">
        <x:v>0</x:v>
      </x:c>
      <x:c r="O84" s="16" t="str">
        <x:v>sum_distinct_instances</x:v>
      </x:c>
      <x:c r="P84" s="16" t="str">
        <x:v>Ver contrato de target</x:v>
      </x:c>
      <x:c r="Q84" s="16" t="str">
        <x:v>Coste administrativo o programa. No se duplica con la columna fiscal de 04.</x:v>
      </x:c>
      <x:c r="R84" s="16" t="str">
        <x:v>expense</x:v>
      </x:c>
      <x:c r="S84" s="16" t="str">
        <x:v>160</x:v>
      </x:c>
    </x:row>
    <x:row r="85" ht="34" customHeight="1">
      <x:c r="A85" s="17" t="str">
        <x:v>e080</x:v>
      </x:c>
      <x:c r="B85" s="17" t="str">
        <x:v>reforestacion</x:v>
      </x:c>
      <x:c r="C85" s="17" t="str">
        <x:v>indicator</x:v>
      </x:c>
      <x:c r="D85" s="17" t="str">
        <x:v>ambiente</x:v>
      </x:c>
      <x:c r="E85" s="17" t="n">
        <x:v>6</x:v>
      </x:c>
      <x:c r="F85" s="17" t="str">
        <x:v>+</x:v>
      </x:c>
      <x:c r="G85" s="17" t="str">
        <x:v>pulse</x:v>
      </x:c>
      <x:c r="H85" s="17" t="str">
        <x:v>close</x:v>
      </x:c>
      <x:c r="I85" s="19" t="n">
        <x:v>3</x:v>
      </x:c>
      <x:c r="J85" s="19" t="n">
        <x:v>1</x:v>
      </x:c>
      <x:c r="K85" s="17" t="str">
        <x:v>delayed</x:v>
      </x:c>
      <x:c r="L85" s="17" t="str">
        <x:v>true</x:v>
      </x:c>
      <x:c r="M85" s="17" t="str">
        <x:v>ninguna</x:v>
      </x:c>
      <x:c r="N85" s="19" t="n">
        <x:v>0</x:v>
      </x:c>
      <x:c r="O85" s="17" t="str">
        <x:v>sum_distinct_instances</x:v>
      </x:c>
      <x:c r="P85" s="17" t="str">
        <x:v>0..100; cap de cambio ±12 salvo expiraciones</x:v>
      </x:c>
      <x:c r="Q85" s="17" t="str">
        <x:v>Variación de resultado; no altera directamente satisfacción ni voto.</x:v>
      </x:c>
      <x:c r="R85" s="17" t="str">
        <x:v>n.a.</x:v>
      </x:c>
      <x:c r="S85" s="17" t="str">
        <x:v>6</x:v>
      </x:c>
    </x:row>
    <x:row r="86" ht="34" customHeight="1">
      <x:c r="A86" s="16" t="str">
        <x:v>e081</x:v>
      </x:c>
      <x:c r="B86" s="16" t="str">
        <x:v>reforestacion</x:v>
      </x:c>
      <x:c r="C86" s="16" t="str">
        <x:v>ledger</x:v>
      </x:c>
      <x:c r="D86" s="16" t="str">
        <x:v>expense_recurring</x:v>
      </x:c>
      <x:c r="E86" s="16" t="n">
        <x:v>15</x:v>
      </x:c>
      <x:c r="F86" s="16" t="str">
        <x:v>+</x:v>
      </x:c>
      <x:c r="G86" s="16" t="str">
        <x:v>flow</x:v>
      </x:c>
      <x:c r="H86" s="16" t="str">
        <x:v>close</x:v>
      </x:c>
      <x:c r="I86" s="18" t="n">
        <x:v>1</x:v>
      </x:c>
      <x:c r="J86" s="18" t="n">
        <x:v>4</x:v>
      </x:c>
      <x:c r="K86" s="16" t="str">
        <x:v>delayed+persistent</x:v>
      </x:c>
      <x:c r="L86" s="16" t="str">
        <x:v>true</x:v>
      </x:c>
      <x:c r="M86" s="16" t="str">
        <x:v>ninguna</x:v>
      </x:c>
      <x:c r="N86" s="18" t="n">
        <x:v>0</x:v>
      </x:c>
      <x:c r="O86" s="16" t="str">
        <x:v>sum_distinct_instances</x:v>
      </x:c>
      <x:c r="P86" s="16" t="str">
        <x:v>Ver contrato de target</x:v>
      </x:c>
      <x:c r="Q86" s="16" t="str">
        <x:v>Flujo explícito; afecta caja y cálculo fiscal durante su vigencia.</x:v>
      </x:c>
      <x:c r="R86" s="16" t="str">
        <x:v>expense</x:v>
      </x:c>
      <x:c r="S86" s="16" t="str">
        <x:v>15</x:v>
      </x:c>
    </x:row>
    <x:row r="87" ht="34" customHeight="1">
      <x:c r="A87" s="17" t="str">
        <x:v>e082</x:v>
      </x:c>
      <x:c r="B87" s="17" t="str">
        <x:v>infraestructura_vial</x:v>
      </x:c>
      <x:c r="C87" s="17" t="str">
        <x:v>ledger</x:v>
      </x:c>
      <x:c r="D87" s="17" t="str">
        <x:v>expense_once</x:v>
      </x:c>
      <x:c r="E87" s="17" t="n">
        <x:v>400</x:v>
      </x:c>
      <x:c r="F87" s="17" t="str">
        <x:v>+</x:v>
      </x:c>
      <x:c r="G87" s="17" t="str">
        <x:v>flow</x:v>
      </x:c>
      <x:c r="H87" s="17" t="str">
        <x:v>execute</x:v>
      </x:c>
      <x:c r="I87" s="19" t="n">
        <x:v>0</x:v>
      </x:c>
      <x:c r="J87" s="19" t="n">
        <x:v>1</x:v>
      </x:c>
      <x:c r="K87" s="17" t="str">
        <x:v>immediate</x:v>
      </x:c>
      <x:c r="L87" s="17" t="str">
        <x:v>true</x:v>
      </x:c>
      <x:c r="M87" s="17" t="str">
        <x:v>ninguna</x:v>
      </x:c>
      <x:c r="N87" s="19" t="n">
        <x:v>0</x:v>
      </x:c>
      <x:c r="O87" s="17" t="str">
        <x:v>sum_distinct_instances</x:v>
      </x:c>
      <x:c r="P87" s="17" t="str">
        <x:v>Ver contrato de target</x:v>
      </x:c>
      <x:c r="Q87" s="17" t="str">
        <x:v>Coste administrativo o programa. No se duplica con la columna fiscal de 04.</x:v>
      </x:c>
      <x:c r="R87" s="17" t="str">
        <x:v>expense</x:v>
      </x:c>
      <x:c r="S87" s="17" t="str">
        <x:v>400</x:v>
      </x:c>
    </x:row>
    <x:row r="88" ht="34" customHeight="1">
      <x:c r="A88" s="16" t="str">
        <x:v>e083</x:v>
      </x:c>
      <x:c r="B88" s="16" t="str">
        <x:v>infraestructura_vial</x:v>
      </x:c>
      <x:c r="C88" s="16" t="str">
        <x:v>indicator</x:v>
      </x:c>
      <x:c r="D88" s="16" t="str">
        <x:v>actividad</x:v>
      </x:c>
      <x:c r="E88" s="16" t="n">
        <x:v>2</x:v>
      </x:c>
      <x:c r="F88" s="16" t="str">
        <x:v>+</x:v>
      </x:c>
      <x:c r="G88" s="16" t="str">
        <x:v>offset</x:v>
      </x:c>
      <x:c r="H88" s="16" t="str">
        <x:v>close</x:v>
      </x:c>
      <x:c r="I88" s="18" t="n">
        <x:v>0</x:v>
      </x:c>
      <x:c r="J88" s="18" t="n">
        <x:v>2</x:v>
      </x:c>
      <x:c r="K88" s="16" t="str">
        <x:v>persistent</x:v>
      </x:c>
      <x:c r="L88" s="16" t="str">
        <x:v>true</x:v>
      </x:c>
      <x:c r="M88" s="16" t="str">
        <x:v>ninguna</x:v>
      </x:c>
      <x:c r="N88" s="18" t="n">
        <x:v>0</x:v>
      </x:c>
      <x:c r="O88" s="16" t="str">
        <x:v>reject_active</x:v>
      </x:c>
      <x:c r="P88" s="16" t="str">
        <x:v>0..100; cap de cambio ±12 salvo expiraciones</x:v>
      </x:c>
      <x:c r="Q88" s="16" t="str">
        <x:v>Variación de resultado; no altera directamente satisfacción ni voto.</x:v>
      </x:c>
      <x:c r="R88" s="16" t="str">
        <x:v>n.a.</x:v>
      </x:c>
      <x:c r="S88" s="16" t="str">
        <x:v>2</x:v>
      </x:c>
    </x:row>
    <x:row r="89" ht="34" customHeight="1">
      <x:c r="A89" s="17" t="str">
        <x:v>e084</x:v>
      </x:c>
      <x:c r="B89" s="17" t="str">
        <x:v>infraestructura_vial</x:v>
      </x:c>
      <x:c r="C89" s="17" t="str">
        <x:v>indicator</x:v>
      </x:c>
      <x:c r="D89" s="17" t="str">
        <x:v>infraestructura</x:v>
      </x:c>
      <x:c r="E89" s="17" t="n">
        <x:v>6</x:v>
      </x:c>
      <x:c r="F89" s="17" t="str">
        <x:v>+</x:v>
      </x:c>
      <x:c r="G89" s="17" t="str">
        <x:v>pulse</x:v>
      </x:c>
      <x:c r="H89" s="17" t="str">
        <x:v>close</x:v>
      </x:c>
      <x:c r="I89" s="19" t="n">
        <x:v>2</x:v>
      </x:c>
      <x:c r="J89" s="19" t="n">
        <x:v>1</x:v>
      </x:c>
      <x:c r="K89" s="17" t="str">
        <x:v>delayed</x:v>
      </x:c>
      <x:c r="L89" s="17" t="str">
        <x:v>true</x:v>
      </x:c>
      <x:c r="M89" s="17" t="str">
        <x:v>ninguna</x:v>
      </x:c>
      <x:c r="N89" s="19" t="n">
        <x:v>0</x:v>
      </x:c>
      <x:c r="O89" s="17" t="str">
        <x:v>sum_distinct_instances</x:v>
      </x:c>
      <x:c r="P89" s="17" t="str">
        <x:v>0..100; cap de cambio ±12 salvo expiraciones</x:v>
      </x:c>
      <x:c r="Q89" s="17" t="str">
        <x:v>Variación de resultado; no altera directamente satisfacción ni voto.</x:v>
      </x:c>
      <x:c r="R89" s="17" t="str">
        <x:v>n.a.</x:v>
      </x:c>
      <x:c r="S89" s="17" t="str">
        <x:v>6</x:v>
      </x:c>
    </x:row>
    <x:row r="90" ht="34" customHeight="1">
      <x:c r="A90" s="16" t="str">
        <x:v>e085</x:v>
      </x:c>
      <x:c r="B90" s="16" t="str">
        <x:v>infraestructura_vial</x:v>
      </x:c>
      <x:c r="C90" s="16" t="str">
        <x:v>indicator</x:v>
      </x:c>
      <x:c r="D90" s="16" t="str">
        <x:v>externo</x:v>
      </x:c>
      <x:c r="E90" s="16" t="n">
        <x:v>3</x:v>
      </x:c>
      <x:c r="F90" s="16" t="str">
        <x:v>+</x:v>
      </x:c>
      <x:c r="G90" s="16" t="str">
        <x:v>pulse</x:v>
      </x:c>
      <x:c r="H90" s="16" t="str">
        <x:v>close</x:v>
      </x:c>
      <x:c r="I90" s="18" t="n">
        <x:v>3</x:v>
      </x:c>
      <x:c r="J90" s="18" t="n">
        <x:v>1</x:v>
      </x:c>
      <x:c r="K90" s="16" t="str">
        <x:v>delayed</x:v>
      </x:c>
      <x:c r="L90" s="16" t="str">
        <x:v>true</x:v>
      </x:c>
      <x:c r="M90" s="16" t="str">
        <x:v>ninguna</x:v>
      </x:c>
      <x:c r="N90" s="18" t="n">
        <x:v>0</x:v>
      </x:c>
      <x:c r="O90" s="16" t="str">
        <x:v>sum_distinct_instances</x:v>
      </x:c>
      <x:c r="P90" s="16" t="str">
        <x:v>0..100; cap de cambio ±12 salvo expiraciones</x:v>
      </x:c>
      <x:c r="Q90" s="16" t="str">
        <x:v>Variación de resultado; no altera directamente satisfacción ni voto.</x:v>
      </x:c>
      <x:c r="R90" s="16" t="str">
        <x:v>n.a.</x:v>
      </x:c>
      <x:c r="S90" s="16" t="str">
        <x:v>3</x:v>
      </x:c>
    </x:row>
    <x:row r="91" ht="34" customHeight="1">
      <x:c r="A91" s="17" t="str">
        <x:v>e086</x:v>
      </x:c>
      <x:c r="B91" s="17" t="str">
        <x:v>infraestructura_vial</x:v>
      </x:c>
      <x:c r="C91" s="17" t="str">
        <x:v>indicator</x:v>
      </x:c>
      <x:c r="D91" s="17" t="str">
        <x:v>ambiente</x:v>
      </x:c>
      <x:c r="E91" s="17" t="n">
        <x:v>-2</x:v>
      </x:c>
      <x:c r="F91" s="17" t="str">
        <x:v>-</x:v>
      </x:c>
      <x:c r="G91" s="17" t="str">
        <x:v>pulse</x:v>
      </x:c>
      <x:c r="H91" s="17" t="str">
        <x:v>close</x:v>
      </x:c>
      <x:c r="I91" s="19" t="n">
        <x:v>2</x:v>
      </x:c>
      <x:c r="J91" s="19" t="n">
        <x:v>1</x:v>
      </x:c>
      <x:c r="K91" s="17" t="str">
        <x:v>delayed</x:v>
      </x:c>
      <x:c r="L91" s="17" t="str">
        <x:v>true</x:v>
      </x:c>
      <x:c r="M91" s="17" t="str">
        <x:v>ninguna</x:v>
      </x:c>
      <x:c r="N91" s="19" t="n">
        <x:v>0</x:v>
      </x:c>
      <x:c r="O91" s="17" t="str">
        <x:v>sum_distinct_instances</x:v>
      </x:c>
      <x:c r="P91" s="17" t="str">
        <x:v>0..100; cap de cambio ±12 salvo expiraciones</x:v>
      </x:c>
      <x:c r="Q91" s="17" t="str">
        <x:v>Variación de resultado; no altera directamente satisfacción ni voto.</x:v>
      </x:c>
      <x:c r="R91" s="17" t="str">
        <x:v>n.a.</x:v>
      </x:c>
      <x:c r="S91" s="17" t="str">
        <x:v>-2</x:v>
      </x:c>
    </x:row>
    <x:row r="92" ht="34" customHeight="1">
      <x:c r="A92" s="16" t="str">
        <x:v>e087</x:v>
      </x:c>
      <x:c r="B92" s="16" t="str">
        <x:v>infraestructura_vial</x:v>
      </x:c>
      <x:c r="C92" s="16" t="str">
        <x:v>ledger</x:v>
      </x:c>
      <x:c r="D92" s="16" t="str">
        <x:v>expense_recurring</x:v>
      </x:c>
      <x:c r="E92" s="16" t="n">
        <x:v>30</x:v>
      </x:c>
      <x:c r="F92" s="16" t="str">
        <x:v>+</x:v>
      </x:c>
      <x:c r="G92" s="16" t="str">
        <x:v>flow</x:v>
      </x:c>
      <x:c r="H92" s="16" t="str">
        <x:v>close</x:v>
      </x:c>
      <x:c r="I92" s="18" t="n">
        <x:v>3</x:v>
      </x:c>
      <x:c r="J92" s="18" t="n">
        <x:v>0</x:v>
      </x:c>
      <x:c r="K92" s="16" t="str">
        <x:v>delayed</x:v>
      </x:c>
      <x:c r="L92" s="16" t="str">
        <x:v>true</x:v>
      </x:c>
      <x:c r="M92" s="16" t="str">
        <x:v>ninguna</x:v>
      </x:c>
      <x:c r="N92" s="18" t="n">
        <x:v>0</x:v>
      </x:c>
      <x:c r="O92" s="16" t="str">
        <x:v>sum_distinct_instances</x:v>
      </x:c>
      <x:c r="P92" s="16" t="str">
        <x:v>Ver contrato de target</x:v>
      </x:c>
      <x:c r="Q92" s="16" t="str">
        <x:v>Flujo explícito; afecta caja y cálculo fiscal durante su vigencia.</x:v>
      </x:c>
      <x:c r="R92" s="16" t="str">
        <x:v>expense</x:v>
      </x:c>
      <x:c r="S92" s="16" t="str">
        <x:v>30</x:v>
      </x:c>
    </x:row>
    <x:row r="93" ht="34" customHeight="1">
      <x:c r="A93" s="17" t="str">
        <x:v>e088</x:v>
      </x:c>
      <x:c r="B93" s="17" t="str">
        <x:v>plan_hidrico</x:v>
      </x:c>
      <x:c r="C93" s="17" t="str">
        <x:v>ledger</x:v>
      </x:c>
      <x:c r="D93" s="17" t="str">
        <x:v>expense_once</x:v>
      </x:c>
      <x:c r="E93" s="17" t="n">
        <x:v>320</x:v>
      </x:c>
      <x:c r="F93" s="17" t="str">
        <x:v>+</x:v>
      </x:c>
      <x:c r="G93" s="17" t="str">
        <x:v>flow</x:v>
      </x:c>
      <x:c r="H93" s="17" t="str">
        <x:v>execute</x:v>
      </x:c>
      <x:c r="I93" s="19" t="n">
        <x:v>0</x:v>
      </x:c>
      <x:c r="J93" s="19" t="n">
        <x:v>1</x:v>
      </x:c>
      <x:c r="K93" s="17" t="str">
        <x:v>immediate</x:v>
      </x:c>
      <x:c r="L93" s="17" t="str">
        <x:v>true</x:v>
      </x:c>
      <x:c r="M93" s="17" t="str">
        <x:v>ninguna</x:v>
      </x:c>
      <x:c r="N93" s="19" t="n">
        <x:v>0</x:v>
      </x:c>
      <x:c r="O93" s="17" t="str">
        <x:v>sum_distinct_instances</x:v>
      </x:c>
      <x:c r="P93" s="17" t="str">
        <x:v>Ver contrato de target</x:v>
      </x:c>
      <x:c r="Q93" s="17" t="str">
        <x:v>Coste administrativo o programa. No se duplica con la columna fiscal de 04.</x:v>
      </x:c>
      <x:c r="R93" s="17" t="str">
        <x:v>expense</x:v>
      </x:c>
      <x:c r="S93" s="17" t="str">
        <x:v>320</x:v>
      </x:c>
    </x:row>
    <x:row r="94" ht="34" customHeight="1">
      <x:c r="A94" s="16" t="str">
        <x:v>e089</x:v>
      </x:c>
      <x:c r="B94" s="16" t="str">
        <x:v>plan_hidrico</x:v>
      </x:c>
      <x:c r="C94" s="16" t="str">
        <x:v>indicator</x:v>
      </x:c>
      <x:c r="D94" s="16" t="str">
        <x:v>infraestructura</x:v>
      </x:c>
      <x:c r="E94" s="16" t="n">
        <x:v>3</x:v>
      </x:c>
      <x:c r="F94" s="16" t="str">
        <x:v>+</x:v>
      </x:c>
      <x:c r="G94" s="16" t="str">
        <x:v>pulse</x:v>
      </x:c>
      <x:c r="H94" s="16" t="str">
        <x:v>close</x:v>
      </x:c>
      <x:c r="I94" s="18" t="n">
        <x:v>2</x:v>
      </x:c>
      <x:c r="J94" s="18" t="n">
        <x:v>1</x:v>
      </x:c>
      <x:c r="K94" s="16" t="str">
        <x:v>delayed</x:v>
      </x:c>
      <x:c r="L94" s="16" t="str">
        <x:v>true</x:v>
      </x:c>
      <x:c r="M94" s="16" t="str">
        <x:v>ninguna</x:v>
      </x:c>
      <x:c r="N94" s="18" t="n">
        <x:v>0</x:v>
      </x:c>
      <x:c r="O94" s="16" t="str">
        <x:v>sum_distinct_instances</x:v>
      </x:c>
      <x:c r="P94" s="16" t="str">
        <x:v>0..100; cap de cambio ±12 salvo expiraciones</x:v>
      </x:c>
      <x:c r="Q94" s="16" t="str">
        <x:v>Variación de resultado; no altera directamente satisfacción ni voto.</x:v>
      </x:c>
      <x:c r="R94" s="16" t="str">
        <x:v>n.a.</x:v>
      </x:c>
      <x:c r="S94" s="16" t="str">
        <x:v>3</x:v>
      </x:c>
    </x:row>
    <x:row r="95" ht="34" customHeight="1">
      <x:c r="A95" s="17" t="str">
        <x:v>e090</x:v>
      </x:c>
      <x:c r="B95" s="17" t="str">
        <x:v>plan_hidrico</x:v>
      </x:c>
      <x:c r="C95" s="17" t="str">
        <x:v>indicator</x:v>
      </x:c>
      <x:c r="D95" s="17" t="str">
        <x:v>salud</x:v>
      </x:c>
      <x:c r="E95" s="17" t="n">
        <x:v>3</x:v>
      </x:c>
      <x:c r="F95" s="17" t="str">
        <x:v>+</x:v>
      </x:c>
      <x:c r="G95" s="17" t="str">
        <x:v>pulse</x:v>
      </x:c>
      <x:c r="H95" s="17" t="str">
        <x:v>close</x:v>
      </x:c>
      <x:c r="I95" s="19" t="n">
        <x:v>2</x:v>
      </x:c>
      <x:c r="J95" s="19" t="n">
        <x:v>1</x:v>
      </x:c>
      <x:c r="K95" s="17" t="str">
        <x:v>delayed</x:v>
      </x:c>
      <x:c r="L95" s="17" t="str">
        <x:v>true</x:v>
      </x:c>
      <x:c r="M95" s="17" t="str">
        <x:v>ninguna</x:v>
      </x:c>
      <x:c r="N95" s="19" t="n">
        <x:v>0</x:v>
      </x:c>
      <x:c r="O95" s="17" t="str">
        <x:v>sum_distinct_instances</x:v>
      </x:c>
      <x:c r="P95" s="17" t="str">
        <x:v>0..100; cap de cambio ±12 salvo expiraciones</x:v>
      </x:c>
      <x:c r="Q95" s="17" t="str">
        <x:v>Variación de resultado; no altera directamente satisfacción ni voto.</x:v>
      </x:c>
      <x:c r="R95" s="17" t="str">
        <x:v>n.a.</x:v>
      </x:c>
      <x:c r="S95" s="17" t="str">
        <x:v>3</x:v>
      </x:c>
    </x:row>
    <x:row r="96" ht="34" customHeight="1">
      <x:c r="A96" s="16" t="str">
        <x:v>e091</x:v>
      </x:c>
      <x:c r="B96" s="16" t="str">
        <x:v>plan_hidrico</x:v>
      </x:c>
      <x:c r="C96" s="16" t="str">
        <x:v>indicator</x:v>
      </x:c>
      <x:c r="D96" s="16" t="str">
        <x:v>ambiente</x:v>
      </x:c>
      <x:c r="E96" s="16" t="n">
        <x:v>3</x:v>
      </x:c>
      <x:c r="F96" s="16" t="str">
        <x:v>+</x:v>
      </x:c>
      <x:c r="G96" s="16" t="str">
        <x:v>pulse</x:v>
      </x:c>
      <x:c r="H96" s="16" t="str">
        <x:v>close</x:v>
      </x:c>
      <x:c r="I96" s="18" t="n">
        <x:v>3</x:v>
      </x:c>
      <x:c r="J96" s="18" t="n">
        <x:v>1</x:v>
      </x:c>
      <x:c r="K96" s="16" t="str">
        <x:v>delayed</x:v>
      </x:c>
      <x:c r="L96" s="16" t="str">
        <x:v>true</x:v>
      </x:c>
      <x:c r="M96" s="16" t="str">
        <x:v>ninguna</x:v>
      </x:c>
      <x:c r="N96" s="18" t="n">
        <x:v>0</x:v>
      </x:c>
      <x:c r="O96" s="16" t="str">
        <x:v>sum_distinct_instances</x:v>
      </x:c>
      <x:c r="P96" s="16" t="str">
        <x:v>0..100; cap de cambio ±12 salvo expiraciones</x:v>
      </x:c>
      <x:c r="Q96" s="16" t="str">
        <x:v>Variación de resultado; no altera directamente satisfacción ni voto.</x:v>
      </x:c>
      <x:c r="R96" s="16" t="str">
        <x:v>n.a.</x:v>
      </x:c>
      <x:c r="S96" s="16" t="str">
        <x:v>3</x:v>
      </x:c>
    </x:row>
    <x:row r="97" ht="34" customHeight="1">
      <x:c r="A97" s="17" t="str">
        <x:v>e092</x:v>
      </x:c>
      <x:c r="B97" s="17" t="str">
        <x:v>plan_hidrico</x:v>
      </x:c>
      <x:c r="C97" s="17" t="str">
        <x:v>ledger</x:v>
      </x:c>
      <x:c r="D97" s="17" t="str">
        <x:v>expense_recurring</x:v>
      </x:c>
      <x:c r="E97" s="17" t="n">
        <x:v>25</x:v>
      </x:c>
      <x:c r="F97" s="17" t="str">
        <x:v>+</x:v>
      </x:c>
      <x:c r="G97" s="17" t="str">
        <x:v>flow</x:v>
      </x:c>
      <x:c r="H97" s="17" t="str">
        <x:v>close</x:v>
      </x:c>
      <x:c r="I97" s="19" t="n">
        <x:v>2</x:v>
      </x:c>
      <x:c r="J97" s="19" t="n">
        <x:v>0</x:v>
      </x:c>
      <x:c r="K97" s="17" t="str">
        <x:v>delayed</x:v>
      </x:c>
      <x:c r="L97" s="17" t="str">
        <x:v>true</x:v>
      </x:c>
      <x:c r="M97" s="17" t="str">
        <x:v>ninguna</x:v>
      </x:c>
      <x:c r="N97" s="19" t="n">
        <x:v>0</x:v>
      </x:c>
      <x:c r="O97" s="17" t="str">
        <x:v>sum_distinct_instances</x:v>
      </x:c>
      <x:c r="P97" s="17" t="str">
        <x:v>Ver contrato de target</x:v>
      </x:c>
      <x:c r="Q97" s="17" t="str">
        <x:v>Flujo explícito; afecta caja y cálculo fiscal durante su vigencia.</x:v>
      </x:c>
      <x:c r="R97" s="17" t="str">
        <x:v>expense</x:v>
      </x:c>
      <x:c r="S97" s="17" t="str">
        <x:v>25</x:v>
      </x:c>
    </x:row>
    <x:row r="98" ht="34" customHeight="1">
      <x:c r="A98" s="16" t="str">
        <x:v>e093</x:v>
      </x:c>
      <x:c r="B98" s="16" t="str">
        <x:v>red_gas</x:v>
      </x:c>
      <x:c r="C98" s="16" t="str">
        <x:v>ledger</x:v>
      </x:c>
      <x:c r="D98" s="16" t="str">
        <x:v>expense_once</x:v>
      </x:c>
      <x:c r="E98" s="16" t="n">
        <x:v>340</x:v>
      </x:c>
      <x:c r="F98" s="16" t="str">
        <x:v>+</x:v>
      </x:c>
      <x:c r="G98" s="16" t="str">
        <x:v>flow</x:v>
      </x:c>
      <x:c r="H98" s="16" t="str">
        <x:v>execute</x:v>
      </x:c>
      <x:c r="I98" s="18" t="n">
        <x:v>0</x:v>
      </x:c>
      <x:c r="J98" s="18" t="n">
        <x:v>1</x:v>
      </x:c>
      <x:c r="K98" s="16" t="str">
        <x:v>immediate</x:v>
      </x:c>
      <x:c r="L98" s="16" t="str">
        <x:v>true</x:v>
      </x:c>
      <x:c r="M98" s="16" t="str">
        <x:v>ninguna</x:v>
      </x:c>
      <x:c r="N98" s="18" t="n">
        <x:v>0</x:v>
      </x:c>
      <x:c r="O98" s="16" t="str">
        <x:v>sum_distinct_instances</x:v>
      </x:c>
      <x:c r="P98" s="16" t="str">
        <x:v>Ver contrato de target</x:v>
      </x:c>
      <x:c r="Q98" s="16" t="str">
        <x:v>Coste administrativo o programa. No se duplica con la columna fiscal de 04.</x:v>
      </x:c>
      <x:c r="R98" s="16" t="str">
        <x:v>expense</x:v>
      </x:c>
      <x:c r="S98" s="16" t="str">
        <x:v>340</x:v>
      </x:c>
    </x:row>
    <x:row r="99" ht="34" customHeight="1">
      <x:c r="A99" s="17" t="str">
        <x:v>e094</x:v>
      </x:c>
      <x:c r="B99" s="17" t="str">
        <x:v>red_gas</x:v>
      </x:c>
      <x:c r="C99" s="17" t="str">
        <x:v>indicator</x:v>
      </x:c>
      <x:c r="D99" s="17" t="str">
        <x:v>infraestructura</x:v>
      </x:c>
      <x:c r="E99" s="17" t="n">
        <x:v>6</x:v>
      </x:c>
      <x:c r="F99" s="17" t="str">
        <x:v>+</x:v>
      </x:c>
      <x:c r="G99" s="17" t="str">
        <x:v>pulse</x:v>
      </x:c>
      <x:c r="H99" s="17" t="str">
        <x:v>close</x:v>
      </x:c>
      <x:c r="I99" s="19" t="n">
        <x:v>2</x:v>
      </x:c>
      <x:c r="J99" s="19" t="n">
        <x:v>1</x:v>
      </x:c>
      <x:c r="K99" s="17" t="str">
        <x:v>delayed</x:v>
      </x:c>
      <x:c r="L99" s="17" t="str">
        <x:v>true</x:v>
      </x:c>
      <x:c r="M99" s="17" t="str">
        <x:v>ninguna</x:v>
      </x:c>
      <x:c r="N99" s="19" t="n">
        <x:v>0</x:v>
      </x:c>
      <x:c r="O99" s="17" t="str">
        <x:v>sum_distinct_instances</x:v>
      </x:c>
      <x:c r="P99" s="17" t="str">
        <x:v>0..100; cap de cambio ±12 salvo expiraciones</x:v>
      </x:c>
      <x:c r="Q99" s="17" t="str">
        <x:v>Variación de resultado; no altera directamente satisfacción ni voto.</x:v>
      </x:c>
      <x:c r="R99" s="17" t="str">
        <x:v>n.a.</x:v>
      </x:c>
      <x:c r="S99" s="17" t="str">
        <x:v>6</x:v>
      </x:c>
    </x:row>
    <x:row r="100" ht="34" customHeight="1">
      <x:c r="A100" s="16" t="str">
        <x:v>e095</x:v>
      </x:c>
      <x:c r="B100" s="16" t="str">
        <x:v>red_gas</x:v>
      </x:c>
      <x:c r="C100" s="16" t="str">
        <x:v>indicator</x:v>
      </x:c>
      <x:c r="D100" s="16" t="str">
        <x:v>ambiente</x:v>
      </x:c>
      <x:c r="E100" s="16" t="n">
        <x:v>-3</x:v>
      </x:c>
      <x:c r="F100" s="16" t="str">
        <x:v>-</x:v>
      </x:c>
      <x:c r="G100" s="16" t="str">
        <x:v>pulse</x:v>
      </x:c>
      <x:c r="H100" s="16" t="str">
        <x:v>close</x:v>
      </x:c>
      <x:c r="I100" s="18" t="n">
        <x:v>2</x:v>
      </x:c>
      <x:c r="J100" s="18" t="n">
        <x:v>1</x:v>
      </x:c>
      <x:c r="K100" s="16" t="str">
        <x:v>delayed</x:v>
      </x:c>
      <x:c r="L100" s="16" t="str">
        <x:v>true</x:v>
      </x:c>
      <x:c r="M100" s="16" t="str">
        <x:v>ninguna</x:v>
      </x:c>
      <x:c r="N100" s="18" t="n">
        <x:v>0</x:v>
      </x:c>
      <x:c r="O100" s="16" t="str">
        <x:v>sum_distinct_instances</x:v>
      </x:c>
      <x:c r="P100" s="16" t="str">
        <x:v>0..100; cap de cambio ±12 salvo expiraciones</x:v>
      </x:c>
      <x:c r="Q100" s="16" t="str">
        <x:v>Variación de resultado; no altera directamente satisfacción ni voto.</x:v>
      </x:c>
      <x:c r="R100" s="16" t="str">
        <x:v>n.a.</x:v>
      </x:c>
      <x:c r="S100" s="16" t="str">
        <x:v>-3</x:v>
      </x:c>
    </x:row>
    <x:row r="101" ht="34" customHeight="1">
      <x:c r="A101" s="17" t="str">
        <x:v>e096</x:v>
      </x:c>
      <x:c r="B101" s="17" t="str">
        <x:v>red_gas</x:v>
      </x:c>
      <x:c r="C101" s="17" t="str">
        <x:v>indicator</x:v>
      </x:c>
      <x:c r="D101" s="17" t="str">
        <x:v>externo</x:v>
      </x:c>
      <x:c r="E101" s="17" t="n">
        <x:v>2</x:v>
      </x:c>
      <x:c r="F101" s="17" t="str">
        <x:v>+</x:v>
      </x:c>
      <x:c r="G101" s="17" t="str">
        <x:v>pulse</x:v>
      </x:c>
      <x:c r="H101" s="17" t="str">
        <x:v>close</x:v>
      </x:c>
      <x:c r="I101" s="19" t="n">
        <x:v>3</x:v>
      </x:c>
      <x:c r="J101" s="19" t="n">
        <x:v>1</x:v>
      </x:c>
      <x:c r="K101" s="17" t="str">
        <x:v>delayed</x:v>
      </x:c>
      <x:c r="L101" s="17" t="str">
        <x:v>true</x:v>
      </x:c>
      <x:c r="M101" s="17" t="str">
        <x:v>ninguna</x:v>
      </x:c>
      <x:c r="N101" s="19" t="n">
        <x:v>0</x:v>
      </x:c>
      <x:c r="O101" s="17" t="str">
        <x:v>sum_distinct_instances</x:v>
      </x:c>
      <x:c r="P101" s="17" t="str">
        <x:v>0..100; cap de cambio ±12 salvo expiraciones</x:v>
      </x:c>
      <x:c r="Q101" s="17" t="str">
        <x:v>Variación de resultado; no altera directamente satisfacción ni voto.</x:v>
      </x:c>
      <x:c r="R101" s="17" t="str">
        <x:v>n.a.</x:v>
      </x:c>
      <x:c r="S101" s="17" t="str">
        <x:v>2</x:v>
      </x:c>
    </x:row>
    <x:row r="102" ht="34" customHeight="1">
      <x:c r="A102" s="16" t="str">
        <x:v>e097</x:v>
      </x:c>
      <x:c r="B102" s="16" t="str">
        <x:v>red_gas</x:v>
      </x:c>
      <x:c r="C102" s="16" t="str">
        <x:v>ledger</x:v>
      </x:c>
      <x:c r="D102" s="16" t="str">
        <x:v>expense_recurring</x:v>
      </x:c>
      <x:c r="E102" s="16" t="n">
        <x:v>25</x:v>
      </x:c>
      <x:c r="F102" s="16" t="str">
        <x:v>+</x:v>
      </x:c>
      <x:c r="G102" s="16" t="str">
        <x:v>flow</x:v>
      </x:c>
      <x:c r="H102" s="16" t="str">
        <x:v>close</x:v>
      </x:c>
      <x:c r="I102" s="18" t="n">
        <x:v>2</x:v>
      </x:c>
      <x:c r="J102" s="18" t="n">
        <x:v>0</x:v>
      </x:c>
      <x:c r="K102" s="16" t="str">
        <x:v>delayed</x:v>
      </x:c>
      <x:c r="L102" s="16" t="str">
        <x:v>true</x:v>
      </x:c>
      <x:c r="M102" s="16" t="str">
        <x:v>ninguna</x:v>
      </x:c>
      <x:c r="N102" s="18" t="n">
        <x:v>0</x:v>
      </x:c>
      <x:c r="O102" s="16" t="str">
        <x:v>sum_distinct_instances</x:v>
      </x:c>
      <x:c r="P102" s="16" t="str">
        <x:v>Ver contrato de target</x:v>
      </x:c>
      <x:c r="Q102" s="16" t="str">
        <x:v>Flujo explícito; afecta caja y cálculo fiscal durante su vigencia.</x:v>
      </x:c>
      <x:c r="R102" s="16" t="str">
        <x:v>expense</x:v>
      </x:c>
      <x:c r="S102" s="16" t="str">
        <x:v>25</x:v>
      </x:c>
    </x:row>
    <x:row r="103" ht="34" customHeight="1">
      <x:c r="A103" s="17" t="str">
        <x:v>e098</x:v>
      </x:c>
      <x:c r="B103" s="17" t="str">
        <x:v>estudio_factibilidad</x:v>
      </x:c>
      <x:c r="C103" s="17" t="str">
        <x:v>ledger</x:v>
      </x:c>
      <x:c r="D103" s="17" t="str">
        <x:v>expense_once</x:v>
      </x:c>
      <x:c r="E103" s="17" t="n">
        <x:v>60</x:v>
      </x:c>
      <x:c r="F103" s="17" t="str">
        <x:v>+</x:v>
      </x:c>
      <x:c r="G103" s="17" t="str">
        <x:v>flow</x:v>
      </x:c>
      <x:c r="H103" s="17" t="str">
        <x:v>execute</x:v>
      </x:c>
      <x:c r="I103" s="19" t="n">
        <x:v>0</x:v>
      </x:c>
      <x:c r="J103" s="19" t="n">
        <x:v>1</x:v>
      </x:c>
      <x:c r="K103" s="17" t="str">
        <x:v>immediate</x:v>
      </x:c>
      <x:c r="L103" s="17" t="str">
        <x:v>true</x:v>
      </x:c>
      <x:c r="M103" s="17" t="str">
        <x:v>ninguna</x:v>
      </x:c>
      <x:c r="N103" s="19" t="n">
        <x:v>0</x:v>
      </x:c>
      <x:c r="O103" s="17" t="str">
        <x:v>sum_distinct_instances</x:v>
      </x:c>
      <x:c r="P103" s="17" t="str">
        <x:v>Ver contrato de target</x:v>
      </x:c>
      <x:c r="Q103" s="17" t="str">
        <x:v>Coste administrativo o programa. No se duplica con la columna fiscal de 04.</x:v>
      </x:c>
      <x:c r="R103" s="17" t="str">
        <x:v>expense</x:v>
      </x:c>
      <x:c r="S103" s="17" t="str">
        <x:v>60</x:v>
      </x:c>
    </x:row>
    <x:row r="104" ht="34" customHeight="1">
      <x:c r="A104" s="16" t="str">
        <x:v>e099</x:v>
      </x:c>
      <x:c r="B104" s="16" t="str">
        <x:v>estudio_factibilidad</x:v>
      </x:c>
      <x:c r="C104" s="16" t="str">
        <x:v>token</x:v>
      </x:c>
      <x:c r="D104" s="16" t="str">
        <x:v>study.projectId</x:v>
      </x:c>
      <x:c r="E104" s="16" t="n">
        <x:v>1</x:v>
      </x:c>
      <x:c r="F104" s="16" t="str">
        <x:v>+</x:v>
      </x:c>
      <x:c r="G104" s="16" t="str">
        <x:v>grant</x:v>
      </x:c>
      <x:c r="H104" s="16" t="str">
        <x:v>close</x:v>
      </x:c>
      <x:c r="I104" s="18" t="n">
        <x:v>1</x:v>
      </x:c>
      <x:c r="J104" s="18" t="n">
        <x:v>6</x:v>
      </x:c>
      <x:c r="K104" s="16" t="str">
        <x:v>delayed+persistent</x:v>
      </x:c>
      <x:c r="L104" s="16" t="str">
        <x:v>true</x:v>
      </x:c>
      <x:c r="M104" s="16" t="str">
        <x:v>ninguna</x:v>
      </x:c>
      <x:c r="N104" s="18" t="n">
        <x:v>0</x:v>
      </x:c>
      <x:c r="O104" s="16" t="str">
        <x:v>one_per_project</x:v>
      </x:c>
      <x:c r="P104" s="16" t="str">
        <x:v>Ver contrato de target</x:v>
      </x:c>
      <x:c r="Q104" s="16" t="str">
        <x:v>Elegir projectId al ejecutar. Válido t+1..t+6; se consume al iniciar esa obra.</x:v>
      </x:c>
      <x:c r="R104" s="16" t="str">
        <x:v>n.a.</x:v>
      </x:c>
      <x:c r="S104" s="16" t="str">
        <x:v>1</x:v>
      </x:c>
    </x:row>
    <x:row r="105" ht="34" customHeight="1">
      <x:c r="A105" s="17" t="str">
        <x:v>e100</x:v>
      </x:c>
      <x:c r="B105" s="17" t="str">
        <x:v>mantenimiento_urbano</x:v>
      </x:c>
      <x:c r="C105" s="17" t="str">
        <x:v>ledger</x:v>
      </x:c>
      <x:c r="D105" s="17" t="str">
        <x:v>expense_once</x:v>
      </x:c>
      <x:c r="E105" s="17" t="n">
        <x:v>140</x:v>
      </x:c>
      <x:c r="F105" s="17" t="str">
        <x:v>+</x:v>
      </x:c>
      <x:c r="G105" s="17" t="str">
        <x:v>flow</x:v>
      </x:c>
      <x:c r="H105" s="17" t="str">
        <x:v>execute</x:v>
      </x:c>
      <x:c r="I105" s="19" t="n">
        <x:v>0</x:v>
      </x:c>
      <x:c r="J105" s="19" t="n">
        <x:v>1</x:v>
      </x:c>
      <x:c r="K105" s="17" t="str">
        <x:v>immediate</x:v>
      </x:c>
      <x:c r="L105" s="17" t="str">
        <x:v>true</x:v>
      </x:c>
      <x:c r="M105" s="17" t="str">
        <x:v>ninguna</x:v>
      </x:c>
      <x:c r="N105" s="19" t="n">
        <x:v>0</x:v>
      </x:c>
      <x:c r="O105" s="17" t="str">
        <x:v>sum_distinct_instances</x:v>
      </x:c>
      <x:c r="P105" s="17" t="str">
        <x:v>Ver contrato de target</x:v>
      </x:c>
      <x:c r="Q105" s="17" t="str">
        <x:v>Coste administrativo o programa. No se duplica con la columna fiscal de 04.</x:v>
      </x:c>
      <x:c r="R105" s="17" t="str">
        <x:v>expense</x:v>
      </x:c>
      <x:c r="S105" s="17" t="str">
        <x:v>140</x:v>
      </x:c>
    </x:row>
    <x:row r="106" ht="34" customHeight="1">
      <x:c r="A106" s="16" t="str">
        <x:v>e101</x:v>
      </x:c>
      <x:c r="B106" s="16" t="str">
        <x:v>mantenimiento_urbano</x:v>
      </x:c>
      <x:c r="C106" s="16" t="str">
        <x:v>indicator</x:v>
      </x:c>
      <x:c r="D106" s="16" t="str">
        <x:v>infraestructura</x:v>
      </x:c>
      <x:c r="E106" s="16" t="n">
        <x:v>4</x:v>
      </x:c>
      <x:c r="F106" s="16" t="str">
        <x:v>+</x:v>
      </x:c>
      <x:c r="G106" s="16" t="str">
        <x:v>pulse</x:v>
      </x:c>
      <x:c r="H106" s="16" t="str">
        <x:v>close</x:v>
      </x:c>
      <x:c r="I106" s="18" t="n">
        <x:v>1</x:v>
      </x:c>
      <x:c r="J106" s="18" t="n">
        <x:v>1</x:v>
      </x:c>
      <x:c r="K106" s="16" t="str">
        <x:v>delayed</x:v>
      </x:c>
      <x:c r="L106" s="16" t="str">
        <x:v>true</x:v>
      </x:c>
      <x:c r="M106" s="16" t="str">
        <x:v>ninguna</x:v>
      </x:c>
      <x:c r="N106" s="18" t="n">
        <x:v>0</x:v>
      </x:c>
      <x:c r="O106" s="16" t="str">
        <x:v>sum_distinct_instances</x:v>
      </x:c>
      <x:c r="P106" s="16" t="str">
        <x:v>0..100; cap de cambio ±12 salvo expiraciones</x:v>
      </x:c>
      <x:c r="Q106" s="16" t="str">
        <x:v>Variación de resultado; no altera directamente satisfacción ni voto.</x:v>
      </x:c>
      <x:c r="R106" s="16" t="str">
        <x:v>n.a.</x:v>
      </x:c>
      <x:c r="S106" s="16" t="str">
        <x:v>4</x:v>
      </x:c>
    </x:row>
    <x:row r="107" ht="34" customHeight="1">
      <x:c r="A107" s="17" t="str">
        <x:v>e102</x:v>
      </x:c>
      <x:c r="B107" s="17" t="str">
        <x:v>tratado_comercio</x:v>
      </x:c>
      <x:c r="C107" s="17" t="str">
        <x:v>ledger</x:v>
      </x:c>
      <x:c r="D107" s="17" t="str">
        <x:v>expense_once</x:v>
      </x:c>
      <x:c r="E107" s="17" t="n">
        <x:v>100</x:v>
      </x:c>
      <x:c r="F107" s="17" t="str">
        <x:v>+</x:v>
      </x:c>
      <x:c r="G107" s="17" t="str">
        <x:v>flow</x:v>
      </x:c>
      <x:c r="H107" s="17" t="str">
        <x:v>execute</x:v>
      </x:c>
      <x:c r="I107" s="19" t="n">
        <x:v>0</x:v>
      </x:c>
      <x:c r="J107" s="19" t="n">
        <x:v>1</x:v>
      </x:c>
      <x:c r="K107" s="17" t="str">
        <x:v>immediate</x:v>
      </x:c>
      <x:c r="L107" s="17" t="str">
        <x:v>true</x:v>
      </x:c>
      <x:c r="M107" s="17" t="str">
        <x:v>ninguna</x:v>
      </x:c>
      <x:c r="N107" s="19" t="n">
        <x:v>0</x:v>
      </x:c>
      <x:c r="O107" s="17" t="str">
        <x:v>sum_distinct_instances</x:v>
      </x:c>
      <x:c r="P107" s="17" t="str">
        <x:v>Ver contrato de target</x:v>
      </x:c>
      <x:c r="Q107" s="17" t="str">
        <x:v>Coste administrativo o programa. No se duplica con la columna fiscal de 04.</x:v>
      </x:c>
      <x:c r="R107" s="17" t="str">
        <x:v>expense</x:v>
      </x:c>
      <x:c r="S107" s="17" t="str">
        <x:v>100</x:v>
      </x:c>
    </x:row>
    <x:row r="108" ht="34" customHeight="1">
      <x:c r="A108" s="16" t="str">
        <x:v>e103</x:v>
      </x:c>
      <x:c r="B108" s="16" t="str">
        <x:v>tratado_comercio</x:v>
      </x:c>
      <x:c r="C108" s="16" t="str">
        <x:v>indicator</x:v>
      </x:c>
      <x:c r="D108" s="16" t="str">
        <x:v>externo</x:v>
      </x:c>
      <x:c r="E108" s="16" t="n">
        <x:v>7</x:v>
      </x:c>
      <x:c r="F108" s="16" t="str">
        <x:v>+</x:v>
      </x:c>
      <x:c r="G108" s="16" t="str">
        <x:v>pulse</x:v>
      </x:c>
      <x:c r="H108" s="16" t="str">
        <x:v>close</x:v>
      </x:c>
      <x:c r="I108" s="18" t="n">
        <x:v>2</x:v>
      </x:c>
      <x:c r="J108" s="18" t="n">
        <x:v>1</x:v>
      </x:c>
      <x:c r="K108" s="16" t="str">
        <x:v>delayed</x:v>
      </x:c>
      <x:c r="L108" s="16" t="str">
        <x:v>true</x:v>
      </x:c>
      <x:c r="M108" s="16" t="str">
        <x:v>ninguna</x:v>
      </x:c>
      <x:c r="N108" s="18" t="n">
        <x:v>0</x:v>
      </x:c>
      <x:c r="O108" s="16" t="str">
        <x:v>sum_distinct_instances</x:v>
      </x:c>
      <x:c r="P108" s="16" t="str">
        <x:v>0..100; cap de cambio ±12 salvo expiraciones</x:v>
      </x:c>
      <x:c r="Q108" s="16" t="str">
        <x:v>Variación de resultado; no altera directamente satisfacción ni voto.</x:v>
      </x:c>
      <x:c r="R108" s="16" t="str">
        <x:v>n.a.</x:v>
      </x:c>
      <x:c r="S108" s="16" t="str">
        <x:v>7</x:v>
      </x:c>
    </x:row>
    <x:row r="109" ht="34" customHeight="1">
      <x:c r="A109" s="17" t="str">
        <x:v>e104</x:v>
      </x:c>
      <x:c r="B109" s="17" t="str">
        <x:v>tratado_comercio</x:v>
      </x:c>
      <x:c r="C109" s="17" t="str">
        <x:v>indicator</x:v>
      </x:c>
      <x:c r="D109" s="17" t="str">
        <x:v>actividad</x:v>
      </x:c>
      <x:c r="E109" s="17" t="n">
        <x:v>-4</x:v>
      </x:c>
      <x:c r="F109" s="17" t="str">
        <x:v>-</x:v>
      </x:c>
      <x:c r="G109" s="17" t="str">
        <x:v>offset</x:v>
      </x:c>
      <x:c r="H109" s="17" t="str">
        <x:v>close</x:v>
      </x:c>
      <x:c r="I109" s="19" t="n">
        <x:v>0</x:v>
      </x:c>
      <x:c r="J109" s="19" t="n">
        <x:v>3</x:v>
      </x:c>
      <x:c r="K109" s="17" t="str">
        <x:v>persistent</x:v>
      </x:c>
      <x:c r="L109" s="17" t="str">
        <x:v>true</x:v>
      </x:c>
      <x:c r="M109" s="17" t="str">
        <x:v>ninguna</x:v>
      </x:c>
      <x:c r="N109" s="19" t="n">
        <x:v>0</x:v>
      </x:c>
      <x:c r="O109" s="17" t="str">
        <x:v>reject_active</x:v>
      </x:c>
      <x:c r="P109" s="17" t="str">
        <x:v>0..100; cap de cambio ±12 salvo expiraciones</x:v>
      </x:c>
      <x:c r="Q109" s="17" t="str">
        <x:v>Variación de resultado; no altera directamente satisfacción ni voto.</x:v>
      </x:c>
      <x:c r="R109" s="17" t="str">
        <x:v>n.a.</x:v>
      </x:c>
      <x:c r="S109" s="17" t="str">
        <x:v>-4</x:v>
      </x:c>
    </x:row>
    <x:row r="110" ht="34" customHeight="1">
      <x:c r="A110" s="16" t="str">
        <x:v>e105</x:v>
      </x:c>
      <x:c r="B110" s="16" t="str">
        <x:v>tratado_comercio</x:v>
      </x:c>
      <x:c r="C110" s="16" t="str">
        <x:v>indicator</x:v>
      </x:c>
      <x:c r="D110" s="16" t="str">
        <x:v>ingreso_real</x:v>
      </x:c>
      <x:c r="E110" s="16" t="n">
        <x:v>2</x:v>
      </x:c>
      <x:c r="F110" s="16" t="str">
        <x:v>+</x:v>
      </x:c>
      <x:c r="G110" s="16" t="str">
        <x:v>pulse</x:v>
      </x:c>
      <x:c r="H110" s="16" t="str">
        <x:v>close</x:v>
      </x:c>
      <x:c r="I110" s="18" t="n">
        <x:v>1</x:v>
      </x:c>
      <x:c r="J110" s="18" t="n">
        <x:v>1</x:v>
      </x:c>
      <x:c r="K110" s="16" t="str">
        <x:v>delayed</x:v>
      </x:c>
      <x:c r="L110" s="16" t="str">
        <x:v>true</x:v>
      </x:c>
      <x:c r="M110" s="16" t="str">
        <x:v>ninguna</x:v>
      </x:c>
      <x:c r="N110" s="18" t="n">
        <x:v>0</x:v>
      </x:c>
      <x:c r="O110" s="16" t="str">
        <x:v>sum_distinct_instances</x:v>
      </x:c>
      <x:c r="P110" s="16" t="str">
        <x:v>0..100; cap de cambio ±12 salvo expiraciones</x:v>
      </x:c>
      <x:c r="Q110" s="16" t="str">
        <x:v>Variación de resultado; no altera directamente satisfacción ni voto.</x:v>
      </x:c>
      <x:c r="R110" s="16" t="str">
        <x:v>n.a.</x:v>
      </x:c>
      <x:c r="S110" s="16" t="str">
        <x:v>2</x:v>
      </x:c>
    </x:row>
    <x:row r="111" ht="34" customHeight="1">
      <x:c r="A111" s="17" t="str">
        <x:v>e106</x:v>
      </x:c>
      <x:c r="B111" s="17" t="str">
        <x:v>cooperacion_internacional</x:v>
      </x:c>
      <x:c r="C111" s="17" t="str">
        <x:v>ledger</x:v>
      </x:c>
      <x:c r="D111" s="17" t="str">
        <x:v>expense_once</x:v>
      </x:c>
      <x:c r="E111" s="17" t="n">
        <x:v>130</x:v>
      </x:c>
      <x:c r="F111" s="17" t="str">
        <x:v>+</x:v>
      </x:c>
      <x:c r="G111" s="17" t="str">
        <x:v>flow</x:v>
      </x:c>
      <x:c r="H111" s="17" t="str">
        <x:v>execute</x:v>
      </x:c>
      <x:c r="I111" s="19" t="n">
        <x:v>0</x:v>
      </x:c>
      <x:c r="J111" s="19" t="n">
        <x:v>1</x:v>
      </x:c>
      <x:c r="K111" s="17" t="str">
        <x:v>immediate</x:v>
      </x:c>
      <x:c r="L111" s="17" t="str">
        <x:v>true</x:v>
      </x:c>
      <x:c r="M111" s="17" t="str">
        <x:v>ninguna</x:v>
      </x:c>
      <x:c r="N111" s="19" t="n">
        <x:v>0</x:v>
      </x:c>
      <x:c r="O111" s="17" t="str">
        <x:v>sum_distinct_instances</x:v>
      </x:c>
      <x:c r="P111" s="17" t="str">
        <x:v>Ver contrato de target</x:v>
      </x:c>
      <x:c r="Q111" s="17" t="str">
        <x:v>Coste administrativo o programa. No se duplica con la columna fiscal de 04.</x:v>
      </x:c>
      <x:c r="R111" s="17" t="str">
        <x:v>expense</x:v>
      </x:c>
      <x:c r="S111" s="17" t="str">
        <x:v>130</x:v>
      </x:c>
    </x:row>
    <x:row r="112" ht="34" customHeight="1">
      <x:c r="A112" s="16" t="str">
        <x:v>e107</x:v>
      </x:c>
      <x:c r="B112" s="16" t="str">
        <x:v>cooperacion_internacional</x:v>
      </x:c>
      <x:c r="C112" s="16" t="str">
        <x:v>indicator</x:v>
      </x:c>
      <x:c r="D112" s="16" t="str">
        <x:v>ciencia</x:v>
      </x:c>
      <x:c r="E112" s="16" t="n">
        <x:v>5</x:v>
      </x:c>
      <x:c r="F112" s="16" t="str">
        <x:v>+</x:v>
      </x:c>
      <x:c r="G112" s="16" t="str">
        <x:v>pulse</x:v>
      </x:c>
      <x:c r="H112" s="16" t="str">
        <x:v>close</x:v>
      </x:c>
      <x:c r="I112" s="18" t="n">
        <x:v>2</x:v>
      </x:c>
      <x:c r="J112" s="18" t="n">
        <x:v>1</x:v>
      </x:c>
      <x:c r="K112" s="16" t="str">
        <x:v>delayed</x:v>
      </x:c>
      <x:c r="L112" s="16" t="str">
        <x:v>true</x:v>
      </x:c>
      <x:c r="M112" s="16" t="str">
        <x:v>ninguna</x:v>
      </x:c>
      <x:c r="N112" s="18" t="n">
        <x:v>0</x:v>
      </x:c>
      <x:c r="O112" s="16" t="str">
        <x:v>sum_distinct_instances</x:v>
      </x:c>
      <x:c r="P112" s="16" t="str">
        <x:v>0..100; cap de cambio ±12 salvo expiraciones</x:v>
      </x:c>
      <x:c r="Q112" s="16" t="str">
        <x:v>Variación de resultado; no altera directamente satisfacción ni voto.</x:v>
      </x:c>
      <x:c r="R112" s="16" t="str">
        <x:v>n.a.</x:v>
      </x:c>
      <x:c r="S112" s="16" t="str">
        <x:v>5</x:v>
      </x:c>
    </x:row>
    <x:row r="113" ht="34" customHeight="1">
      <x:c r="A113" s="17" t="str">
        <x:v>e108</x:v>
      </x:c>
      <x:c r="B113" s="17" t="str">
        <x:v>cooperacion_internacional</x:v>
      </x:c>
      <x:c r="C113" s="17" t="str">
        <x:v>indicator</x:v>
      </x:c>
      <x:c r="D113" s="17" t="str">
        <x:v>educacion</x:v>
      </x:c>
      <x:c r="E113" s="17" t="n">
        <x:v>1</x:v>
      </x:c>
      <x:c r="F113" s="17" t="str">
        <x:v>+</x:v>
      </x:c>
      <x:c r="G113" s="17" t="str">
        <x:v>pulse</x:v>
      </x:c>
      <x:c r="H113" s="17" t="str">
        <x:v>close</x:v>
      </x:c>
      <x:c r="I113" s="19" t="n">
        <x:v>2</x:v>
      </x:c>
      <x:c r="J113" s="19" t="n">
        <x:v>1</x:v>
      </x:c>
      <x:c r="K113" s="17" t="str">
        <x:v>delayed</x:v>
      </x:c>
      <x:c r="L113" s="17" t="str">
        <x:v>true</x:v>
      </x:c>
      <x:c r="M113" s="17" t="str">
        <x:v>ninguna</x:v>
      </x:c>
      <x:c r="N113" s="19" t="n">
        <x:v>0</x:v>
      </x:c>
      <x:c r="O113" s="17" t="str">
        <x:v>sum_distinct_instances</x:v>
      </x:c>
      <x:c r="P113" s="17" t="str">
        <x:v>0..100; cap de cambio ±12 salvo expiraciones</x:v>
      </x:c>
      <x:c r="Q113" s="17" t="str">
        <x:v>Variación de resultado; no altera directamente satisfacción ni voto.</x:v>
      </x:c>
      <x:c r="R113" s="17" t="str">
        <x:v>n.a.</x:v>
      </x:c>
      <x:c r="S113" s="17" t="str">
        <x:v>1</x:v>
      </x:c>
    </x:row>
    <x:row r="114" ht="34" customHeight="1">
      <x:c r="A114" s="16" t="str">
        <x:v>e109</x:v>
      </x:c>
      <x:c r="B114" s="16" t="str">
        <x:v>seguridad_ciudadana</x:v>
      </x:c>
      <x:c r="C114" s="16" t="str">
        <x:v>ledger</x:v>
      </x:c>
      <x:c r="D114" s="16" t="str">
        <x:v>expense_once</x:v>
      </x:c>
      <x:c r="E114" s="16" t="n">
        <x:v>180</x:v>
      </x:c>
      <x:c r="F114" s="16" t="str">
        <x:v>+</x:v>
      </x:c>
      <x:c r="G114" s="16" t="str">
        <x:v>flow</x:v>
      </x:c>
      <x:c r="H114" s="16" t="str">
        <x:v>execute</x:v>
      </x:c>
      <x:c r="I114" s="18" t="n">
        <x:v>0</x:v>
      </x:c>
      <x:c r="J114" s="18" t="n">
        <x:v>1</x:v>
      </x:c>
      <x:c r="K114" s="16" t="str">
        <x:v>immediate</x:v>
      </x:c>
      <x:c r="L114" s="16" t="str">
        <x:v>true</x:v>
      </x:c>
      <x:c r="M114" s="16" t="str">
        <x:v>ninguna</x:v>
      </x:c>
      <x:c r="N114" s="18" t="n">
        <x:v>0</x:v>
      </x:c>
      <x:c r="O114" s="16" t="str">
        <x:v>sum_distinct_instances</x:v>
      </x:c>
      <x:c r="P114" s="16" t="str">
        <x:v>Ver contrato de target</x:v>
      </x:c>
      <x:c r="Q114" s="16" t="str">
        <x:v>Coste administrativo o programa. No se duplica con la columna fiscal de 04.</x:v>
      </x:c>
      <x:c r="R114" s="16" t="str">
        <x:v>expense</x:v>
      </x:c>
      <x:c r="S114" s="16" t="str">
        <x:v>180</x:v>
      </x:c>
    </x:row>
    <x:row r="115" ht="34" customHeight="1">
      <x:c r="A115" s="17" t="str">
        <x:v>e110</x:v>
      </x:c>
      <x:c r="B115" s="17" t="str">
        <x:v>seguridad_ciudadana</x:v>
      </x:c>
      <x:c r="C115" s="17" t="str">
        <x:v>indicator</x:v>
      </x:c>
      <x:c r="D115" s="17" t="str">
        <x:v>seguridad</x:v>
      </x:c>
      <x:c r="E115" s="17" t="n">
        <x:v>5</x:v>
      </x:c>
      <x:c r="F115" s="17" t="str">
        <x:v>+</x:v>
      </x:c>
      <x:c r="G115" s="17" t="str">
        <x:v>offset</x:v>
      </x:c>
      <x:c r="H115" s="17" t="str">
        <x:v>close</x:v>
      </x:c>
      <x:c r="I115" s="19" t="n">
        <x:v>0</x:v>
      </x:c>
      <x:c r="J115" s="19" t="n">
        <x:v>2</x:v>
      </x:c>
      <x:c r="K115" s="17" t="str">
        <x:v>persistent</x:v>
      </x:c>
      <x:c r="L115" s="17" t="str">
        <x:v>true</x:v>
      </x:c>
      <x:c r="M115" s="17" t="str">
        <x:v>ninguna</x:v>
      </x:c>
      <x:c r="N115" s="19" t="n">
        <x:v>0</x:v>
      </x:c>
      <x:c r="O115" s="17" t="str">
        <x:v>reject_active</x:v>
      </x:c>
      <x:c r="P115" s="17" t="str">
        <x:v>0..100; cap de cambio ±12 salvo expiraciones</x:v>
      </x:c>
      <x:c r="Q115" s="17" t="str">
        <x:v>Variación de resultado; no altera directamente satisfacción ni voto.</x:v>
      </x:c>
      <x:c r="R115" s="17" t="str">
        <x:v>n.a.</x:v>
      </x:c>
      <x:c r="S115" s="17" t="str">
        <x:v>5</x:v>
      </x:c>
    </x:row>
    <x:row r="116" ht="34" customHeight="1">
      <x:c r="A116" s="16" t="str">
        <x:v>e111</x:v>
      </x:c>
      <x:c r="B116" s="16" t="str">
        <x:v>seguridad_ciudadana</x:v>
      </x:c>
      <x:c r="C116" s="16" t="str">
        <x:v>indicator</x:v>
      </x:c>
      <x:c r="D116" s="16" t="str">
        <x:v>derechos</x:v>
      </x:c>
      <x:c r="E116" s="16" t="n">
        <x:v>-3</x:v>
      </x:c>
      <x:c r="F116" s="16" t="str">
        <x:v>-</x:v>
      </x:c>
      <x:c r="G116" s="16" t="str">
        <x:v>pulse</x:v>
      </x:c>
      <x:c r="H116" s="16" t="str">
        <x:v>close</x:v>
      </x:c>
      <x:c r="I116" s="18" t="n">
        <x:v>1</x:v>
      </x:c>
      <x:c r="J116" s="18" t="n">
        <x:v>1</x:v>
      </x:c>
      <x:c r="K116" s="16" t="str">
        <x:v>conditional</x:v>
      </x:c>
      <x:c r="L116" s="16" t="str">
        <x:v>pre.derechos&lt;45</x:v>
      </x:c>
      <x:c r="M116" s="16" t="str">
        <x:v>ninguna</x:v>
      </x:c>
      <x:c r="N116" s="18" t="n">
        <x:v>0</x:v>
      </x:c>
      <x:c r="O116" s="16" t="str">
        <x:v>sum_distinct_instances</x:v>
      </x:c>
      <x:c r="P116" s="16" t="str">
        <x:v>0..100; cap de cambio ±12 salvo expiraciones</x:v>
      </x:c>
      <x:c r="Q116" s="16" t="str">
        <x:v>Variación de resultado; no altera directamente satisfacción ni voto.</x:v>
      </x:c>
      <x:c r="R116" s="16" t="str">
        <x:v>n.a.</x:v>
      </x:c>
      <x:c r="S116" s="16" t="str">
        <x:v>-3</x:v>
      </x:c>
    </x:row>
    <x:row r="117" ht="34" customHeight="1">
      <x:c r="A117" s="17" t="str">
        <x:v>e112</x:v>
      </x:c>
      <x:c r="B117" s="17" t="str">
        <x:v>seguridad_ciudadana</x:v>
      </x:c>
      <x:c r="C117" s="17" t="str">
        <x:v>ledger</x:v>
      </x:c>
      <x:c r="D117" s="17" t="str">
        <x:v>expense_recurring</x:v>
      </x:c>
      <x:c r="E117" s="17" t="n">
        <x:v>30</x:v>
      </x:c>
      <x:c r="F117" s="17" t="str">
        <x:v>+</x:v>
      </x:c>
      <x:c r="G117" s="17" t="str">
        <x:v>flow</x:v>
      </x:c>
      <x:c r="H117" s="17" t="str">
        <x:v>close</x:v>
      </x:c>
      <x:c r="I117" s="19" t="n">
        <x:v>1</x:v>
      </x:c>
      <x:c r="J117" s="19" t="n">
        <x:v>1</x:v>
      </x:c>
      <x:c r="K117" s="17" t="str">
        <x:v>delayed</x:v>
      </x:c>
      <x:c r="L117" s="17" t="str">
        <x:v>true</x:v>
      </x:c>
      <x:c r="M117" s="17" t="str">
        <x:v>ninguna</x:v>
      </x:c>
      <x:c r="N117" s="19" t="n">
        <x:v>0</x:v>
      </x:c>
      <x:c r="O117" s="17" t="str">
        <x:v>sum_distinct_instances</x:v>
      </x:c>
      <x:c r="P117" s="17" t="str">
        <x:v>Ver contrato de target</x:v>
      </x:c>
      <x:c r="Q117" s="17" t="str">
        <x:v>Flujo explícito; afecta caja y cálculo fiscal durante su vigencia.</x:v>
      </x:c>
      <x:c r="R117" s="17" t="str">
        <x:v>expense</x:v>
      </x:c>
      <x:c r="S117" s="17" t="str">
        <x:v>30</x:v>
      </x:c>
    </x:row>
    <x:row r="118" ht="34" customHeight="1">
      <x:c r="A118" s="16" t="str">
        <x:v>e113</x:v>
      </x:c>
      <x:c r="B118" s="16" t="str">
        <x:v>lucha_narcotrafico</x:v>
      </x:c>
      <x:c r="C118" s="16" t="str">
        <x:v>ledger</x:v>
      </x:c>
      <x:c r="D118" s="16" t="str">
        <x:v>expense_once</x:v>
      </x:c>
      <x:c r="E118" s="16" t="n">
        <x:v>240</x:v>
      </x:c>
      <x:c r="F118" s="16" t="str">
        <x:v>+</x:v>
      </x:c>
      <x:c r="G118" s="16" t="str">
        <x:v>flow</x:v>
      </x:c>
      <x:c r="H118" s="16" t="str">
        <x:v>execute</x:v>
      </x:c>
      <x:c r="I118" s="18" t="n">
        <x:v>0</x:v>
      </x:c>
      <x:c r="J118" s="18" t="n">
        <x:v>1</x:v>
      </x:c>
      <x:c r="K118" s="16" t="str">
        <x:v>immediate</x:v>
      </x:c>
      <x:c r="L118" s="16" t="str">
        <x:v>true</x:v>
      </x:c>
      <x:c r="M118" s="16" t="str">
        <x:v>ninguna</x:v>
      </x:c>
      <x:c r="N118" s="18" t="n">
        <x:v>0</x:v>
      </x:c>
      <x:c r="O118" s="16" t="str">
        <x:v>sum_distinct_instances</x:v>
      </x:c>
      <x:c r="P118" s="16" t="str">
        <x:v>Ver contrato de target</x:v>
      </x:c>
      <x:c r="Q118" s="16" t="str">
        <x:v>Coste administrativo o programa. No se duplica con la columna fiscal de 04.</x:v>
      </x:c>
      <x:c r="R118" s="16" t="str">
        <x:v>expense</x:v>
      </x:c>
      <x:c r="S118" s="16" t="str">
        <x:v>240</x:v>
      </x:c>
    </x:row>
    <x:row r="119" ht="34" customHeight="1">
      <x:c r="A119" s="17" t="str">
        <x:v>e114</x:v>
      </x:c>
      <x:c r="B119" s="17" t="str">
        <x:v>lucha_narcotrafico</x:v>
      </x:c>
      <x:c r="C119" s="17" t="str">
        <x:v>indicator</x:v>
      </x:c>
      <x:c r="D119" s="17" t="str">
        <x:v>seguridad</x:v>
      </x:c>
      <x:c r="E119" s="17" t="n">
        <x:v>6</x:v>
      </x:c>
      <x:c r="F119" s="17" t="str">
        <x:v>+</x:v>
      </x:c>
      <x:c r="G119" s="17" t="str">
        <x:v>pulse</x:v>
      </x:c>
      <x:c r="H119" s="17" t="str">
        <x:v>close</x:v>
      </x:c>
      <x:c r="I119" s="19" t="n">
        <x:v>2</x:v>
      </x:c>
      <x:c r="J119" s="19" t="n">
        <x:v>1</x:v>
      </x:c>
      <x:c r="K119" s="17" t="str">
        <x:v>delayed</x:v>
      </x:c>
      <x:c r="L119" s="17" t="str">
        <x:v>true</x:v>
      </x:c>
      <x:c r="M119" s="17" t="str">
        <x:v>ninguna</x:v>
      </x:c>
      <x:c r="N119" s="19" t="n">
        <x:v>0</x:v>
      </x:c>
      <x:c r="O119" s="17" t="str">
        <x:v>sum_distinct_instances</x:v>
      </x:c>
      <x:c r="P119" s="17" t="str">
        <x:v>0..100; cap de cambio ±12 salvo expiraciones</x:v>
      </x:c>
      <x:c r="Q119" s="17" t="str">
        <x:v>Variación de resultado; no altera directamente satisfacción ni voto.</x:v>
      </x:c>
      <x:c r="R119" s="17" t="str">
        <x:v>n.a.</x:v>
      </x:c>
      <x:c r="S119" s="17" t="str">
        <x:v>6</x:v>
      </x:c>
    </x:row>
    <x:row r="120" ht="34" customHeight="1">
      <x:c r="A120" s="16" t="str">
        <x:v>e115</x:v>
      </x:c>
      <x:c r="B120" s="16" t="str">
        <x:v>lucha_narcotrafico</x:v>
      </x:c>
      <x:c r="C120" s="16" t="str">
        <x:v>ledger</x:v>
      </x:c>
      <x:c r="D120" s="16" t="str">
        <x:v>expense_recurring</x:v>
      </x:c>
      <x:c r="E120" s="16" t="n">
        <x:v>25</x:v>
      </x:c>
      <x:c r="F120" s="16" t="str">
        <x:v>+</x:v>
      </x:c>
      <x:c r="G120" s="16" t="str">
        <x:v>flow</x:v>
      </x:c>
      <x:c r="H120" s="16" t="str">
        <x:v>close</x:v>
      </x:c>
      <x:c r="I120" s="18" t="n">
        <x:v>1</x:v>
      </x:c>
      <x:c r="J120" s="18" t="n">
        <x:v>4</x:v>
      </x:c>
      <x:c r="K120" s="16" t="str">
        <x:v>delayed+persistent</x:v>
      </x:c>
      <x:c r="L120" s="16" t="str">
        <x:v>true</x:v>
      </x:c>
      <x:c r="M120" s="16" t="str">
        <x:v>ninguna</x:v>
      </x:c>
      <x:c r="N120" s="18" t="n">
        <x:v>0</x:v>
      </x:c>
      <x:c r="O120" s="16" t="str">
        <x:v>sum_distinct_instances</x:v>
      </x:c>
      <x:c r="P120" s="16" t="str">
        <x:v>Ver contrato de target</x:v>
      </x:c>
      <x:c r="Q120" s="16" t="str">
        <x:v>Flujo explícito; afecta caja y cálculo fiscal durante su vigencia.</x:v>
      </x:c>
      <x:c r="R120" s="16" t="str">
        <x:v>expense</x:v>
      </x:c>
      <x:c r="S120" s="16" t="str">
        <x:v>25</x:v>
      </x:c>
    </x:row>
    <x:row r="121" ht="34" customHeight="1">
      <x:c r="A121" s="17" t="str">
        <x:v>e116</x:v>
      </x:c>
      <x:c r="B121" s="17" t="str">
        <x:v>fortalecimiento_justicia</x:v>
      </x:c>
      <x:c r="C121" s="17" t="str">
        <x:v>ledger</x:v>
      </x:c>
      <x:c r="D121" s="17" t="str">
        <x:v>expense_once</x:v>
      </x:c>
      <x:c r="E121" s="17" t="n">
        <x:v>230</x:v>
      </x:c>
      <x:c r="F121" s="17" t="str">
        <x:v>+</x:v>
      </x:c>
      <x:c r="G121" s="17" t="str">
        <x:v>flow</x:v>
      </x:c>
      <x:c r="H121" s="17" t="str">
        <x:v>execute</x:v>
      </x:c>
      <x:c r="I121" s="19" t="n">
        <x:v>0</x:v>
      </x:c>
      <x:c r="J121" s="19" t="n">
        <x:v>1</x:v>
      </x:c>
      <x:c r="K121" s="17" t="str">
        <x:v>immediate</x:v>
      </x:c>
      <x:c r="L121" s="17" t="str">
        <x:v>true</x:v>
      </x:c>
      <x:c r="M121" s="17" t="str">
        <x:v>ninguna</x:v>
      </x:c>
      <x:c r="N121" s="19" t="n">
        <x:v>0</x:v>
      </x:c>
      <x:c r="O121" s="17" t="str">
        <x:v>sum_distinct_instances</x:v>
      </x:c>
      <x:c r="P121" s="17" t="str">
        <x:v>Ver contrato de target</x:v>
      </x:c>
      <x:c r="Q121" s="17" t="str">
        <x:v>Coste administrativo o programa. No se duplica con la columna fiscal de 04.</x:v>
      </x:c>
      <x:c r="R121" s="17" t="str">
        <x:v>expense</x:v>
      </x:c>
      <x:c r="S121" s="17" t="str">
        <x:v>230</x:v>
      </x:c>
    </x:row>
    <x:row r="122" ht="34" customHeight="1">
      <x:c r="A122" s="16" t="str">
        <x:v>e117</x:v>
      </x:c>
      <x:c r="B122" s="16" t="str">
        <x:v>fortalecimiento_justicia</x:v>
      </x:c>
      <x:c r="C122" s="16" t="str">
        <x:v>indicator</x:v>
      </x:c>
      <x:c r="D122" s="16" t="str">
        <x:v>derechos</x:v>
      </x:c>
      <x:c r="E122" s="16" t="n">
        <x:v>6</x:v>
      </x:c>
      <x:c r="F122" s="16" t="str">
        <x:v>+</x:v>
      </x:c>
      <x:c r="G122" s="16" t="str">
        <x:v>pulse</x:v>
      </x:c>
      <x:c r="H122" s="16" t="str">
        <x:v>close</x:v>
      </x:c>
      <x:c r="I122" s="18" t="n">
        <x:v>2</x:v>
      </x:c>
      <x:c r="J122" s="18" t="n">
        <x:v>1</x:v>
      </x:c>
      <x:c r="K122" s="16" t="str">
        <x:v>delayed</x:v>
      </x:c>
      <x:c r="L122" s="16" t="str">
        <x:v>true</x:v>
      </x:c>
      <x:c r="M122" s="16" t="str">
        <x:v>ninguna</x:v>
      </x:c>
      <x:c r="N122" s="18" t="n">
        <x:v>0</x:v>
      </x:c>
      <x:c r="O122" s="16" t="str">
        <x:v>sum_distinct_instances</x:v>
      </x:c>
      <x:c r="P122" s="16" t="str">
        <x:v>0..100; cap de cambio ±12 salvo expiraciones</x:v>
      </x:c>
      <x:c r="Q122" s="16" t="str">
        <x:v>Variación de resultado; no altera directamente satisfacción ni voto.</x:v>
      </x:c>
      <x:c r="R122" s="16" t="str">
        <x:v>n.a.</x:v>
      </x:c>
      <x:c r="S122" s="16" t="str">
        <x:v>6</x:v>
      </x:c>
    </x:row>
    <x:row r="123" ht="34" customHeight="1">
      <x:c r="A123" s="17" t="str">
        <x:v>e118</x:v>
      </x:c>
      <x:c r="B123" s="17" t="str">
        <x:v>fortalecimiento_justicia</x:v>
      </x:c>
      <x:c r="C123" s="17" t="str">
        <x:v>indicator</x:v>
      </x:c>
      <x:c r="D123" s="17" t="str">
        <x:v>seguridad</x:v>
      </x:c>
      <x:c r="E123" s="17" t="n">
        <x:v>2</x:v>
      </x:c>
      <x:c r="F123" s="17" t="str">
        <x:v>+</x:v>
      </x:c>
      <x:c r="G123" s="17" t="str">
        <x:v>pulse</x:v>
      </x:c>
      <x:c r="H123" s="17" t="str">
        <x:v>close</x:v>
      </x:c>
      <x:c r="I123" s="19" t="n">
        <x:v>3</x:v>
      </x:c>
      <x:c r="J123" s="19" t="n">
        <x:v>1</x:v>
      </x:c>
      <x:c r="K123" s="17" t="str">
        <x:v>delayed</x:v>
      </x:c>
      <x:c r="L123" s="17" t="str">
        <x:v>true</x:v>
      </x:c>
      <x:c r="M123" s="17" t="str">
        <x:v>ninguna</x:v>
      </x:c>
      <x:c r="N123" s="19" t="n">
        <x:v>0</x:v>
      </x:c>
      <x:c r="O123" s="17" t="str">
        <x:v>sum_distinct_instances</x:v>
      </x:c>
      <x:c r="P123" s="17" t="str">
        <x:v>0..100; cap de cambio ±12 salvo expiraciones</x:v>
      </x:c>
      <x:c r="Q123" s="17" t="str">
        <x:v>Variación de resultado; no altera directamente satisfacción ni voto.</x:v>
      </x:c>
      <x:c r="R123" s="17" t="str">
        <x:v>n.a.</x:v>
      </x:c>
      <x:c r="S123" s="17" t="str">
        <x:v>2</x:v>
      </x:c>
    </x:row>
    <x:row r="124" ht="34" customHeight="1">
      <x:c r="A124" s="16" t="str">
        <x:v>e119</x:v>
      </x:c>
      <x:c r="B124" s="16" t="str">
        <x:v>fortalecimiento_justicia</x:v>
      </x:c>
      <x:c r="C124" s="16" t="str">
        <x:v>ledger</x:v>
      </x:c>
      <x:c r="D124" s="16" t="str">
        <x:v>expense_recurring</x:v>
      </x:c>
      <x:c r="E124" s="16" t="n">
        <x:v>25</x:v>
      </x:c>
      <x:c r="F124" s="16" t="str">
        <x:v>+</x:v>
      </x:c>
      <x:c r="G124" s="16" t="str">
        <x:v>flow</x:v>
      </x:c>
      <x:c r="H124" s="16" t="str">
        <x:v>close</x:v>
      </x:c>
      <x:c r="I124" s="18" t="n">
        <x:v>1</x:v>
      </x:c>
      <x:c r="J124" s="18" t="n">
        <x:v>0</x:v>
      </x:c>
      <x:c r="K124" s="16" t="str">
        <x:v>delayed</x:v>
      </x:c>
      <x:c r="L124" s="16" t="str">
        <x:v>true</x:v>
      </x:c>
      <x:c r="M124" s="16" t="str">
        <x:v>ninguna</x:v>
      </x:c>
      <x:c r="N124" s="18" t="n">
        <x:v>0</x:v>
      </x:c>
      <x:c r="O124" s="16" t="str">
        <x:v>sum_distinct_instances</x:v>
      </x:c>
      <x:c r="P124" s="16" t="str">
        <x:v>Ver contrato de target</x:v>
      </x:c>
      <x:c r="Q124" s="16" t="str">
        <x:v>Flujo explícito; afecta caja y cálculo fiscal durante su vigencia.</x:v>
      </x:c>
      <x:c r="R124" s="16" t="str">
        <x:v>expense</x:v>
      </x:c>
      <x:c r="S124" s="16" t="str">
        <x:v>25</x:v>
      </x:c>
    </x:row>
    <x:row r="125" ht="34" customHeight="1">
      <x:c r="A125" s="17" t="str">
        <x:v>e120</x:v>
      </x:c>
      <x:c r="B125" s="17" t="str">
        <x:v>sistema_vigilancia</x:v>
      </x:c>
      <x:c r="C125" s="17" t="str">
        <x:v>ledger</x:v>
      </x:c>
      <x:c r="D125" s="17" t="str">
        <x:v>expense_once</x:v>
      </x:c>
      <x:c r="E125" s="17" t="n">
        <x:v>200</x:v>
      </x:c>
      <x:c r="F125" s="17" t="str">
        <x:v>+</x:v>
      </x:c>
      <x:c r="G125" s="17" t="str">
        <x:v>flow</x:v>
      </x:c>
      <x:c r="H125" s="17" t="str">
        <x:v>execute</x:v>
      </x:c>
      <x:c r="I125" s="19" t="n">
        <x:v>0</x:v>
      </x:c>
      <x:c r="J125" s="19" t="n">
        <x:v>1</x:v>
      </x:c>
      <x:c r="K125" s="17" t="str">
        <x:v>immediate</x:v>
      </x:c>
      <x:c r="L125" s="17" t="str">
        <x:v>true</x:v>
      </x:c>
      <x:c r="M125" s="17" t="str">
        <x:v>ninguna</x:v>
      </x:c>
      <x:c r="N125" s="19" t="n">
        <x:v>0</x:v>
      </x:c>
      <x:c r="O125" s="17" t="str">
        <x:v>sum_distinct_instances</x:v>
      </x:c>
      <x:c r="P125" s="17" t="str">
        <x:v>Ver contrato de target</x:v>
      </x:c>
      <x:c r="Q125" s="17" t="str">
        <x:v>Coste administrativo o programa. No se duplica con la columna fiscal de 04.</x:v>
      </x:c>
      <x:c r="R125" s="17" t="str">
        <x:v>expense</x:v>
      </x:c>
      <x:c r="S125" s="17" t="str">
        <x:v>200</x:v>
      </x:c>
    </x:row>
    <x:row r="126" ht="34" customHeight="1">
      <x:c r="A126" s="16" t="str">
        <x:v>e121</x:v>
      </x:c>
      <x:c r="B126" s="16" t="str">
        <x:v>sistema_vigilancia</x:v>
      </x:c>
      <x:c r="C126" s="16" t="str">
        <x:v>indicator</x:v>
      </x:c>
      <x:c r="D126" s="16" t="str">
        <x:v>seguridad</x:v>
      </x:c>
      <x:c r="E126" s="16" t="n">
        <x:v>5</x:v>
      </x:c>
      <x:c r="F126" s="16" t="str">
        <x:v>+</x:v>
      </x:c>
      <x:c r="G126" s="16" t="str">
        <x:v>pulse</x:v>
      </x:c>
      <x:c r="H126" s="16" t="str">
        <x:v>close</x:v>
      </x:c>
      <x:c r="I126" s="18" t="n">
        <x:v>1</x:v>
      </x:c>
      <x:c r="J126" s="18" t="n">
        <x:v>1</x:v>
      </x:c>
      <x:c r="K126" s="16" t="str">
        <x:v>delayed</x:v>
      </x:c>
      <x:c r="L126" s="16" t="str">
        <x:v>true</x:v>
      </x:c>
      <x:c r="M126" s="16" t="str">
        <x:v>ninguna</x:v>
      </x:c>
      <x:c r="N126" s="18" t="n">
        <x:v>0</x:v>
      </x:c>
      <x:c r="O126" s="16" t="str">
        <x:v>sum_distinct_instances</x:v>
      </x:c>
      <x:c r="P126" s="16" t="str">
        <x:v>0..100; cap de cambio ±12 salvo expiraciones</x:v>
      </x:c>
      <x:c r="Q126" s="16" t="str">
        <x:v>Variación de resultado; no altera directamente satisfacción ni voto.</x:v>
      </x:c>
      <x:c r="R126" s="16" t="str">
        <x:v>n.a.</x:v>
      </x:c>
      <x:c r="S126" s="16" t="str">
        <x:v>5</x:v>
      </x:c>
    </x:row>
    <x:row r="127" ht="34" customHeight="1">
      <x:c r="A127" s="17" t="str">
        <x:v>e122</x:v>
      </x:c>
      <x:c r="B127" s="17" t="str">
        <x:v>sistema_vigilancia</x:v>
      </x:c>
      <x:c r="C127" s="17" t="str">
        <x:v>indicator</x:v>
      </x:c>
      <x:c r="D127" s="17" t="str">
        <x:v>derechos</x:v>
      </x:c>
      <x:c r="E127" s="17" t="n">
        <x:v>-1</x:v>
      </x:c>
      <x:c r="F127" s="17" t="str">
        <x:v>-</x:v>
      </x:c>
      <x:c r="G127" s="17" t="str">
        <x:v>pulse</x:v>
      </x:c>
      <x:c r="H127" s="17" t="str">
        <x:v>close</x:v>
      </x:c>
      <x:c r="I127" s="19" t="n">
        <x:v>1</x:v>
      </x:c>
      <x:c r="J127" s="19" t="n">
        <x:v>1</x:v>
      </x:c>
      <x:c r="K127" s="17" t="str">
        <x:v>delayed</x:v>
      </x:c>
      <x:c r="L127" s="17" t="str">
        <x:v>true</x:v>
      </x:c>
      <x:c r="M127" s="17" t="str">
        <x:v>ninguna</x:v>
      </x:c>
      <x:c r="N127" s="19" t="n">
        <x:v>0</x:v>
      </x:c>
      <x:c r="O127" s="17" t="str">
        <x:v>sum_distinct_instances</x:v>
      </x:c>
      <x:c r="P127" s="17" t="str">
        <x:v>0..100; cap de cambio ±12 salvo expiraciones</x:v>
      </x:c>
      <x:c r="Q127" s="17" t="str">
        <x:v>Variación de resultado; no altera directamente satisfacción ni voto.</x:v>
      </x:c>
      <x:c r="R127" s="17" t="str">
        <x:v>n.a.</x:v>
      </x:c>
      <x:c r="S127" s="17" t="str">
        <x:v>-1</x:v>
      </x:c>
    </x:row>
    <x:row r="128" ht="34" customHeight="1">
      <x:c r="A128" s="16" t="str">
        <x:v>e123</x:v>
      </x:c>
      <x:c r="B128" s="16" t="str">
        <x:v>sistema_vigilancia</x:v>
      </x:c>
      <x:c r="C128" s="16" t="str">
        <x:v>ledger</x:v>
      </x:c>
      <x:c r="D128" s="16" t="str">
        <x:v>expense_recurring</x:v>
      </x:c>
      <x:c r="E128" s="16" t="n">
        <x:v>20</x:v>
      </x:c>
      <x:c r="F128" s="16" t="str">
        <x:v>+</x:v>
      </x:c>
      <x:c r="G128" s="16" t="str">
        <x:v>flow</x:v>
      </x:c>
      <x:c r="H128" s="16" t="str">
        <x:v>close</x:v>
      </x:c>
      <x:c r="I128" s="18" t="n">
        <x:v>1</x:v>
      </x:c>
      <x:c r="J128" s="18" t="n">
        <x:v>0</x:v>
      </x:c>
      <x:c r="K128" s="16" t="str">
        <x:v>delayed</x:v>
      </x:c>
      <x:c r="L128" s="16" t="str">
        <x:v>true</x:v>
      </x:c>
      <x:c r="M128" s="16" t="str">
        <x:v>ninguna</x:v>
      </x:c>
      <x:c r="N128" s="18" t="n">
        <x:v>0</x:v>
      </x:c>
      <x:c r="O128" s="16" t="str">
        <x:v>sum_distinct_instances</x:v>
      </x:c>
      <x:c r="P128" s="16" t="str">
        <x:v>Ver contrato de target</x:v>
      </x:c>
      <x:c r="Q128" s="16" t="str">
        <x:v>Flujo explícito; afecta caja y cálculo fiscal durante su vigencia.</x:v>
      </x:c>
      <x:c r="R128" s="16" t="str">
        <x:v>expense</x:v>
      </x:c>
      <x:c r="S128" s="16" t="str">
        <x:v>20</x:v>
      </x:c>
    </x:row>
    <x:row r="129" ht="34" customHeight="1">
      <x:c r="A129" s="17" t="str">
        <x:v>e124</x:v>
      </x:c>
      <x:c r="B129" s="17" t="str">
        <x:v>policia_proximidad</x:v>
      </x:c>
      <x:c r="C129" s="17" t="str">
        <x:v>ledger</x:v>
      </x:c>
      <x:c r="D129" s="17" t="str">
        <x:v>expense_once</x:v>
      </x:c>
      <x:c r="E129" s="17" t="n">
        <x:v>170</x:v>
      </x:c>
      <x:c r="F129" s="17" t="str">
        <x:v>+</x:v>
      </x:c>
      <x:c r="G129" s="17" t="str">
        <x:v>flow</x:v>
      </x:c>
      <x:c r="H129" s="17" t="str">
        <x:v>execute</x:v>
      </x:c>
      <x:c r="I129" s="19" t="n">
        <x:v>0</x:v>
      </x:c>
      <x:c r="J129" s="19" t="n">
        <x:v>1</x:v>
      </x:c>
      <x:c r="K129" s="17" t="str">
        <x:v>immediate</x:v>
      </x:c>
      <x:c r="L129" s="17" t="str">
        <x:v>true</x:v>
      </x:c>
      <x:c r="M129" s="17" t="str">
        <x:v>ninguna</x:v>
      </x:c>
      <x:c r="N129" s="19" t="n">
        <x:v>0</x:v>
      </x:c>
      <x:c r="O129" s="17" t="str">
        <x:v>sum_distinct_instances</x:v>
      </x:c>
      <x:c r="P129" s="17" t="str">
        <x:v>Ver contrato de target</x:v>
      </x:c>
      <x:c r="Q129" s="17" t="str">
        <x:v>Coste administrativo o programa. No se duplica con la columna fiscal de 04.</x:v>
      </x:c>
      <x:c r="R129" s="17" t="str">
        <x:v>expense</x:v>
      </x:c>
      <x:c r="S129" s="17" t="str">
        <x:v>170</x:v>
      </x:c>
    </x:row>
    <x:row r="130" ht="34" customHeight="1">
      <x:c r="A130" s="16" t="str">
        <x:v>e125</x:v>
      </x:c>
      <x:c r="B130" s="16" t="str">
        <x:v>policia_proximidad</x:v>
      </x:c>
      <x:c r="C130" s="16" t="str">
        <x:v>indicator</x:v>
      </x:c>
      <x:c r="D130" s="16" t="str">
        <x:v>seguridad</x:v>
      </x:c>
      <x:c r="E130" s="16" t="n">
        <x:v>4</x:v>
      </x:c>
      <x:c r="F130" s="16" t="str">
        <x:v>+</x:v>
      </x:c>
      <x:c r="G130" s="16" t="str">
        <x:v>pulse</x:v>
      </x:c>
      <x:c r="H130" s="16" t="str">
        <x:v>close</x:v>
      </x:c>
      <x:c r="I130" s="18" t="n">
        <x:v>2</x:v>
      </x:c>
      <x:c r="J130" s="18" t="n">
        <x:v>1</x:v>
      </x:c>
      <x:c r="K130" s="16" t="str">
        <x:v>delayed</x:v>
      </x:c>
      <x:c r="L130" s="16" t="str">
        <x:v>true</x:v>
      </x:c>
      <x:c r="M130" s="16" t="str">
        <x:v>ninguna</x:v>
      </x:c>
      <x:c r="N130" s="18" t="n">
        <x:v>0</x:v>
      </x:c>
      <x:c r="O130" s="16" t="str">
        <x:v>sum_distinct_instances</x:v>
      </x:c>
      <x:c r="P130" s="16" t="str">
        <x:v>0..100; cap de cambio ±12 salvo expiraciones</x:v>
      </x:c>
      <x:c r="Q130" s="16" t="str">
        <x:v>Variación de resultado; no altera directamente satisfacción ni voto.</x:v>
      </x:c>
      <x:c r="R130" s="16" t="str">
        <x:v>n.a.</x:v>
      </x:c>
      <x:c r="S130" s="16" t="str">
        <x:v>4</x:v>
      </x:c>
    </x:row>
    <x:row r="131" ht="34" customHeight="1">
      <x:c r="A131" s="17" t="str">
        <x:v>e126</x:v>
      </x:c>
      <x:c r="B131" s="17" t="str">
        <x:v>policia_proximidad</x:v>
      </x:c>
      <x:c r="C131" s="17" t="str">
        <x:v>indicator</x:v>
      </x:c>
      <x:c r="D131" s="17" t="str">
        <x:v>derechos</x:v>
      </x:c>
      <x:c r="E131" s="17" t="n">
        <x:v>2</x:v>
      </x:c>
      <x:c r="F131" s="17" t="str">
        <x:v>+</x:v>
      </x:c>
      <x:c r="G131" s="17" t="str">
        <x:v>pulse</x:v>
      </x:c>
      <x:c r="H131" s="17" t="str">
        <x:v>close</x:v>
      </x:c>
      <x:c r="I131" s="19" t="n">
        <x:v>2</x:v>
      </x:c>
      <x:c r="J131" s="19" t="n">
        <x:v>1</x:v>
      </x:c>
      <x:c r="K131" s="17" t="str">
        <x:v>delayed</x:v>
      </x:c>
      <x:c r="L131" s="17" t="str">
        <x:v>true</x:v>
      </x:c>
      <x:c r="M131" s="17" t="str">
        <x:v>ninguna</x:v>
      </x:c>
      <x:c r="N131" s="19" t="n">
        <x:v>0</x:v>
      </x:c>
      <x:c r="O131" s="17" t="str">
        <x:v>sum_distinct_instances</x:v>
      </x:c>
      <x:c r="P131" s="17" t="str">
        <x:v>0..100; cap de cambio ±12 salvo expiraciones</x:v>
      </x:c>
      <x:c r="Q131" s="17" t="str">
        <x:v>Variación de resultado; no altera directamente satisfacción ni voto.</x:v>
      </x:c>
      <x:c r="R131" s="17" t="str">
        <x:v>n.a.</x:v>
      </x:c>
      <x:c r="S131" s="17" t="str">
        <x:v>2</x:v>
      </x:c>
    </x:row>
    <x:row r="132" ht="34" customHeight="1">
      <x:c r="A132" s="16" t="str">
        <x:v>e127</x:v>
      </x:c>
      <x:c r="B132" s="16" t="str">
        <x:v>policia_proximidad</x:v>
      </x:c>
      <x:c r="C132" s="16" t="str">
        <x:v>ledger</x:v>
      </x:c>
      <x:c r="D132" s="16" t="str">
        <x:v>expense_recurring</x:v>
      </x:c>
      <x:c r="E132" s="16" t="n">
        <x:v>20</x:v>
      </x:c>
      <x:c r="F132" s="16" t="str">
        <x:v>+</x:v>
      </x:c>
      <x:c r="G132" s="16" t="str">
        <x:v>flow</x:v>
      </x:c>
      <x:c r="H132" s="16" t="str">
        <x:v>close</x:v>
      </x:c>
      <x:c r="I132" s="18" t="n">
        <x:v>1</x:v>
      </x:c>
      <x:c r="J132" s="18" t="n">
        <x:v>0</x:v>
      </x:c>
      <x:c r="K132" s="16" t="str">
        <x:v>delayed</x:v>
      </x:c>
      <x:c r="L132" s="16" t="str">
        <x:v>true</x:v>
      </x:c>
      <x:c r="M132" s="16" t="str">
        <x:v>ninguna</x:v>
      </x:c>
      <x:c r="N132" s="18" t="n">
        <x:v>0</x:v>
      </x:c>
      <x:c r="O132" s="16" t="str">
        <x:v>sum_distinct_instances</x:v>
      </x:c>
      <x:c r="P132" s="16" t="str">
        <x:v>Ver contrato de target</x:v>
      </x:c>
      <x:c r="Q132" s="16" t="str">
        <x:v>Flujo explícito; afecta caja y cálculo fiscal durante su vigencia.</x:v>
      </x:c>
      <x:c r="R132" s="16" t="str">
        <x:v>expense</x:v>
      </x:c>
      <x:c r="S132" s="16" t="str">
        <x:v>20</x:v>
      </x:c>
    </x:row>
    <x:row r="133" ht="34" customHeight="1">
      <x:c r="A133" s="17" t="str">
        <x:v>e128</x:v>
      </x:c>
      <x:c r="B133" s="17" t="str">
        <x:v>programa_cultural</x:v>
      </x:c>
      <x:c r="C133" s="17" t="str">
        <x:v>ledger</x:v>
      </x:c>
      <x:c r="D133" s="17" t="str">
        <x:v>expense_once</x:v>
      </x:c>
      <x:c r="E133" s="17" t="n">
        <x:v>120</x:v>
      </x:c>
      <x:c r="F133" s="17" t="str">
        <x:v>+</x:v>
      </x:c>
      <x:c r="G133" s="17" t="str">
        <x:v>flow</x:v>
      </x:c>
      <x:c r="H133" s="17" t="str">
        <x:v>execute</x:v>
      </x:c>
      <x:c r="I133" s="19" t="n">
        <x:v>0</x:v>
      </x:c>
      <x:c r="J133" s="19" t="n">
        <x:v>1</x:v>
      </x:c>
      <x:c r="K133" s="17" t="str">
        <x:v>immediate</x:v>
      </x:c>
      <x:c r="L133" s="17" t="str">
        <x:v>true</x:v>
      </x:c>
      <x:c r="M133" s="17" t="str">
        <x:v>ninguna</x:v>
      </x:c>
      <x:c r="N133" s="19" t="n">
        <x:v>0</x:v>
      </x:c>
      <x:c r="O133" s="17" t="str">
        <x:v>sum_distinct_instances</x:v>
      </x:c>
      <x:c r="P133" s="17" t="str">
        <x:v>Ver contrato de target</x:v>
      </x:c>
      <x:c r="Q133" s="17" t="str">
        <x:v>Coste administrativo o programa. No se duplica con la columna fiscal de 04.</x:v>
      </x:c>
      <x:c r="R133" s="17" t="str">
        <x:v>expense</x:v>
      </x:c>
      <x:c r="S133" s="17" t="str">
        <x:v>120</x:v>
      </x:c>
    </x:row>
    <x:row r="134" ht="34" customHeight="1">
      <x:c r="A134" s="16" t="str">
        <x:v>e129</x:v>
      </x:c>
      <x:c r="B134" s="16" t="str">
        <x:v>programa_cultural</x:v>
      </x:c>
      <x:c r="C134" s="16" t="str">
        <x:v>indicator</x:v>
      </x:c>
      <x:c r="D134" s="16" t="str">
        <x:v>educacion</x:v>
      </x:c>
      <x:c r="E134" s="16" t="n">
        <x:v>2</x:v>
      </x:c>
      <x:c r="F134" s="16" t="str">
        <x:v>+</x:v>
      </x:c>
      <x:c r="G134" s="16" t="str">
        <x:v>pulse</x:v>
      </x:c>
      <x:c r="H134" s="16" t="str">
        <x:v>close</x:v>
      </x:c>
      <x:c r="I134" s="18" t="n">
        <x:v>1</x:v>
      </x:c>
      <x:c r="J134" s="18" t="n">
        <x:v>1</x:v>
      </x:c>
      <x:c r="K134" s="16" t="str">
        <x:v>delayed</x:v>
      </x:c>
      <x:c r="L134" s="16" t="str">
        <x:v>true</x:v>
      </x:c>
      <x:c r="M134" s="16" t="str">
        <x:v>ninguna</x:v>
      </x:c>
      <x:c r="N134" s="18" t="n">
        <x:v>0</x:v>
      </x:c>
      <x:c r="O134" s="16" t="str">
        <x:v>sum_distinct_instances</x:v>
      </x:c>
      <x:c r="P134" s="16" t="str">
        <x:v>0..100; cap de cambio ±12 salvo expiraciones</x:v>
      </x:c>
      <x:c r="Q134" s="16" t="str">
        <x:v>Variación de resultado; no altera directamente satisfacción ni voto.</x:v>
      </x:c>
      <x:c r="R134" s="16" t="str">
        <x:v>n.a.</x:v>
      </x:c>
      <x:c r="S134" s="16" t="str">
        <x:v>2</x:v>
      </x:c>
    </x:row>
    <x:row r="135" ht="34" customHeight="1">
      <x:c r="A135" s="17" t="str">
        <x:v>e130</x:v>
      </x:c>
      <x:c r="B135" s="17" t="str">
        <x:v>programa_cultural</x:v>
      </x:c>
      <x:c r="C135" s="17" t="str">
        <x:v>indicator</x:v>
      </x:c>
      <x:c r="D135" s="17" t="str">
        <x:v>derechos</x:v>
      </x:c>
      <x:c r="E135" s="17" t="n">
        <x:v>2</x:v>
      </x:c>
      <x:c r="F135" s="17" t="str">
        <x:v>+</x:v>
      </x:c>
      <x:c r="G135" s="17" t="str">
        <x:v>pulse</x:v>
      </x:c>
      <x:c r="H135" s="17" t="str">
        <x:v>close</x:v>
      </x:c>
      <x:c r="I135" s="19" t="n">
        <x:v>1</x:v>
      </x:c>
      <x:c r="J135" s="19" t="n">
        <x:v>1</x:v>
      </x:c>
      <x:c r="K135" s="17" t="str">
        <x:v>delayed</x:v>
      </x:c>
      <x:c r="L135" s="17" t="str">
        <x:v>true</x:v>
      </x:c>
      <x:c r="M135" s="17" t="str">
        <x:v>ninguna</x:v>
      </x:c>
      <x:c r="N135" s="19" t="n">
        <x:v>0</x:v>
      </x:c>
      <x:c r="O135" s="17" t="str">
        <x:v>sum_distinct_instances</x:v>
      </x:c>
      <x:c r="P135" s="17" t="str">
        <x:v>0..100; cap de cambio ±12 salvo expiraciones</x:v>
      </x:c>
      <x:c r="Q135" s="17" t="str">
        <x:v>Variación de resultado; no altera directamente satisfacción ni voto.</x:v>
      </x:c>
      <x:c r="R135" s="17" t="str">
        <x:v>n.a.</x:v>
      </x:c>
      <x:c r="S135" s="17" t="str">
        <x:v>2</x:v>
      </x:c>
    </x:row>
    <x:row r="136" ht="34" customHeight="1">
      <x:c r="A136" s="16" t="str">
        <x:v>e131</x:v>
      </x:c>
      <x:c r="B136" s="16" t="str">
        <x:v>programa_cultural</x:v>
      </x:c>
      <x:c r="C136" s="16" t="str">
        <x:v>ledger</x:v>
      </x:c>
      <x:c r="D136" s="16" t="str">
        <x:v>expense_recurring</x:v>
      </x:c>
      <x:c r="E136" s="16" t="n">
        <x:v>15</x:v>
      </x:c>
      <x:c r="F136" s="16" t="str">
        <x:v>+</x:v>
      </x:c>
      <x:c r="G136" s="16" t="str">
        <x:v>flow</x:v>
      </x:c>
      <x:c r="H136" s="16" t="str">
        <x:v>close</x:v>
      </x:c>
      <x:c r="I136" s="18" t="n">
        <x:v>1</x:v>
      </x:c>
      <x:c r="J136" s="18" t="n">
        <x:v>4</x:v>
      </x:c>
      <x:c r="K136" s="16" t="str">
        <x:v>delayed+persistent</x:v>
      </x:c>
      <x:c r="L136" s="16" t="str">
        <x:v>true</x:v>
      </x:c>
      <x:c r="M136" s="16" t="str">
        <x:v>ninguna</x:v>
      </x:c>
      <x:c r="N136" s="18" t="n">
        <x:v>0</x:v>
      </x:c>
      <x:c r="O136" s="16" t="str">
        <x:v>sum_distinct_instances</x:v>
      </x:c>
      <x:c r="P136" s="16" t="str">
        <x:v>Ver contrato de target</x:v>
      </x:c>
      <x:c r="Q136" s="16" t="str">
        <x:v>Flujo explícito; afecta caja y cálculo fiscal durante su vigencia.</x:v>
      </x:c>
      <x:c r="R136" s="16" t="str">
        <x:v>expense</x:v>
      </x:c>
      <x:c r="S136" s="16" t="str">
        <x:v>15</x:v>
      </x:c>
    </x:row>
    <x:row r="137" ht="34" customHeight="1">
      <x:c r="A137" s="17" t="str">
        <x:v>e132</x:v>
      </x:c>
      <x:c r="B137" s="17" t="str">
        <x:v>patrimonio_historico</x:v>
      </x:c>
      <x:c r="C137" s="17" t="str">
        <x:v>ledger</x:v>
      </x:c>
      <x:c r="D137" s="17" t="str">
        <x:v>expense_once</x:v>
      </x:c>
      <x:c r="E137" s="17" t="n">
        <x:v>150</x:v>
      </x:c>
      <x:c r="F137" s="17" t="str">
        <x:v>+</x:v>
      </x:c>
      <x:c r="G137" s="17" t="str">
        <x:v>flow</x:v>
      </x:c>
      <x:c r="H137" s="17" t="str">
        <x:v>execute</x:v>
      </x:c>
      <x:c r="I137" s="19" t="n">
        <x:v>0</x:v>
      </x:c>
      <x:c r="J137" s="19" t="n">
        <x:v>1</x:v>
      </x:c>
      <x:c r="K137" s="17" t="str">
        <x:v>immediate</x:v>
      </x:c>
      <x:c r="L137" s="17" t="str">
        <x:v>true</x:v>
      </x:c>
      <x:c r="M137" s="17" t="str">
        <x:v>ninguna</x:v>
      </x:c>
      <x:c r="N137" s="19" t="n">
        <x:v>0</x:v>
      </x:c>
      <x:c r="O137" s="17" t="str">
        <x:v>sum_distinct_instances</x:v>
      </x:c>
      <x:c r="P137" s="17" t="str">
        <x:v>Ver contrato de target</x:v>
      </x:c>
      <x:c r="Q137" s="17" t="str">
        <x:v>Coste administrativo o programa. No se duplica con la columna fiscal de 04.</x:v>
      </x:c>
      <x:c r="R137" s="17" t="str">
        <x:v>expense</x:v>
      </x:c>
      <x:c r="S137" s="17" t="str">
        <x:v>150</x:v>
      </x:c>
    </x:row>
    <x:row r="138" ht="34" customHeight="1">
      <x:c r="A138" s="16" t="str">
        <x:v>e133</x:v>
      </x:c>
      <x:c r="B138" s="16" t="str">
        <x:v>patrimonio_historico</x:v>
      </x:c>
      <x:c r="C138" s="16" t="str">
        <x:v>indicator</x:v>
      </x:c>
      <x:c r="D138" s="16" t="str">
        <x:v>actividad</x:v>
      </x:c>
      <x:c r="E138" s="16" t="n">
        <x:v>2</x:v>
      </x:c>
      <x:c r="F138" s="16" t="str">
        <x:v>+</x:v>
      </x:c>
      <x:c r="G138" s="16" t="str">
        <x:v>offset</x:v>
      </x:c>
      <x:c r="H138" s="16" t="str">
        <x:v>close</x:v>
      </x:c>
      <x:c r="I138" s="18" t="n">
        <x:v>2</x:v>
      </x:c>
      <x:c r="J138" s="18" t="n">
        <x:v>4</x:v>
      </x:c>
      <x:c r="K138" s="16" t="str">
        <x:v>delayed+persistent</x:v>
      </x:c>
      <x:c r="L138" s="16" t="str">
        <x:v>true</x:v>
      </x:c>
      <x:c r="M138" s="16" t="str">
        <x:v>ninguna</x:v>
      </x:c>
      <x:c r="N138" s="18" t="n">
        <x:v>0</x:v>
      </x:c>
      <x:c r="O138" s="16" t="str">
        <x:v>reject_active</x:v>
      </x:c>
      <x:c r="P138" s="16" t="str">
        <x:v>0..100; cap de cambio ±12 salvo expiraciones</x:v>
      </x:c>
      <x:c r="Q138" s="16" t="str">
        <x:v>Variación de resultado; no altera directamente satisfacción ni voto.</x:v>
      </x:c>
      <x:c r="R138" s="16" t="str">
        <x:v>n.a.</x:v>
      </x:c>
      <x:c r="S138" s="16" t="str">
        <x:v>2</x:v>
      </x:c>
    </x:row>
    <x:row r="139" ht="34" customHeight="1">
      <x:c r="A139" s="17" t="str">
        <x:v>e134</x:v>
      </x:c>
      <x:c r="B139" s="17" t="str">
        <x:v>patrimonio_historico</x:v>
      </x:c>
      <x:c r="C139" s="17" t="str">
        <x:v>indicator</x:v>
      </x:c>
      <x:c r="D139" s="17" t="str">
        <x:v>educacion</x:v>
      </x:c>
      <x:c r="E139" s="17" t="n">
        <x:v>1</x:v>
      </x:c>
      <x:c r="F139" s="17" t="str">
        <x:v>+</x:v>
      </x:c>
      <x:c r="G139" s="17" t="str">
        <x:v>pulse</x:v>
      </x:c>
      <x:c r="H139" s="17" t="str">
        <x:v>close</x:v>
      </x:c>
      <x:c r="I139" s="19" t="n">
        <x:v>2</x:v>
      </x:c>
      <x:c r="J139" s="19" t="n">
        <x:v>1</x:v>
      </x:c>
      <x:c r="K139" s="17" t="str">
        <x:v>delayed</x:v>
      </x:c>
      <x:c r="L139" s="17" t="str">
        <x:v>true</x:v>
      </x:c>
      <x:c r="M139" s="17" t="str">
        <x:v>ninguna</x:v>
      </x:c>
      <x:c r="N139" s="19" t="n">
        <x:v>0</x:v>
      </x:c>
      <x:c r="O139" s="17" t="str">
        <x:v>sum_distinct_instances</x:v>
      </x:c>
      <x:c r="P139" s="17" t="str">
        <x:v>0..100; cap de cambio ±12 salvo expiraciones</x:v>
      </x:c>
      <x:c r="Q139" s="17" t="str">
        <x:v>Variación de resultado; no altera directamente satisfacción ni voto.</x:v>
      </x:c>
      <x:c r="R139" s="17" t="str">
        <x:v>n.a.</x:v>
      </x:c>
      <x:c r="S139" s="17" t="str">
        <x:v>1</x:v>
      </x:c>
    </x:row>
    <x:row r="140" ht="34" customHeight="1">
      <x:c r="A140" s="16" t="str">
        <x:v>e135</x:v>
      </x:c>
      <x:c r="B140" s="16" t="str">
        <x:v>patrimonio_historico</x:v>
      </x:c>
      <x:c r="C140" s="16" t="str">
        <x:v>ledger</x:v>
      </x:c>
      <x:c r="D140" s="16" t="str">
        <x:v>expense_recurring</x:v>
      </x:c>
      <x:c r="E140" s="16" t="n">
        <x:v>10</x:v>
      </x:c>
      <x:c r="F140" s="16" t="str">
        <x:v>+</x:v>
      </x:c>
      <x:c r="G140" s="16" t="str">
        <x:v>flow</x:v>
      </x:c>
      <x:c r="H140" s="16" t="str">
        <x:v>close</x:v>
      </x:c>
      <x:c r="I140" s="18" t="n">
        <x:v>2</x:v>
      </x:c>
      <x:c r="J140" s="18" t="n">
        <x:v>0</x:v>
      </x:c>
      <x:c r="K140" s="16" t="str">
        <x:v>delayed</x:v>
      </x:c>
      <x:c r="L140" s="16" t="str">
        <x:v>true</x:v>
      </x:c>
      <x:c r="M140" s="16" t="str">
        <x:v>ninguna</x:v>
      </x:c>
      <x:c r="N140" s="18" t="n">
        <x:v>0</x:v>
      </x:c>
      <x:c r="O140" s="16" t="str">
        <x:v>sum_distinct_instances</x:v>
      </x:c>
      <x:c r="P140" s="16" t="str">
        <x:v>Ver contrato de target</x:v>
      </x:c>
      <x:c r="Q140" s="16" t="str">
        <x:v>Flujo explícito; afecta caja y cálculo fiscal durante su vigencia.</x:v>
      </x:c>
      <x:c r="R140" s="16" t="str">
        <x:v>expense</x:v>
      </x:c>
      <x:c r="S140" s="16" t="str">
        <x:v>10</x:v>
      </x:c>
    </x:row>
    <x:row r="141" ht="34" customHeight="1">
      <x:c r="A141" s="17" t="str">
        <x:v>e136</x:v>
      </x:c>
      <x:c r="B141" s="17" t="str">
        <x:v>desarrollar_tecnologia</x:v>
      </x:c>
      <x:c r="C141" s="17" t="str">
        <x:v>ledger</x:v>
      </x:c>
      <x:c r="D141" s="17" t="str">
        <x:v>expense_once</x:v>
      </x:c>
      <x:c r="E141" s="17" t="n">
        <x:v>220</x:v>
      </x:c>
      <x:c r="F141" s="17" t="str">
        <x:v>+</x:v>
      </x:c>
      <x:c r="G141" s="17" t="str">
        <x:v>flow</x:v>
      </x:c>
      <x:c r="H141" s="17" t="str">
        <x:v>execute</x:v>
      </x:c>
      <x:c r="I141" s="19" t="n">
        <x:v>0</x:v>
      </x:c>
      <x:c r="J141" s="19" t="n">
        <x:v>1</x:v>
      </x:c>
      <x:c r="K141" s="17" t="str">
        <x:v>immediate</x:v>
      </x:c>
      <x:c r="L141" s="17" t="str">
        <x:v>true</x:v>
      </x:c>
      <x:c r="M141" s="17" t="str">
        <x:v>ninguna</x:v>
      </x:c>
      <x:c r="N141" s="19" t="n">
        <x:v>0</x:v>
      </x:c>
      <x:c r="O141" s="17" t="str">
        <x:v>sum_distinct_instances</x:v>
      </x:c>
      <x:c r="P141" s="17" t="str">
        <x:v>Ver contrato de target</x:v>
      </x:c>
      <x:c r="Q141" s="17" t="str">
        <x:v>Coste administrativo o programa. No se duplica con la columna fiscal de 04.</x:v>
      </x:c>
      <x:c r="R141" s="17" t="str">
        <x:v>expense</x:v>
      </x:c>
      <x:c r="S141" s="17" t="str">
        <x:v>220</x:v>
      </x:c>
    </x:row>
    <x:row r="142" ht="34" customHeight="1">
      <x:c r="A142" s="16" t="str">
        <x:v>e137</x:v>
      </x:c>
      <x:c r="B142" s="16" t="str">
        <x:v>desarrollar_tecnologia</x:v>
      </x:c>
      <x:c r="C142" s="16" t="str">
        <x:v>indicator</x:v>
      </x:c>
      <x:c r="D142" s="16" t="str">
        <x:v>ciencia</x:v>
      </x:c>
      <x:c r="E142" s="16" t="n">
        <x:v>3</x:v>
      </x:c>
      <x:c r="F142" s="16" t="str">
        <x:v>+</x:v>
      </x:c>
      <x:c r="G142" s="16" t="str">
        <x:v>pulse</x:v>
      </x:c>
      <x:c r="H142" s="16" t="str">
        <x:v>close</x:v>
      </x:c>
      <x:c r="I142" s="18" t="n">
        <x:v>1</x:v>
      </x:c>
      <x:c r="J142" s="18" t="n">
        <x:v>1</x:v>
      </x:c>
      <x:c r="K142" s="16" t="str">
        <x:v>delayed</x:v>
      </x:c>
      <x:c r="L142" s="16" t="str">
        <x:v>true</x:v>
      </x:c>
      <x:c r="M142" s="16" t="str">
        <x:v>ninguna</x:v>
      </x:c>
      <x:c r="N142" s="18" t="n">
        <x:v>0</x:v>
      </x:c>
      <x:c r="O142" s="16" t="str">
        <x:v>sum_distinct_instances</x:v>
      </x:c>
      <x:c r="P142" s="16" t="str">
        <x:v>0..100; cap de cambio ±12 salvo expiraciones</x:v>
      </x:c>
      <x:c r="Q142" s="16" t="str">
        <x:v>Variación de resultado; no altera directamente satisfacción ni voto.</x:v>
      </x:c>
      <x:c r="R142" s="16" t="str">
        <x:v>n.a.</x:v>
      </x:c>
      <x:c r="S142" s="16" t="str">
        <x:v>3</x:v>
      </x:c>
    </x:row>
    <x:row r="143" ht="34" customHeight="1">
      <x:c r="A143" s="17" t="str">
        <x:v>e138</x:v>
      </x:c>
      <x:c r="B143" s="17" t="str">
        <x:v>desarrollar_tecnologia</x:v>
      </x:c>
      <x:c r="C143" s="17" t="str">
        <x:v>indicator</x:v>
      </x:c>
      <x:c r="D143" s="17" t="str">
        <x:v>actividad</x:v>
      </x:c>
      <x:c r="E143" s="17" t="n">
        <x:v>4</x:v>
      </x:c>
      <x:c r="F143" s="17" t="str">
        <x:v>+</x:v>
      </x:c>
      <x:c r="G143" s="17" t="str">
        <x:v>offset</x:v>
      </x:c>
      <x:c r="H143" s="17" t="str">
        <x:v>close</x:v>
      </x:c>
      <x:c r="I143" s="19" t="n">
        <x:v>3</x:v>
      </x:c>
      <x:c r="J143" s="19" t="n">
        <x:v>4</x:v>
      </x:c>
      <x:c r="K143" s="17" t="str">
        <x:v>delayed+persistent</x:v>
      </x:c>
      <x:c r="L143" s="17" t="str">
        <x:v>true</x:v>
      </x:c>
      <x:c r="M143" s="17" t="str">
        <x:v>ninguna</x:v>
      </x:c>
      <x:c r="N143" s="19" t="n">
        <x:v>0</x:v>
      </x:c>
      <x:c r="O143" s="17" t="str">
        <x:v>reject_active</x:v>
      </x:c>
      <x:c r="P143" s="17" t="str">
        <x:v>0..100; cap de cambio ±12 salvo expiraciones</x:v>
      </x:c>
      <x:c r="Q143" s="17" t="str">
        <x:v>Variación de resultado; no altera directamente satisfacción ni voto.</x:v>
      </x:c>
      <x:c r="R143" s="17" t="str">
        <x:v>n.a.</x:v>
      </x:c>
      <x:c r="S143" s="17" t="str">
        <x:v>4</x:v>
      </x:c>
    </x:row>
    <x:row r="144" ht="34" customHeight="1">
      <x:c r="A144" s="16" t="str">
        <x:v>e139</x:v>
      </x:c>
      <x:c r="B144" s="16" t="str">
        <x:v>credito_pyme</x:v>
      </x:c>
      <x:c r="C144" s="16" t="str">
        <x:v>ledger</x:v>
      </x:c>
      <x:c r="D144" s="16" t="str">
        <x:v>expense_once</x:v>
      </x:c>
      <x:c r="E144" s="16" t="n">
        <x:v>160</x:v>
      </x:c>
      <x:c r="F144" s="16" t="str">
        <x:v>+</x:v>
      </x:c>
      <x:c r="G144" s="16" t="str">
        <x:v>flow</x:v>
      </x:c>
      <x:c r="H144" s="16" t="str">
        <x:v>execute</x:v>
      </x:c>
      <x:c r="I144" s="18" t="n">
        <x:v>0</x:v>
      </x:c>
      <x:c r="J144" s="18" t="n">
        <x:v>1</x:v>
      </x:c>
      <x:c r="K144" s="16" t="str">
        <x:v>immediate</x:v>
      </x:c>
      <x:c r="L144" s="16" t="str">
        <x:v>true</x:v>
      </x:c>
      <x:c r="M144" s="16" t="str">
        <x:v>ninguna</x:v>
      </x:c>
      <x:c r="N144" s="18" t="n">
        <x:v>0</x:v>
      </x:c>
      <x:c r="O144" s="16" t="str">
        <x:v>sum_distinct_instances</x:v>
      </x:c>
      <x:c r="P144" s="16" t="str">
        <x:v>Ver contrato de target</x:v>
      </x:c>
      <x:c r="Q144" s="16" t="str">
        <x:v>Coste administrativo o programa. No se duplica con la columna fiscal de 04.</x:v>
      </x:c>
      <x:c r="R144" s="16" t="str">
        <x:v>expense</x:v>
      </x:c>
      <x:c r="S144" s="16" t="str">
        <x:v>160</x:v>
      </x:c>
    </x:row>
    <x:row r="145" ht="34" customHeight="1">
      <x:c r="A145" s="17" t="str">
        <x:v>e140</x:v>
      </x:c>
      <x:c r="B145" s="17" t="str">
        <x:v>credito_pyme</x:v>
      </x:c>
      <x:c r="C145" s="17" t="str">
        <x:v>indicator</x:v>
      </x:c>
      <x:c r="D145" s="17" t="str">
        <x:v>credito</x:v>
      </x:c>
      <x:c r="E145" s="17" t="n">
        <x:v>6</x:v>
      </x:c>
      <x:c r="F145" s="17" t="str">
        <x:v>+</x:v>
      </x:c>
      <x:c r="G145" s="17" t="str">
        <x:v>offset</x:v>
      </x:c>
      <x:c r="H145" s="17" t="str">
        <x:v>close</x:v>
      </x:c>
      <x:c r="I145" s="19" t="n">
        <x:v>1</x:v>
      </x:c>
      <x:c r="J145" s="19" t="n">
        <x:v>4</x:v>
      </x:c>
      <x:c r="K145" s="17" t="str">
        <x:v>delayed+persistent</x:v>
      </x:c>
      <x:c r="L145" s="17" t="str">
        <x:v>true</x:v>
      </x:c>
      <x:c r="M145" s="17" t="str">
        <x:v>ninguna</x:v>
      </x:c>
      <x:c r="N145" s="19" t="n">
        <x:v>0</x:v>
      </x:c>
      <x:c r="O145" s="17" t="str">
        <x:v>reject_active</x:v>
      </x:c>
      <x:c r="P145" s="17" t="str">
        <x:v>0..100; cap de cambio ±12 salvo expiraciones</x:v>
      </x:c>
      <x:c r="Q145" s="17" t="str">
        <x:v>Variación de resultado; no altera directamente satisfacción ni voto.</x:v>
      </x:c>
      <x:c r="R145" s="17" t="str">
        <x:v>n.a.</x:v>
      </x:c>
      <x:c r="S145" s="17" t="str">
        <x:v>6</x:v>
      </x:c>
    </x:row>
    <x:row r="146" ht="34" customHeight="1">
      <x:c r="A146" s="16" t="str">
        <x:v>e141</x:v>
      </x:c>
      <x:c r="B146" s="16" t="str">
        <x:v>credito_pyme</x:v>
      </x:c>
      <x:c r="C146" s="16" t="str">
        <x:v>ledger</x:v>
      </x:c>
      <x:c r="D146" s="16" t="str">
        <x:v>expense_recurring</x:v>
      </x:c>
      <x:c r="E146" s="16" t="n">
        <x:v>15</x:v>
      </x:c>
      <x:c r="F146" s="16" t="str">
        <x:v>+</x:v>
      </x:c>
      <x:c r="G146" s="16" t="str">
        <x:v>flow</x:v>
      </x:c>
      <x:c r="H146" s="16" t="str">
        <x:v>close</x:v>
      </x:c>
      <x:c r="I146" s="18" t="n">
        <x:v>1</x:v>
      </x:c>
      <x:c r="J146" s="18" t="n">
        <x:v>4</x:v>
      </x:c>
      <x:c r="K146" s="16" t="str">
        <x:v>delayed+persistent</x:v>
      </x:c>
      <x:c r="L146" s="16" t="str">
        <x:v>true</x:v>
      </x:c>
      <x:c r="M146" s="16" t="str">
        <x:v>ninguna</x:v>
      </x:c>
      <x:c r="N146" s="18" t="n">
        <x:v>0</x:v>
      </x:c>
      <x:c r="O146" s="16" t="str">
        <x:v>sum_distinct_instances</x:v>
      </x:c>
      <x:c r="P146" s="16" t="str">
        <x:v>Ver contrato de target</x:v>
      </x:c>
      <x:c r="Q146" s="16" t="str">
        <x:v>Flujo explícito; afecta caja y cálculo fiscal durante su vigencia.</x:v>
      </x:c>
      <x:c r="R146" s="16" t="str">
        <x:v>expense</x:v>
      </x:c>
      <x:c r="S146" s="16" t="str">
        <x:v>15</x:v>
      </x:c>
    </x:row>
    <x:row r="147" ht="34" customHeight="1">
      <x:c r="A147" s="17" t="str">
        <x:v>e142</x:v>
      </x:c>
      <x:c r="B147" s="17" t="str">
        <x:v>credito_pyme</x:v>
      </x:c>
      <x:c r="C147" s="17" t="str">
        <x:v>indicator</x:v>
      </x:c>
      <x:c r="D147" s="17" t="str">
        <x:v>credito</x:v>
      </x:c>
      <x:c r="E147" s="17" t="n">
        <x:v>-2</x:v>
      </x:c>
      <x:c r="F147" s="17" t="str">
        <x:v>-</x:v>
      </x:c>
      <x:c r="G147" s="17" t="str">
        <x:v>pulse</x:v>
      </x:c>
      <x:c r="H147" s="17" t="str">
        <x:v>close</x:v>
      </x:c>
      <x:c r="I147" s="19" t="n">
        <x:v>3</x:v>
      </x:c>
      <x:c r="J147" s="19" t="n">
        <x:v>1</x:v>
      </x:c>
      <x:c r="K147" s="17" t="str">
        <x:v>conditional</x:v>
      </x:c>
      <x:c r="L147" s="17" t="str">
        <x:v>pre.actividad&lt;35</x:v>
      </x:c>
      <x:c r="M147" s="17" t="str">
        <x:v>ninguna</x:v>
      </x:c>
      <x:c r="N147" s="19" t="n">
        <x:v>0</x:v>
      </x:c>
      <x:c r="O147" s="17" t="str">
        <x:v>sum_distinct_instances</x:v>
      </x:c>
      <x:c r="P147" s="17" t="str">
        <x:v>0..100; cap de cambio ±12 salvo expiraciones</x:v>
      </x:c>
      <x:c r="Q147" s="17" t="str">
        <x:v>Mora en recesión profunda.</x:v>
      </x:c>
      <x:c r="R147" s="17" t="str">
        <x:v>n.a.</x:v>
      </x:c>
      <x:c r="S147" s="17" t="str">
        <x:v>-2</x:v>
      </x:c>
    </x:row>
    <x:row r="148" ht="34" customHeight="1">
      <x:c r="A148" s="16" t="str">
        <x:v>e143</x:v>
      </x:c>
      <x:c r="B148" s="16" t="str">
        <x:v>carrera_cientifica</x:v>
      </x:c>
      <x:c r="C148" s="16" t="str">
        <x:v>ledger</x:v>
      </x:c>
      <x:c r="D148" s="16" t="str">
        <x:v>expense_once</x:v>
      </x:c>
      <x:c r="E148" s="16" t="n">
        <x:v>100</x:v>
      </x:c>
      <x:c r="F148" s="16" t="str">
        <x:v>+</x:v>
      </x:c>
      <x:c r="G148" s="16" t="str">
        <x:v>flow</x:v>
      </x:c>
      <x:c r="H148" s="16" t="str">
        <x:v>execute</x:v>
      </x:c>
      <x:c r="I148" s="18" t="n">
        <x:v>0</x:v>
      </x:c>
      <x:c r="J148" s="18" t="n">
        <x:v>1</x:v>
      </x:c>
      <x:c r="K148" s="16" t="str">
        <x:v>immediate</x:v>
      </x:c>
      <x:c r="L148" s="16" t="str">
        <x:v>true</x:v>
      </x:c>
      <x:c r="M148" s="16" t="str">
        <x:v>ninguna</x:v>
      </x:c>
      <x:c r="N148" s="18" t="n">
        <x:v>0</x:v>
      </x:c>
      <x:c r="O148" s="16" t="str">
        <x:v>sum_distinct_instances</x:v>
      </x:c>
      <x:c r="P148" s="16" t="str">
        <x:v>Ver contrato de target</x:v>
      </x:c>
      <x:c r="Q148" s="16" t="str">
        <x:v>Coste administrativo o programa. No se duplica con la columna fiscal de 04.</x:v>
      </x:c>
      <x:c r="R148" s="16" t="str">
        <x:v>expense</x:v>
      </x:c>
      <x:c r="S148" s="16" t="str">
        <x:v>100</x:v>
      </x:c>
    </x:row>
    <x:row r="149" ht="34" customHeight="1">
      <x:c r="A149" s="17" t="str">
        <x:v>e144</x:v>
      </x:c>
      <x:c r="B149" s="17" t="str">
        <x:v>carrera_cientifica</x:v>
      </x:c>
      <x:c r="C149" s="17" t="str">
        <x:v>indicator</x:v>
      </x:c>
      <x:c r="D149" s="17" t="str">
        <x:v>ciencia</x:v>
      </x:c>
      <x:c r="E149" s="17" t="n">
        <x:v>6</x:v>
      </x:c>
      <x:c r="F149" s="17" t="str">
        <x:v>+</x:v>
      </x:c>
      <x:c r="G149" s="17" t="str">
        <x:v>pulse</x:v>
      </x:c>
      <x:c r="H149" s="17" t="str">
        <x:v>close</x:v>
      </x:c>
      <x:c r="I149" s="19" t="n">
        <x:v>2</x:v>
      </x:c>
      <x:c r="J149" s="19" t="n">
        <x:v>1</x:v>
      </x:c>
      <x:c r="K149" s="17" t="str">
        <x:v>delayed</x:v>
      </x:c>
      <x:c r="L149" s="17" t="str">
        <x:v>true</x:v>
      </x:c>
      <x:c r="M149" s="17" t="str">
        <x:v>ninguna</x:v>
      </x:c>
      <x:c r="N149" s="19" t="n">
        <x:v>0</x:v>
      </x:c>
      <x:c r="O149" s="17" t="str">
        <x:v>sum_distinct_instances</x:v>
      </x:c>
      <x:c r="P149" s="17" t="str">
        <x:v>0..100; cap de cambio ±12 salvo expiraciones</x:v>
      </x:c>
      <x:c r="Q149" s="17" t="str">
        <x:v>Variación de resultado; no altera directamente satisfacción ni voto.</x:v>
      </x:c>
      <x:c r="R149" s="17" t="str">
        <x:v>n.a.</x:v>
      </x:c>
      <x:c r="S149" s="17" t="str">
        <x:v>6</x:v>
      </x:c>
    </x:row>
    <x:row r="150" ht="34" customHeight="1">
      <x:c r="A150" s="16" t="str">
        <x:v>e145</x:v>
      </x:c>
      <x:c r="B150" s="16" t="str">
        <x:v>carrera_cientifica</x:v>
      </x:c>
      <x:c r="C150" s="16" t="str">
        <x:v>ledger</x:v>
      </x:c>
      <x:c r="D150" s="16" t="str">
        <x:v>expense_recurring</x:v>
      </x:c>
      <x:c r="E150" s="16" t="n">
        <x:v>30</x:v>
      </x:c>
      <x:c r="F150" s="16" t="str">
        <x:v>+</x:v>
      </x:c>
      <x:c r="G150" s="16" t="str">
        <x:v>flow</x:v>
      </x:c>
      <x:c r="H150" s="16" t="str">
        <x:v>close</x:v>
      </x:c>
      <x:c r="I150" s="18" t="n">
        <x:v>1</x:v>
      </x:c>
      <x:c r="J150" s="18" t="n">
        <x:v>0</x:v>
      </x:c>
      <x:c r="K150" s="16" t="str">
        <x:v>delayed</x:v>
      </x:c>
      <x:c r="L150" s="16" t="str">
        <x:v>true</x:v>
      </x:c>
      <x:c r="M150" s="16" t="str">
        <x:v>ninguna</x:v>
      </x:c>
      <x:c r="N150" s="18" t="n">
        <x:v>0</x:v>
      </x:c>
      <x:c r="O150" s="16" t="str">
        <x:v>sum_distinct_instances</x:v>
      </x:c>
      <x:c r="P150" s="16" t="str">
        <x:v>Ver contrato de target</x:v>
      </x:c>
      <x:c r="Q150" s="16" t="str">
        <x:v>Flujo explícito; afecta caja y cálculo fiscal durante su vigencia.</x:v>
      </x:c>
      <x:c r="R150" s="16" t="str">
        <x:v>expense</x:v>
      </x:c>
      <x:c r="S150" s="16" t="str">
        <x:v>30</x:v>
      </x:c>
    </x:row>
    <x:row r="151" ht="34" customHeight="1">
      <x:c r="A151" s="17" t="str">
        <x:v>e146</x:v>
      </x:c>
      <x:c r="B151" s="17" t="str">
        <x:v>transparencia_publica</x:v>
      </x:c>
      <x:c r="C151" s="17" t="str">
        <x:v>ledger</x:v>
      </x:c>
      <x:c r="D151" s="17" t="str">
        <x:v>expense_once</x:v>
      </x:c>
      <x:c r="E151" s="17" t="n">
        <x:v>100</x:v>
      </x:c>
      <x:c r="F151" s="17" t="str">
        <x:v>+</x:v>
      </x:c>
      <x:c r="G151" s="17" t="str">
        <x:v>flow</x:v>
      </x:c>
      <x:c r="H151" s="17" t="str">
        <x:v>execute</x:v>
      </x:c>
      <x:c r="I151" s="19" t="n">
        <x:v>0</x:v>
      </x:c>
      <x:c r="J151" s="19" t="n">
        <x:v>1</x:v>
      </x:c>
      <x:c r="K151" s="17" t="str">
        <x:v>immediate</x:v>
      </x:c>
      <x:c r="L151" s="17" t="str">
        <x:v>true</x:v>
      </x:c>
      <x:c r="M151" s="17" t="str">
        <x:v>ninguna</x:v>
      </x:c>
      <x:c r="N151" s="19" t="n">
        <x:v>0</x:v>
      </x:c>
      <x:c r="O151" s="17" t="str">
        <x:v>sum_distinct_instances</x:v>
      </x:c>
      <x:c r="P151" s="17" t="str">
        <x:v>Ver contrato de target</x:v>
      </x:c>
      <x:c r="Q151" s="17" t="str">
        <x:v>Coste administrativo o programa. No se duplica con la columna fiscal de 04.</x:v>
      </x:c>
      <x:c r="R151" s="17" t="str">
        <x:v>expense</x:v>
      </x:c>
      <x:c r="S151" s="17" t="str">
        <x:v>100</x:v>
      </x:c>
    </x:row>
    <x:row r="152" ht="34" customHeight="1">
      <x:c r="A152" s="16" t="str">
        <x:v>e147</x:v>
      </x:c>
      <x:c r="B152" s="16" t="str">
        <x:v>transparencia_publica</x:v>
      </x:c>
      <x:c r="C152" s="16" t="str">
        <x:v>indicator</x:v>
      </x:c>
      <x:c r="D152" s="16" t="str">
        <x:v>derechos</x:v>
      </x:c>
      <x:c r="E152" s="16" t="n">
        <x:v>5</x:v>
      </x:c>
      <x:c r="F152" s="16" t="str">
        <x:v>+</x:v>
      </x:c>
      <x:c r="G152" s="16" t="str">
        <x:v>pulse</x:v>
      </x:c>
      <x:c r="H152" s="16" t="str">
        <x:v>close</x:v>
      </x:c>
      <x:c r="I152" s="18" t="n">
        <x:v>1</x:v>
      </x:c>
      <x:c r="J152" s="18" t="n">
        <x:v>1</x:v>
      </x:c>
      <x:c r="K152" s="16" t="str">
        <x:v>delayed</x:v>
      </x:c>
      <x:c r="L152" s="16" t="str">
        <x:v>true</x:v>
      </x:c>
      <x:c r="M152" s="16" t="str">
        <x:v>ninguna</x:v>
      </x:c>
      <x:c r="N152" s="18" t="n">
        <x:v>0</x:v>
      </x:c>
      <x:c r="O152" s="16" t="str">
        <x:v>sum_distinct_instances</x:v>
      </x:c>
      <x:c r="P152" s="16" t="str">
        <x:v>0..100; cap de cambio ±12 salvo expiraciones</x:v>
      </x:c>
      <x:c r="Q152" s="16" t="str">
        <x:v>Variación de resultado; no altera directamente satisfacción ni voto.</x:v>
      </x:c>
      <x:c r="R152" s="16" t="str">
        <x:v>n.a.</x:v>
      </x:c>
      <x:c r="S152" s="16" t="str">
        <x:v>5</x:v>
      </x:c>
    </x:row>
    <x:row r="153" ht="34" customHeight="1">
      <x:c r="A153" s="17" t="str">
        <x:v>e148</x:v>
      </x:c>
      <x:c r="B153" s="17" t="str">
        <x:v>transparencia_publica</x:v>
      </x:c>
      <x:c r="C153" s="17" t="str">
        <x:v>ledger</x:v>
      </x:c>
      <x:c r="D153" s="17" t="str">
        <x:v>expense_recurring</x:v>
      </x:c>
      <x:c r="E153" s="17" t="n">
        <x:v>-20</x:v>
      </x:c>
      <x:c r="F153" s="17" t="str">
        <x:v>-</x:v>
      </x:c>
      <x:c r="G153" s="17" t="str">
        <x:v>flow</x:v>
      </x:c>
      <x:c r="H153" s="17" t="str">
        <x:v>close</x:v>
      </x:c>
      <x:c r="I153" s="19" t="n">
        <x:v>3</x:v>
      </x:c>
      <x:c r="J153" s="19" t="n">
        <x:v>0</x:v>
      </x:c>
      <x:c r="K153" s="17" t="str">
        <x:v>delayed</x:v>
      </x:c>
      <x:c r="L153" s="17" t="str">
        <x:v>true</x:v>
      </x:c>
      <x:c r="M153" s="17" t="str">
        <x:v>ninguna</x:v>
      </x:c>
      <x:c r="N153" s="19" t="n">
        <x:v>0</x:v>
      </x:c>
      <x:c r="O153" s="17" t="str">
        <x:v>sum_distinct_instances</x:v>
      </x:c>
      <x:c r="P153" s="17" t="str">
        <x:v>Ver contrato de target</x:v>
      </x:c>
      <x:c r="Q153" s="17" t="str">
        <x:v>Flujo explícito; afecta caja y cálculo fiscal durante su vigencia.</x:v>
      </x:c>
      <x:c r="R153" s="17" t="str">
        <x:v>expense</x:v>
      </x:c>
      <x:c r="S153" s="17" t="str">
        <x:v>-20</x:v>
      </x:c>
    </x:row>
    <x:row r="154" ht="34" customHeight="1">
      <x:c r="A154" s="16" t="str">
        <x:v>e149</x:v>
      </x:c>
      <x:c r="B154" s="16" t="str">
        <x:v>estabilizacion_monetaria</x:v>
      </x:c>
      <x:c r="C154" s="16" t="str">
        <x:v>ledger</x:v>
      </x:c>
      <x:c r="D154" s="16" t="str">
        <x:v>expense_once</x:v>
      </x:c>
      <x:c r="E154" s="16" t="n">
        <x:v>50</x:v>
      </x:c>
      <x:c r="F154" s="16" t="str">
        <x:v>+</x:v>
      </x:c>
      <x:c r="G154" s="16" t="str">
        <x:v>flow</x:v>
      </x:c>
      <x:c r="H154" s="16" t="str">
        <x:v>execute</x:v>
      </x:c>
      <x:c r="I154" s="18" t="n">
        <x:v>0</x:v>
      </x:c>
      <x:c r="J154" s="18" t="n">
        <x:v>1</x:v>
      </x:c>
      <x:c r="K154" s="16" t="str">
        <x:v>immediate</x:v>
      </x:c>
      <x:c r="L154" s="16" t="str">
        <x:v>true</x:v>
      </x:c>
      <x:c r="M154" s="16" t="str">
        <x:v>ninguna</x:v>
      </x:c>
      <x:c r="N154" s="18" t="n">
        <x:v>0</x:v>
      </x:c>
      <x:c r="O154" s="16" t="str">
        <x:v>sum_distinct_instances</x:v>
      </x:c>
      <x:c r="P154" s="16" t="str">
        <x:v>Ver contrato de target</x:v>
      </x:c>
      <x:c r="Q154" s="16" t="str">
        <x:v>Coste administrativo o programa. No se duplica con la columna fiscal de 04.</x:v>
      </x:c>
      <x:c r="R154" s="16" t="str">
        <x:v>expense</x:v>
      </x:c>
      <x:c r="S154" s="16" t="str">
        <x:v>50</x:v>
      </x:c>
    </x:row>
    <x:row r="155" ht="34" customHeight="1">
      <x:c r="A155" s="17" t="str">
        <x:v>e150</x:v>
      </x:c>
      <x:c r="B155" s="17" t="str">
        <x:v>estabilizacion_monetaria</x:v>
      </x:c>
      <x:c r="C155" s="17" t="str">
        <x:v>indicator</x:v>
      </x:c>
      <x:c r="D155" s="17" t="str">
        <x:v>inflacion</x:v>
      </x:c>
      <x:c r="E155" s="17" t="n">
        <x:v>-3</x:v>
      </x:c>
      <x:c r="F155" s="17" t="str">
        <x:v>-</x:v>
      </x:c>
      <x:c r="G155" s="17" t="str">
        <x:v>per_turn</x:v>
      </x:c>
      <x:c r="H155" s="17" t="str">
        <x:v>close</x:v>
      </x:c>
      <x:c r="I155" s="19" t="n">
        <x:v>1</x:v>
      </x:c>
      <x:c r="J155" s="19" t="n">
        <x:v>3</x:v>
      </x:c>
      <x:c r="K155" s="17" t="str">
        <x:v>delayed+persistent</x:v>
      </x:c>
      <x:c r="L155" s="17" t="str">
        <x:v>true</x:v>
      </x:c>
      <x:c r="M155" s="17" t="str">
        <x:v>ninguna</x:v>
      </x:c>
      <x:c r="N155" s="19" t="n">
        <x:v>0</x:v>
      </x:c>
      <x:c r="O155" s="17" t="str">
        <x:v>sum_distinct_instances</x:v>
      </x:c>
      <x:c r="P155" s="17" t="str">
        <x:v>0..100; cap de cambio ±12 salvo expiraciones</x:v>
      </x:c>
      <x:c r="Q155" s="17" t="str">
        <x:v>Variación de resultado; no altera directamente satisfacción ni voto.</x:v>
      </x:c>
      <x:c r="R155" s="17" t="str">
        <x:v>n.a.</x:v>
      </x:c>
      <x:c r="S155" s="17" t="str">
        <x:v>-3</x:v>
      </x:c>
    </x:row>
    <x:row r="156" ht="34" customHeight="1">
      <x:c r="A156" s="16" t="str">
        <x:v>e151</x:v>
      </x:c>
      <x:c r="B156" s="16" t="str">
        <x:v>estabilizacion_monetaria</x:v>
      </x:c>
      <x:c r="C156" s="16" t="str">
        <x:v>indicator</x:v>
      </x:c>
      <x:c r="D156" s="16" t="str">
        <x:v>credito</x:v>
      </x:c>
      <x:c r="E156" s="16" t="n">
        <x:v>-3</x:v>
      </x:c>
      <x:c r="F156" s="16" t="str">
        <x:v>-</x:v>
      </x:c>
      <x:c r="G156" s="16" t="str">
        <x:v>offset</x:v>
      </x:c>
      <x:c r="H156" s="16" t="str">
        <x:v>close</x:v>
      </x:c>
      <x:c r="I156" s="18" t="n">
        <x:v>0</x:v>
      </x:c>
      <x:c r="J156" s="18" t="n">
        <x:v>3</x:v>
      </x:c>
      <x:c r="K156" s="16" t="str">
        <x:v>persistent</x:v>
      </x:c>
      <x:c r="L156" s="16" t="str">
        <x:v>true</x:v>
      </x:c>
      <x:c r="M156" s="16" t="str">
        <x:v>ninguna</x:v>
      </x:c>
      <x:c r="N156" s="18" t="n">
        <x:v>0</x:v>
      </x:c>
      <x:c r="O156" s="16" t="str">
        <x:v>reject_active</x:v>
      </x:c>
      <x:c r="P156" s="16" t="str">
        <x:v>0..100; cap de cambio ±12 salvo expiraciones</x:v>
      </x:c>
      <x:c r="Q156" s="16" t="str">
        <x:v>Variación de resultado; no altera directamente satisfacción ni voto.</x:v>
      </x:c>
      <x:c r="R156" s="16" t="str">
        <x:v>n.a.</x:v>
      </x:c>
      <x:c r="S156" s="16" t="str">
        <x:v>-3</x:v>
      </x:c>
    </x:row>
    <x:row r="157" ht="34" customHeight="1">
      <x:c r="A157" s="17" t="str">
        <x:v>e152</x:v>
      </x:c>
      <x:c r="B157" s="17" t="str">
        <x:v>estabilizacion_monetaria</x:v>
      </x:c>
      <x:c r="C157" s="17" t="str">
        <x:v>indicator</x:v>
      </x:c>
      <x:c r="D157" s="17" t="str">
        <x:v>actividad</x:v>
      </x:c>
      <x:c r="E157" s="17" t="n">
        <x:v>-2</x:v>
      </x:c>
      <x:c r="F157" s="17" t="str">
        <x:v>-</x:v>
      </x:c>
      <x:c r="G157" s="17" t="str">
        <x:v>offset</x:v>
      </x:c>
      <x:c r="H157" s="17" t="str">
        <x:v>close</x:v>
      </x:c>
      <x:c r="I157" s="19" t="n">
        <x:v>0</x:v>
      </x:c>
      <x:c r="J157" s="19" t="n">
        <x:v>3</x:v>
      </x:c>
      <x:c r="K157" s="17" t="str">
        <x:v>persistent</x:v>
      </x:c>
      <x:c r="L157" s="17" t="str">
        <x:v>true</x:v>
      </x:c>
      <x:c r="M157" s="17" t="str">
        <x:v>ninguna</x:v>
      </x:c>
      <x:c r="N157" s="19" t="n">
        <x:v>0</x:v>
      </x:c>
      <x:c r="O157" s="17" t="str">
        <x:v>reject_active</x:v>
      </x:c>
      <x:c r="P157" s="17" t="str">
        <x:v>0..100; cap de cambio ±12 salvo expiraciones</x:v>
      </x:c>
      <x:c r="Q157" s="17" t="str">
        <x:v>Variación de resultado; no altera directamente satisfacción ni voto.</x:v>
      </x:c>
      <x:c r="R157" s="17" t="str">
        <x:v>n.a.</x:v>
      </x:c>
      <x:c r="S157" s="17" t="str">
        <x:v>-2</x:v>
      </x:c>
    </x:row>
    <x:row r="158" ht="34" customHeight="1">
      <x:c r="A158" s="16" t="str">
        <x:v>e153</x:v>
      </x:c>
      <x:c r="B158" s="16" t="str">
        <x:v>alivio_tributario</x:v>
      </x:c>
      <x:c r="C158" s="16" t="str">
        <x:v>ledger</x:v>
      </x:c>
      <x:c r="D158" s="16" t="str">
        <x:v>expense_once</x:v>
      </x:c>
      <x:c r="E158" s="16" t="n">
        <x:v>30</x:v>
      </x:c>
      <x:c r="F158" s="16" t="str">
        <x:v>+</x:v>
      </x:c>
      <x:c r="G158" s="16" t="str">
        <x:v>flow</x:v>
      </x:c>
      <x:c r="H158" s="16" t="str">
        <x:v>execute</x:v>
      </x:c>
      <x:c r="I158" s="18" t="n">
        <x:v>0</x:v>
      </x:c>
      <x:c r="J158" s="18" t="n">
        <x:v>1</x:v>
      </x:c>
      <x:c r="K158" s="16" t="str">
        <x:v>immediate</x:v>
      </x:c>
      <x:c r="L158" s="16" t="str">
        <x:v>true</x:v>
      </x:c>
      <x:c r="M158" s="16" t="str">
        <x:v>ninguna</x:v>
      </x:c>
      <x:c r="N158" s="18" t="n">
        <x:v>0</x:v>
      </x:c>
      <x:c r="O158" s="16" t="str">
        <x:v>sum_distinct_instances</x:v>
      </x:c>
      <x:c r="P158" s="16" t="str">
        <x:v>Ver contrato de target</x:v>
      </x:c>
      <x:c r="Q158" s="16" t="str">
        <x:v>Coste administrativo o programa. No se duplica con la columna fiscal de 04.</x:v>
      </x:c>
      <x:c r="R158" s="16" t="str">
        <x:v>expense</x:v>
      </x:c>
      <x:c r="S158" s="16" t="str">
        <x:v>30</x:v>
      </x:c>
    </x:row>
    <x:row r="159" ht="34" customHeight="1">
      <x:c r="A159" s="17" t="str">
        <x:v>e154</x:v>
      </x:c>
      <x:c r="B159" s="17" t="str">
        <x:v>alivio_tributario</x:v>
      </x:c>
      <x:c r="C159" s="17" t="str">
        <x:v>ledger</x:v>
      </x:c>
      <x:c r="D159" s="17" t="str">
        <x:v>revenue_recurring</x:v>
      </x:c>
      <x:c r="E159" s="17" t="n">
        <x:v>-60</x:v>
      </x:c>
      <x:c r="F159" s="17" t="str">
        <x:v>-</x:v>
      </x:c>
      <x:c r="G159" s="17" t="str">
        <x:v>flow</x:v>
      </x:c>
      <x:c r="H159" s="17" t="str">
        <x:v>close</x:v>
      </x:c>
      <x:c r="I159" s="19" t="n">
        <x:v>1</x:v>
      </x:c>
      <x:c r="J159" s="19" t="n">
        <x:v>4</x:v>
      </x:c>
      <x:c r="K159" s="17" t="str">
        <x:v>delayed+persistent</x:v>
      </x:c>
      <x:c r="L159" s="17" t="str">
        <x:v>true</x:v>
      </x:c>
      <x:c r="M159" s="17" t="str">
        <x:v>ninguna</x:v>
      </x:c>
      <x:c r="N159" s="19" t="n">
        <x:v>0</x:v>
      </x:c>
      <x:c r="O159" s="17" t="str">
        <x:v>sum_distinct_instances</x:v>
      </x:c>
      <x:c r="P159" s="17" t="str">
        <x:v>Ver contrato de target</x:v>
      </x:c>
      <x:c r="Q159" s="17" t="str">
        <x:v>Flujo explícito; afecta caja y cálculo fiscal durante su vigencia.</x:v>
      </x:c>
      <x:c r="R159" s="17" t="str">
        <x:v>revenue</x:v>
      </x:c>
      <x:c r="S159" s="17" t="str">
        <x:v>-60</x:v>
      </x:c>
    </x:row>
    <x:row r="160" ht="34" customHeight="1">
      <x:c r="A160" s="16" t="str">
        <x:v>e155</x:v>
      </x:c>
      <x:c r="B160" s="16" t="str">
        <x:v>alivio_tributario</x:v>
      </x:c>
      <x:c r="C160" s="16" t="str">
        <x:v>indicator</x:v>
      </x:c>
      <x:c r="D160" s="16" t="str">
        <x:v>ingreso_real</x:v>
      </x:c>
      <x:c r="E160" s="16" t="n">
        <x:v>3</x:v>
      </x:c>
      <x:c r="F160" s="16" t="str">
        <x:v>+</x:v>
      </x:c>
      <x:c r="G160" s="16" t="str">
        <x:v>offset</x:v>
      </x:c>
      <x:c r="H160" s="16" t="str">
        <x:v>close</x:v>
      </x:c>
      <x:c r="I160" s="18" t="n">
        <x:v>1</x:v>
      </x:c>
      <x:c r="J160" s="18" t="n">
        <x:v>4</x:v>
      </x:c>
      <x:c r="K160" s="16" t="str">
        <x:v>delayed+persistent</x:v>
      </x:c>
      <x:c r="L160" s="16" t="str">
        <x:v>true</x:v>
      </x:c>
      <x:c r="M160" s="16" t="str">
        <x:v>ninguna</x:v>
      </x:c>
      <x:c r="N160" s="18" t="n">
        <x:v>0</x:v>
      </x:c>
      <x:c r="O160" s="16" t="str">
        <x:v>reject_active</x:v>
      </x:c>
      <x:c r="P160" s="16" t="str">
        <x:v>0..100; cap de cambio ±12 salvo expiraciones</x:v>
      </x:c>
      <x:c r="Q160" s="16" t="str">
        <x:v>Variación de resultado; no altera directamente satisfacción ni voto.</x:v>
      </x:c>
      <x:c r="R160" s="16" t="str">
        <x:v>n.a.</x:v>
      </x:c>
      <x:c r="S160" s="16" t="str">
        <x:v>3</x:v>
      </x:c>
    </x:row>
    <x:row r="161" ht="34" customHeight="1">
      <x:c r="A161" s="17" t="str">
        <x:v>e156</x:v>
      </x:c>
      <x:c r="B161" s="17" t="str">
        <x:v>alivio_tributario</x:v>
      </x:c>
      <x:c r="C161" s="17" t="str">
        <x:v>indicator</x:v>
      </x:c>
      <x:c r="D161" s="17" t="str">
        <x:v>actividad</x:v>
      </x:c>
      <x:c r="E161" s="17" t="n">
        <x:v>2</x:v>
      </x:c>
      <x:c r="F161" s="17" t="str">
        <x:v>+</x:v>
      </x:c>
      <x:c r="G161" s="17" t="str">
        <x:v>offset</x:v>
      </x:c>
      <x:c r="H161" s="17" t="str">
        <x:v>close</x:v>
      </x:c>
      <x:c r="I161" s="19" t="n">
        <x:v>1</x:v>
      </x:c>
      <x:c r="J161" s="19" t="n">
        <x:v>4</x:v>
      </x:c>
      <x:c r="K161" s="17" t="str">
        <x:v>delayed+persistent</x:v>
      </x:c>
      <x:c r="L161" s="17" t="str">
        <x:v>true</x:v>
      </x:c>
      <x:c r="M161" s="17" t="str">
        <x:v>ninguna</x:v>
      </x:c>
      <x:c r="N161" s="19" t="n">
        <x:v>0</x:v>
      </x:c>
      <x:c r="O161" s="17" t="str">
        <x:v>reject_active</x:v>
      </x:c>
      <x:c r="P161" s="17" t="str">
        <x:v>0..100; cap de cambio ±12 salvo expiraciones</x:v>
      </x:c>
      <x:c r="Q161" s="17" t="str">
        <x:v>Variación de resultado; no altera directamente satisfacción ni voto.</x:v>
      </x:c>
      <x:c r="R161" s="17" t="str">
        <x:v>n.a.</x:v>
      </x:c>
      <x:c r="S161" s="17" t="str">
        <x:v>2</x:v>
      </x:c>
    </x:row>
    <x:row r="162" ht="34" customHeight="1">
      <x:c r="A162" s="16" t="str">
        <x:v>e157</x:v>
      </x:c>
      <x:c r="B162" s="16" t="str">
        <x:v>reestructurar_deuda</x:v>
      </x:c>
      <x:c r="C162" s="16" t="str">
        <x:v>ledger</x:v>
      </x:c>
      <x:c r="D162" s="16" t="str">
        <x:v>expense_once</x:v>
      </x:c>
      <x:c r="E162" s="16" t="n">
        <x:v>80</x:v>
      </x:c>
      <x:c r="F162" s="16" t="str">
        <x:v>+</x:v>
      </x:c>
      <x:c r="G162" s="16" t="str">
        <x:v>flow</x:v>
      </x:c>
      <x:c r="H162" s="16" t="str">
        <x:v>execute</x:v>
      </x:c>
      <x:c r="I162" s="18" t="n">
        <x:v>0</x:v>
      </x:c>
      <x:c r="J162" s="18" t="n">
        <x:v>1</x:v>
      </x:c>
      <x:c r="K162" s="16" t="str">
        <x:v>immediate</x:v>
      </x:c>
      <x:c r="L162" s="16" t="str">
        <x:v>true</x:v>
      </x:c>
      <x:c r="M162" s="16" t="str">
        <x:v>ninguna</x:v>
      </x:c>
      <x:c r="N162" s="18" t="n">
        <x:v>0</x:v>
      </x:c>
      <x:c r="O162" s="16" t="str">
        <x:v>sum_distinct_instances</x:v>
      </x:c>
      <x:c r="P162" s="16" t="str">
        <x:v>Ver contrato de target</x:v>
      </x:c>
      <x:c r="Q162" s="16" t="str">
        <x:v>Coste administrativo o programa. No se duplica con la columna fiscal de 04.</x:v>
      </x:c>
      <x:c r="R162" s="16" t="str">
        <x:v>expense</x:v>
      </x:c>
      <x:c r="S162" s="16" t="str">
        <x:v>80</x:v>
      </x:c>
    </x:row>
    <x:row r="163" ht="34" customHeight="1">
      <x:c r="A163" s="17" t="str">
        <x:v>e158</x:v>
      </x:c>
      <x:c r="B163" s="17" t="str">
        <x:v>reestructurar_deuda</x:v>
      </x:c>
      <x:c r="C163" s="17" t="str">
        <x:v>loan</x:v>
      </x:c>
      <x:c r="D163" s="17" t="str">
        <x:v>selectedLoanId</x:v>
      </x:c>
      <x:c r="E163" s="17" t="n">
        <x:v>4</x:v>
      </x:c>
      <x:c r="F163" s="17" t="str">
        <x:v>+</x:v>
      </x:c>
      <x:c r="G163" s="17" t="str">
        <x:v>reschedule</x:v>
      </x:c>
      <x:c r="H163" s="17" t="str">
        <x:v>execute</x:v>
      </x:c>
      <x:c r="I163" s="19" t="n">
        <x:v>0</x:v>
      </x:c>
      <x:c r="J163" s="19" t="n">
        <x:v>1</x:v>
      </x:c>
      <x:c r="K163" s="17" t="str">
        <x:v>immediate</x:v>
      </x:c>
      <x:c r="L163" s="17" t="str">
        <x:v>true</x:v>
      </x:c>
      <x:c r="M163" s="17" t="str">
        <x:v>ninguna</x:v>
      </x:c>
      <x:c r="N163" s="19" t="n">
        <x:v>0</x:v>
      </x:c>
      <x:c r="O163" s="17" t="str">
        <x:v>reject_active</x:v>
      </x:c>
      <x:c r="P163" s="17" t="str">
        <x:v>Ver contrato de target</x:v>
      </x:c>
      <x:c r="Q163" s="17" t="str">
        <x:v>Sólo una vez por contrato: dueTurn +4, interés por turno ×1,25 desde t+1. Principal sin cambios.</x:v>
      </x:c>
      <x:c r="R163" s="17" t="str">
        <x:v>n.a.</x:v>
      </x:c>
      <x:c r="S163" s="17" t="str">
        <x:v>4</x:v>
      </x:c>
    </x:row>
    <x:row r="164" ht="34" customHeight="1">
      <x:c r="A164" s="16" t="str">
        <x:v>e159</x:v>
      </x:c>
      <x:c r="B164" s="16" t="str">
        <x:v>reunirse</x:v>
      </x:c>
      <x:c r="C164" s="16" t="str">
        <x:v>interaction</x:v>
      </x:c>
      <x:c r="D164" s="16" t="str">
        <x:v>actorId</x:v>
      </x:c>
      <x:c r="E164" s="16" t="n">
        <x:v>1</x:v>
      </x:c>
      <x:c r="F164" s="16" t="str">
        <x:v>+</x:v>
      </x:c>
      <x:c r="G164" s="16" t="str">
        <x:v>meet</x:v>
      </x:c>
      <x:c r="H164" s="16" t="str">
        <x:v>execute</x:v>
      </x:c>
      <x:c r="I164" s="18" t="n">
        <x:v>0</x:v>
      </x:c>
      <x:c r="J164" s="18" t="n">
        <x:v>4</x:v>
      </x:c>
      <x:c r="K164" s="16" t="str">
        <x:v>persistent</x:v>
      </x:c>
      <x:c r="L164" s="16" t="str">
        <x:v>true</x:v>
      </x:c>
      <x:c r="M164" s="16" t="str">
        <x:v>ninguna</x:v>
      </x:c>
      <x:c r="N164" s="18" t="n">
        <x:v>0</x:v>
      </x:c>
      <x:c r="O164" s="16" t="str">
        <x:v>reject_active</x:v>
      </x:c>
      <x:c r="P164" s="16" t="str">
        <x:v>Ver contrato de target</x:v>
      </x:c>
      <x:c r="Q164" s="16" t="str">
        <x:v>Costo caja 10+5×difficulty. Cooldown por actor; crea informe fechado.</x:v>
      </x:c>
      <x:c r="R164" s="16" t="str">
        <x:v>n.a.</x:v>
      </x:c>
      <x:c r="S164" s="16" t="str">
        <x:v>1</x:v>
      </x:c>
    </x:row>
    <x:row r="165" ht="34" customHeight="1">
      <x:c r="A165" s="17" t="str">
        <x:v>e160</x:v>
      </x:c>
      <x:c r="B165" s="17" t="str">
        <x:v>negociar</x:v>
      </x:c>
      <x:c r="C165" s="17" t="str">
        <x:v>interaction</x:v>
      </x:c>
      <x:c r="D165" s="17" t="str">
        <x:v>actorId</x:v>
      </x:c>
      <x:c r="E165" s="17" t="n">
        <x:v>1</x:v>
      </x:c>
      <x:c r="F165" s="17" t="str">
        <x:v>+</x:v>
      </x:c>
      <x:c r="G165" s="17" t="str">
        <x:v>negotiate</x:v>
      </x:c>
      <x:c r="H165" s="17" t="str">
        <x:v>execute</x:v>
      </x:c>
      <x:c r="I165" s="19" t="n">
        <x:v>0</x:v>
      </x:c>
      <x:c r="J165" s="19" t="n">
        <x:v>3</x:v>
      </x:c>
      <x:c r="K165" s="17" t="str">
        <x:v>persistent</x:v>
      </x:c>
      <x:c r="L165" s="17" t="str">
        <x:v>true</x:v>
      </x:c>
      <x:c r="M165" s="17" t="str">
        <x:v>ninguna</x:v>
      </x:c>
      <x:c r="N165" s="19" t="n">
        <x:v>0</x:v>
      </x:c>
      <x:c r="O165" s="17" t="str">
        <x:v>reject_active</x:v>
      </x:c>
      <x:c r="P165" s="17" t="str">
        <x:v>Ver contrato de target</x:v>
      </x:c>
      <x:c r="Q165" s="17" t="str">
        <x:v>Costo 15+5×difficulty. Oferta válida 3 turnos; no firma automática.</x:v>
      </x:c>
      <x:c r="R165" s="17" t="str">
        <x:v>n.a.</x:v>
      </x:c>
      <x:c r="S165" s="17" t="str">
        <x:v>1</x:v>
      </x:c>
    </x:row>
    <x:row r="166" ht="34" customHeight="1">
      <x:c r="A166" s="16" t="str">
        <x:v>e161</x:v>
      </x:c>
      <x:c r="B166" s="16" t="str">
        <x:v>firmar_acuerdo</x:v>
      </x:c>
      <x:c r="C166" s="16" t="str">
        <x:v>agreement</x:v>
      </x:c>
      <x:c r="D166" s="16" t="str">
        <x:v>offerId</x:v>
      </x:c>
      <x:c r="E166" s="16" t="n">
        <x:v>1</x:v>
      </x:c>
      <x:c r="F166" s="16" t="str">
        <x:v>+</x:v>
      </x:c>
      <x:c r="G166" s="16" t="str">
        <x:v>sign</x:v>
      </x:c>
      <x:c r="H166" s="16" t="str">
        <x:v>execute</x:v>
      </x:c>
      <x:c r="I166" s="18" t="n">
        <x:v>0</x:v>
      </x:c>
      <x:c r="J166" s="18" t="n">
        <x:v>4</x:v>
      </x:c>
      <x:c r="K166" s="16" t="str">
        <x:v>persistent</x:v>
      </x:c>
      <x:c r="L166" s="16" t="str">
        <x:v>true</x:v>
      </x:c>
      <x:c r="M166" s="16" t="str">
        <x:v>ninguna</x:v>
      </x:c>
      <x:c r="N166" s="18" t="n">
        <x:v>0</x:v>
      </x:c>
      <x:c r="O166" s="16" t="str">
        <x:v>reject_active</x:v>
      </x:c>
      <x:c r="P166" s="16" t="str">
        <x:v>Ver contrato de target</x:v>
      </x:c>
      <x:c r="Q166" s="16" t="str">
        <x:v>Firma no cambia S ni R. Cumplir: R+8 una vez; incumplir: R−12 una vez. Coste oferta no duplicado.</x:v>
      </x:c>
      <x:c r="R166" s="16" t="str">
        <x:v>n.a.</x:v>
      </x:c>
      <x:c r="S166" s="16" t="str">
        <x:v>1</x:v>
      </x:c>
    </x:row>
  </x:sheetData>
  <x:pageMargins left="0.7" right="0.7" top="0.75" bottom="0.75" header="0.3" footer="0.3"/>
  <x:tableParts count="1">
    <x:tablePart xmlns:r="http://schemas.openxmlformats.org/officeDocument/2006/relationships" r:id="R2c2ef4d9a4244243"/>
  </x:tableParts>
</x:worksheet>
</file>

<file path=xl/worksheets/sheet7.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19" hidden="0" customWidth="1"/>
    <x:col min="2" max="2" width="29" hidden="0" customWidth="1"/>
    <x:col min="3" max="3" width="29" hidden="0" customWidth="1"/>
    <x:col min="4" max="4" width="24" hidden="0" customWidth="1"/>
    <x:col min="5" max="5" width="36" hidden="0" customWidth="1"/>
    <x:col min="6" max="6" width="21" hidden="0" customWidth="1"/>
    <x:col min="7" max="7" width="36" hidden="0" customWidth="1"/>
    <x:col min="8" max="8" width="25" hidden="0" customWidth="1"/>
    <x:col min="9" max="9" width="19" hidden="0" customWidth="1"/>
    <x:col min="10" max="10" width="83" hidden="0" customWidth="1"/>
    <x:col min="11" max="11" width="85" hidden="0" customWidth="1"/>
  </x:cols>
  <x:sheetData>
    <x:row r="2" ht="28" customHeight="1">
      <x:c r="A2" s="12" t="str">
        <x:v>Condiciones y árboles</x:v>
      </x:c>
      <x:c r="B2" s="13"/>
      <x:c r="C2" s="13"/>
      <x:c r="D2" s="13"/>
      <x:c r="E2" s="13"/>
      <x:c r="F2" s="13"/>
      <x:c r="G2" s="13"/>
      <x:c r="H2" s="13"/>
      <x:c r="I2" s="13"/>
      <x:c r="J2" s="13"/>
      <x:c r="K2" s="13"/>
    </x:row>
    <x:row r="3" ht="23" customHeight="1">
      <x:c r="A3" s="14" t="str">
        <x:v>G_GLOBAL se aplica a todas: Presidente, PA suficientes, cooldown, usos, saldo y no duplicado en el turno.</x:v>
      </x:c>
      <x:c r="B3" s="13"/>
      <x:c r="C3" s="13"/>
      <x:c r="D3" s="13"/>
      <x:c r="E3" s="13"/>
      <x:c r="F3" s="13"/>
      <x:c r="G3" s="13"/>
      <x:c r="H3" s="13"/>
      <x:c r="I3" s="13"/>
      <x:c r="J3" s="13"/>
      <x:c r="K3" s="13"/>
    </x:row>
    <x:row r="4">
      <x:c r="A4" s="13"/>
      <x:c r="B4" s="13"/>
      <x:c r="C4" s="13"/>
      <x:c r="D4" s="13"/>
      <x:c r="E4" s="13"/>
      <x:c r="F4" s="13"/>
      <x:c r="G4" s="13"/>
      <x:c r="H4" s="13"/>
      <x:c r="I4" s="13"/>
      <x:c r="J4" s="13"/>
      <x:c r="K4" s="13"/>
    </x:row>
    <x:row r="5" ht="42" customHeight="1">
      <x:c r="A5" s="15" t="str">
        <x:v>conditionId</x:v>
      </x:c>
      <x:c r="B5" s="15" t="str">
        <x:v>Acción origen</x:v>
      </x:c>
      <x:c r="C5" s="15" t="str">
        <x:v>Acción destino</x:v>
      </x:c>
      <x:c r="D5" s="15" t="str">
        <x:v>Tipo</x:v>
      </x:c>
      <x:c r="E5" s="15" t="str">
        <x:v>Sujeto</x:v>
      </x:c>
      <x:c r="F5" s="15" t="str">
        <x:v>Operador</x:v>
      </x:c>
      <x:c r="G5" s="15" t="str">
        <x:v>Umbral / valor</x:v>
      </x:c>
      <x:c r="H5" s="15" t="str">
        <x:v>Obligatoria / bonus</x:v>
      </x:c>
      <x:c r="I5" s="15" t="str">
        <x:v>Grupo lógico</x:v>
      </x:c>
      <x:c r="J5" s="15" t="str">
        <x:v>Efecto</x:v>
      </x:c>
      <x:c r="K5" s="15" t="str">
        <x:v>Explicación</x:v>
      </x:c>
    </x:row>
    <x:row r="6" ht="34" customHeight="1">
      <x:c r="A6" s="16" t="str">
        <x:v>g001</x:v>
      </x:c>
      <x:c r="B6" s="16" t="str">
        <x:v>mejorar_recaudacion</x:v>
      </x:c>
      <x:c r="C6" s="16" t="str">
        <x:v>reforma_impositiva</x:v>
      </x:c>
      <x:c r="D6" s="16" t="str">
        <x:v>action</x:v>
      </x:c>
      <x:c r="E6" s="16" t="str">
        <x:v>mejorar_recaudacion</x:v>
      </x:c>
      <x:c r="F6" s="16" t="str">
        <x:v>completed</x:v>
      </x:c>
      <x:c r="G6" s="16" t="n">
        <x:v>1</x:v>
      </x:c>
      <x:c r="H6" s="16" t="str">
        <x:v>obligatoria</x:v>
      </x:c>
      <x:c r="I6" s="16" t="str">
        <x:v>all</x:v>
      </x:c>
      <x:c r="J6" s="16" t="str">
        <x:v>Habilita ejecución</x:v>
      </x:c>
      <x:c r="K6" s="16" t="str">
        <x:v>Se evalúa al confirmar. Condiciones del mismo grupo all se combinan con AND.</x:v>
      </x:c>
    </x:row>
    <x:row r="7" ht="34" customHeight="1">
      <x:c r="A7" s="17" t="str">
        <x:v>g002</x:v>
      </x:c>
      <x:c r="B7" s="17" t="str"/>
      <x:c r="C7" s="17" t="str">
        <x:v>reforma_impositiva</x:v>
      </x:c>
      <x:c r="D7" s="17" t="str">
        <x:v>legislative</x:v>
      </x:c>
      <x:c r="E7" s="17" t="str">
        <x:v>billSupport</x:v>
      </x:c>
      <x:c r="F7" s="17" t="str">
        <x:v>&gt;=</x:v>
      </x:c>
      <x:c r="G7" s="17" t="n">
        <x:v>51</x:v>
      </x:c>
      <x:c r="H7" s="17" t="str">
        <x:v>obligatoria</x:v>
      </x:c>
      <x:c r="I7" s="17" t="str">
        <x:v>all</x:v>
      </x:c>
      <x:c r="J7" s="17" t="str">
        <x:v>Habilita ejecución</x:v>
      </x:c>
      <x:c r="K7" s="17" t="str">
        <x:v>Se evalúa al confirmar. Condiciones del mismo grupo all se combinan con AND.</x:v>
      </x:c>
    </x:row>
    <x:row r="8" ht="34" customHeight="1">
      <x:c r="A8" s="16" t="str">
        <x:v>g003</x:v>
      </x:c>
      <x:c r="B8" s="16" t="str"/>
      <x:c r="C8" s="16" t="str">
        <x:v>control_precios</x:v>
      </x:c>
      <x:c r="D8" s="16" t="str">
        <x:v>agreement</x:v>
      </x:c>
      <x:c r="E8" s="16" t="str">
        <x:v>acuerdo_precios</x:v>
      </x:c>
      <x:c r="F8" s="16" t="str">
        <x:v>active</x:v>
      </x:c>
      <x:c r="G8" s="16" t="n">
        <x:v>1</x:v>
      </x:c>
      <x:c r="H8" s="16" t="str">
        <x:v>obligatoria</x:v>
      </x:c>
      <x:c r="I8" s="16" t="str">
        <x:v>all</x:v>
      </x:c>
      <x:c r="J8" s="16" t="str">
        <x:v>Habilita ejecución</x:v>
      </x:c>
      <x:c r="K8" s="16" t="str">
        <x:v>Se evalúa al confirmar. Condiciones del mismo grupo all se combinan con AND.</x:v>
      </x:c>
    </x:row>
    <x:row r="9" ht="34" customHeight="1">
      <x:c r="A9" s="17" t="str">
        <x:v>g004</x:v>
      </x:c>
      <x:c r="B9" s="17" t="str"/>
      <x:c r="C9" s="17" t="str">
        <x:v>aumento_salarial</x:v>
      </x:c>
      <x:c r="D9" s="17" t="str">
        <x:v>meeting</x:v>
      </x:c>
      <x:c r="E9" s="17" t="str">
        <x:v>sindicatos</x:v>
      </x:c>
      <x:c r="F9" s="17" t="str">
        <x:v>age&lt;</x:v>
      </x:c>
      <x:c r="G9" s="17" t="n">
        <x:v>4</x:v>
      </x:c>
      <x:c r="H9" s="17" t="str">
        <x:v>obligatoria</x:v>
      </x:c>
      <x:c r="I9" s="17" t="str">
        <x:v>all</x:v>
      </x:c>
      <x:c r="J9" s="17" t="str">
        <x:v>Habilita ejecución</x:v>
      </x:c>
      <x:c r="K9" s="17" t="str">
        <x:v>Se evalúa al confirmar. Condiciones del mismo grupo all se combinan con AND.</x:v>
      </x:c>
    </x:row>
    <x:row r="10" ht="34" customHeight="1">
      <x:c r="A10" s="16" t="str">
        <x:v>g005</x:v>
      </x:c>
      <x:c r="B10" s="16" t="str">
        <x:v>mejorar_recaudacion</x:v>
      </x:c>
      <x:c r="C10" s="16" t="str">
        <x:v>prestamo_internacional</x:v>
      </x:c>
      <x:c r="D10" s="16" t="str">
        <x:v>action</x:v>
      </x:c>
      <x:c r="E10" s="16" t="str">
        <x:v>mejorar_recaudacion</x:v>
      </x:c>
      <x:c r="F10" s="16" t="str">
        <x:v>completed</x:v>
      </x:c>
      <x:c r="G10" s="16" t="n">
        <x:v>1</x:v>
      </x:c>
      <x:c r="H10" s="16" t="str">
        <x:v>obligatoria</x:v>
      </x:c>
      <x:c r="I10" s="16" t="str">
        <x:v>all</x:v>
      </x:c>
      <x:c r="J10" s="16" t="str">
        <x:v>Habilita ejecución</x:v>
      </x:c>
      <x:c r="K10" s="16" t="str">
        <x:v>Se evalúa al confirmar. Condiciones del mismo grupo all se combinan con AND.</x:v>
      </x:c>
    </x:row>
    <x:row r="11" ht="34" customHeight="1">
      <x:c r="A11" s="17" t="str">
        <x:v>g006</x:v>
      </x:c>
      <x:c r="B11" s="17" t="str"/>
      <x:c r="C11" s="17" t="str">
        <x:v>prestamo_internacional</x:v>
      </x:c>
      <x:c r="D11" s="17" t="str">
        <x:v>indicator</x:v>
      </x:c>
      <x:c r="E11" s="17" t="str">
        <x:v>fiscal</x:v>
      </x:c>
      <x:c r="F11" s="17" t="str">
        <x:v>&gt;=</x:v>
      </x:c>
      <x:c r="G11" s="17" t="n">
        <x:v>35</x:v>
      </x:c>
      <x:c r="H11" s="17" t="str">
        <x:v>obligatoria</x:v>
      </x:c>
      <x:c r="I11" s="17" t="str">
        <x:v>all</x:v>
      </x:c>
      <x:c r="J11" s="17" t="str">
        <x:v>Habilita ejecución</x:v>
      </x:c>
      <x:c r="K11" s="17" t="str">
        <x:v>Se evalúa al confirmar. Condiciones del mismo grupo all se combinan con AND.</x:v>
      </x:c>
    </x:row>
    <x:row r="12" ht="34" customHeight="1">
      <x:c r="A12" s="16" t="str">
        <x:v>g007</x:v>
      </x:c>
      <x:c r="B12" s="16" t="str"/>
      <x:c r="C12" s="16" t="str">
        <x:v>prestamo_internacional</x:v>
      </x:c>
      <x:c r="D12" s="16" t="str">
        <x:v>indicator</x:v>
      </x:c>
      <x:c r="E12" s="16" t="str">
        <x:v>externo</x:v>
      </x:c>
      <x:c r="F12" s="16" t="str">
        <x:v>&gt;=</x:v>
      </x:c>
      <x:c r="G12" s="16" t="n">
        <x:v>35</x:v>
      </x:c>
      <x:c r="H12" s="16" t="str">
        <x:v>obligatoria</x:v>
      </x:c>
      <x:c r="I12" s="16" t="str">
        <x:v>all</x:v>
      </x:c>
      <x:c r="J12" s="16" t="str">
        <x:v>Habilita ejecución</x:v>
      </x:c>
      <x:c r="K12" s="16" t="str">
        <x:v>Se evalúa al confirmar. Condiciones del mismo grupo all se combinan con AND.</x:v>
      </x:c>
    </x:row>
    <x:row r="13" ht="34" customHeight="1">
      <x:c r="A13" s="17" t="str">
        <x:v>g008</x:v>
      </x:c>
      <x:c r="B13" s="17" t="str"/>
      <x:c r="C13" s="17" t="str">
        <x:v>prestamo_internacional</x:v>
      </x:c>
      <x:c r="D13" s="17" t="str">
        <x:v>ledger</x:v>
      </x:c>
      <x:c r="E13" s="17" t="str">
        <x:v>debt_after</x:v>
      </x:c>
      <x:c r="F13" s="17" t="str">
        <x:v>&lt;=</x:v>
      </x:c>
      <x:c r="G13" s="17" t="n">
        <x:v>1600</x:v>
      </x:c>
      <x:c r="H13" s="17" t="str">
        <x:v>obligatoria</x:v>
      </x:c>
      <x:c r="I13" s="17" t="str">
        <x:v>all</x:v>
      </x:c>
      <x:c r="J13" s="17" t="str">
        <x:v>Habilita ejecución</x:v>
      </x:c>
      <x:c r="K13" s="17" t="str">
        <x:v>Se evalúa al confirmar. Condiciones del mismo grupo all se combinan con AND.</x:v>
      </x:c>
    </x:row>
    <x:row r="14" ht="34" customHeight="1">
      <x:c r="A14" s="16" t="str">
        <x:v>g009</x:v>
      </x:c>
      <x:c r="B14" s="16" t="str"/>
      <x:c r="C14" s="16" t="str">
        <x:v>prestamo_local</x:v>
      </x:c>
      <x:c r="D14" s="16" t="str">
        <x:v>indicator</x:v>
      </x:c>
      <x:c r="E14" s="16" t="str">
        <x:v>fiscal</x:v>
      </x:c>
      <x:c r="F14" s="16" t="str">
        <x:v>&gt;=</x:v>
      </x:c>
      <x:c r="G14" s="16" t="n">
        <x:v>25</x:v>
      </x:c>
      <x:c r="H14" s="16" t="str">
        <x:v>obligatoria</x:v>
      </x:c>
      <x:c r="I14" s="16" t="str">
        <x:v>all</x:v>
      </x:c>
      <x:c r="J14" s="16" t="str">
        <x:v>Habilita ejecución</x:v>
      </x:c>
      <x:c r="K14" s="16" t="str">
        <x:v>Se evalúa al confirmar. Condiciones del mismo grupo all se combinan con AND.</x:v>
      </x:c>
    </x:row>
    <x:row r="15" ht="34" customHeight="1">
      <x:c r="A15" s="17" t="str">
        <x:v>g010</x:v>
      </x:c>
      <x:c r="B15" s="17" t="str"/>
      <x:c r="C15" s="17" t="str">
        <x:v>prestamo_local</x:v>
      </x:c>
      <x:c r="D15" s="17" t="str">
        <x:v>ledger</x:v>
      </x:c>
      <x:c r="E15" s="17" t="str">
        <x:v>debt_after</x:v>
      </x:c>
      <x:c r="F15" s="17" t="str">
        <x:v>&lt;=</x:v>
      </x:c>
      <x:c r="G15" s="17" t="n">
        <x:v>1600</x:v>
      </x:c>
      <x:c r="H15" s="17" t="str">
        <x:v>obligatoria</x:v>
      </x:c>
      <x:c r="I15" s="17" t="str">
        <x:v>all</x:v>
      </x:c>
      <x:c r="J15" s="17" t="str">
        <x:v>Habilita ejecución</x:v>
      </x:c>
      <x:c r="K15" s="17" t="str">
        <x:v>Se evalúa al confirmar. Condiciones del mismo grupo all se combinan con AND.</x:v>
      </x:c>
    </x:row>
    <x:row r="16" ht="34" customHeight="1">
      <x:c r="A16" s="16" t="str">
        <x:v>g011</x:v>
      </x:c>
      <x:c r="B16" s="16" t="str"/>
      <x:c r="C16" s="16" t="str">
        <x:v>programa_alimentario</x:v>
      </x:c>
      <x:c r="D16" s="16" t="str">
        <x:v>indicator</x:v>
      </x:c>
      <x:c r="E16" s="16" t="str">
        <x:v>proteccion</x:v>
      </x:c>
      <x:c r="F16" s="16" t="str">
        <x:v>&lt;</x:v>
      </x:c>
      <x:c r="G16" s="16" t="n">
        <x:v>45</x:v>
      </x:c>
      <x:c r="H16" s="16" t="str">
        <x:v>obligatoria</x:v>
      </x:c>
      <x:c r="I16" s="16" t="str">
        <x:v>all</x:v>
      </x:c>
      <x:c r="J16" s="16" t="str">
        <x:v>Habilita ejecución</x:v>
      </x:c>
      <x:c r="K16" s="16" t="str">
        <x:v>Se evalúa al confirmar. Condiciones del mismo grupo all se combinan con AND.</x:v>
      </x:c>
    </x:row>
    <x:row r="17" ht="34" customHeight="1">
      <x:c r="A17" s="17" t="str">
        <x:v>g012</x:v>
      </x:c>
      <x:c r="B17" s="17" t="str"/>
      <x:c r="C17" s="17" t="str">
        <x:v>tratado_comercio</x:v>
      </x:c>
      <x:c r="D17" s="17" t="str">
        <x:v>legislative</x:v>
      </x:c>
      <x:c r="E17" s="17" t="str">
        <x:v>billSupport</x:v>
      </x:c>
      <x:c r="F17" s="17" t="str">
        <x:v>&gt;=</x:v>
      </x:c>
      <x:c r="G17" s="17" t="n">
        <x:v>51</x:v>
      </x:c>
      <x:c r="H17" s="17" t="str">
        <x:v>obligatoria</x:v>
      </x:c>
      <x:c r="I17" s="17" t="str">
        <x:v>all</x:v>
      </x:c>
      <x:c r="J17" s="17" t="str">
        <x:v>Habilita ejecución</x:v>
      </x:c>
      <x:c r="K17" s="17" t="str">
        <x:v>Se evalúa al confirmar. Condiciones del mismo grupo all se combinan con AND.</x:v>
      </x:c>
    </x:row>
    <x:row r="18" ht="34" customHeight="1">
      <x:c r="A18" s="16" t="str">
        <x:v>g013</x:v>
      </x:c>
      <x:c r="B18" s="16" t="str"/>
      <x:c r="C18" s="16" t="str">
        <x:v>cooperacion_internacional</x:v>
      </x:c>
      <x:c r="D18" s="16" t="str">
        <x:v>indicator</x:v>
      </x:c>
      <x:c r="E18" s="16" t="str">
        <x:v>derechos</x:v>
      </x:c>
      <x:c r="F18" s="16" t="str">
        <x:v>&gt;=</x:v>
      </x:c>
      <x:c r="G18" s="16" t="n">
        <x:v>40</x:v>
      </x:c>
      <x:c r="H18" s="16" t="str">
        <x:v>obligatoria</x:v>
      </x:c>
      <x:c r="I18" s="16" t="str">
        <x:v>all</x:v>
      </x:c>
      <x:c r="J18" s="16" t="str">
        <x:v>Habilita ejecución</x:v>
      </x:c>
      <x:c r="K18" s="16" t="str">
        <x:v>Se evalúa al confirmar. Condiciones del mismo grupo all se combinan con AND.</x:v>
      </x:c>
    </x:row>
    <x:row r="19" ht="34" customHeight="1">
      <x:c r="A19" s="17" t="str">
        <x:v>g014</x:v>
      </x:c>
      <x:c r="B19" s="17" t="str"/>
      <x:c r="C19" s="17" t="str">
        <x:v>seguridad_ciudadana</x:v>
      </x:c>
      <x:c r="D19" s="17" t="str">
        <x:v>indicator</x:v>
      </x:c>
      <x:c r="E19" s="17" t="str">
        <x:v>seguridad</x:v>
      </x:c>
      <x:c r="F19" s="17" t="str">
        <x:v>&lt;</x:v>
      </x:c>
      <x:c r="G19" s="17" t="n">
        <x:v>50</x:v>
      </x:c>
      <x:c r="H19" s="17" t="str">
        <x:v>obligatoria</x:v>
      </x:c>
      <x:c r="I19" s="17" t="str">
        <x:v>all</x:v>
      </x:c>
      <x:c r="J19" s="17" t="str">
        <x:v>Habilita ejecución</x:v>
      </x:c>
      <x:c r="K19" s="17" t="str">
        <x:v>Se evalúa al confirmar. Condiciones del mismo grupo all se combinan con AND.</x:v>
      </x:c>
    </x:row>
    <x:row r="20" ht="34" customHeight="1">
      <x:c r="A20" s="16" t="str">
        <x:v>g015</x:v>
      </x:c>
      <x:c r="B20" s="16" t="str">
        <x:v>fortalecimiento_justicia</x:v>
      </x:c>
      <x:c r="C20" s="16" t="str">
        <x:v>lucha_narcotrafico</x:v>
      </x:c>
      <x:c r="D20" s="16" t="str">
        <x:v>action</x:v>
      </x:c>
      <x:c r="E20" s="16" t="str">
        <x:v>fortalecimiento_justicia</x:v>
      </x:c>
      <x:c r="F20" s="16" t="str">
        <x:v>completed</x:v>
      </x:c>
      <x:c r="G20" s="16" t="n">
        <x:v>1</x:v>
      </x:c>
      <x:c r="H20" s="16" t="str">
        <x:v>obligatoria</x:v>
      </x:c>
      <x:c r="I20" s="16" t="str">
        <x:v>all</x:v>
      </x:c>
      <x:c r="J20" s="16" t="str">
        <x:v>Habilita ejecución</x:v>
      </x:c>
      <x:c r="K20" s="16" t="str">
        <x:v>Se evalúa al confirmar. Condiciones del mismo grupo all se combinan con AND.</x:v>
      </x:c>
    </x:row>
    <x:row r="21" ht="34" customHeight="1">
      <x:c r="A21" s="17" t="str">
        <x:v>g016</x:v>
      </x:c>
      <x:c r="B21" s="17" t="str"/>
      <x:c r="C21" s="17" t="str">
        <x:v>fortalecimiento_justicia</x:v>
      </x:c>
      <x:c r="D21" s="17" t="str">
        <x:v>legislative</x:v>
      </x:c>
      <x:c r="E21" s="17" t="str">
        <x:v>billSupport</x:v>
      </x:c>
      <x:c r="F21" s="17" t="str">
        <x:v>&gt;=</x:v>
      </x:c>
      <x:c r="G21" s="17" t="n">
        <x:v>51</x:v>
      </x:c>
      <x:c r="H21" s="17" t="str">
        <x:v>obligatoria</x:v>
      </x:c>
      <x:c r="I21" s="17" t="str">
        <x:v>all</x:v>
      </x:c>
      <x:c r="J21" s="17" t="str">
        <x:v>Habilita ejecución</x:v>
      </x:c>
      <x:c r="K21" s="17" t="str">
        <x:v>Se evalúa al confirmar. Condiciones del mismo grupo all se combinan con AND.</x:v>
      </x:c>
    </x:row>
    <x:row r="22" ht="34" customHeight="1">
      <x:c r="A22" s="16" t="str">
        <x:v>g017</x:v>
      </x:c>
      <x:c r="B22" s="16" t="str">
        <x:v>fortalecimiento_justicia</x:v>
      </x:c>
      <x:c r="C22" s="16" t="str">
        <x:v>sistema_vigilancia</x:v>
      </x:c>
      <x:c r="D22" s="16" t="str">
        <x:v>action</x:v>
      </x:c>
      <x:c r="E22" s="16" t="str">
        <x:v>fortalecimiento_justicia</x:v>
      </x:c>
      <x:c r="F22" s="16" t="str">
        <x:v>completed</x:v>
      </x:c>
      <x:c r="G22" s="16" t="n">
        <x:v>1</x:v>
      </x:c>
      <x:c r="H22" s="16" t="str">
        <x:v>obligatoria</x:v>
      </x:c>
      <x:c r="I22" s="16" t="str">
        <x:v>all</x:v>
      </x:c>
      <x:c r="J22" s="16" t="str">
        <x:v>Habilita ejecución</x:v>
      </x:c>
      <x:c r="K22" s="16" t="str">
        <x:v>Se evalúa al confirmar. Condiciones del mismo grupo all se combinan con AND.</x:v>
      </x:c>
    </x:row>
    <x:row r="23" ht="34" customHeight="1">
      <x:c r="A23" s="17" t="str">
        <x:v>g018</x:v>
      </x:c>
      <x:c r="B23" s="17" t="str"/>
      <x:c r="C23" s="17" t="str">
        <x:v>sistema_vigilancia</x:v>
      </x:c>
      <x:c r="D23" s="17" t="str">
        <x:v>indicator</x:v>
      </x:c>
      <x:c r="E23" s="17" t="str">
        <x:v>derechos</x:v>
      </x:c>
      <x:c r="F23" s="17" t="str">
        <x:v>&gt;=</x:v>
      </x:c>
      <x:c r="G23" s="17" t="n">
        <x:v>45</x:v>
      </x:c>
      <x:c r="H23" s="17" t="str">
        <x:v>obligatoria</x:v>
      </x:c>
      <x:c r="I23" s="17" t="str">
        <x:v>all</x:v>
      </x:c>
      <x:c r="J23" s="17" t="str">
        <x:v>Habilita ejecución</x:v>
      </x:c>
      <x:c r="K23" s="17" t="str">
        <x:v>Se evalúa al confirmar. Condiciones del mismo grupo all se combinan con AND.</x:v>
      </x:c>
    </x:row>
    <x:row r="24" ht="34" customHeight="1">
      <x:c r="A24" s="16" t="str">
        <x:v>g019</x:v>
      </x:c>
      <x:c r="B24" s="16" t="str"/>
      <x:c r="C24" s="16" t="str">
        <x:v>desarrollar_tecnologia</x:v>
      </x:c>
      <x:c r="D24" s="16" t="str">
        <x:v>indicator</x:v>
      </x:c>
      <x:c r="E24" s="16" t="str">
        <x:v>ciencia</x:v>
      </x:c>
      <x:c r="F24" s="16" t="str">
        <x:v>&gt;=</x:v>
      </x:c>
      <x:c r="G24" s="16" t="n">
        <x:v>40</x:v>
      </x:c>
      <x:c r="H24" s="16" t="str">
        <x:v>obligatoria</x:v>
      </x:c>
      <x:c r="I24" s="16" t="str">
        <x:v>all</x:v>
      </x:c>
      <x:c r="J24" s="16" t="str">
        <x:v>Habilita ejecución</x:v>
      </x:c>
      <x:c r="K24" s="16" t="str">
        <x:v>Se evalúa al confirmar. Condiciones del mismo grupo all se combinan con AND.</x:v>
      </x:c>
    </x:row>
    <x:row r="25" ht="34" customHeight="1">
      <x:c r="A25" s="17" t="str">
        <x:v>g020</x:v>
      </x:c>
      <x:c r="B25" s="17" t="str"/>
      <x:c r="C25" s="17" t="str">
        <x:v>alivio_tributario</x:v>
      </x:c>
      <x:c r="D25" s="17" t="str">
        <x:v>legislative</x:v>
      </x:c>
      <x:c r="E25" s="17" t="str">
        <x:v>billSupport</x:v>
      </x:c>
      <x:c r="F25" s="17" t="str">
        <x:v>&gt;=</x:v>
      </x:c>
      <x:c r="G25" s="17" t="n">
        <x:v>51</x:v>
      </x:c>
      <x:c r="H25" s="17" t="str">
        <x:v>obligatoria</x:v>
      </x:c>
      <x:c r="I25" s="17" t="str">
        <x:v>all</x:v>
      </x:c>
      <x:c r="J25" s="17" t="str">
        <x:v>Habilita ejecución</x:v>
      </x:c>
      <x:c r="K25" s="17" t="str">
        <x:v>Se evalúa al confirmar. Condiciones del mismo grupo all se combinan con AND.</x:v>
      </x:c>
    </x:row>
    <x:row r="26" ht="34" customHeight="1">
      <x:c r="A26" s="16" t="str">
        <x:v>g021</x:v>
      </x:c>
      <x:c r="B26" s="16" t="str"/>
      <x:c r="C26" s="16" t="str">
        <x:v>reestructurar_deuda</x:v>
      </x:c>
      <x:c r="D26" s="16" t="str">
        <x:v>agreement</x:v>
      </x:c>
      <x:c r="E26" s="16" t="str">
        <x:v>reperfilamiento</x:v>
      </x:c>
      <x:c r="F26" s="16" t="str">
        <x:v>active</x:v>
      </x:c>
      <x:c r="G26" s="16" t="n">
        <x:v>1</x:v>
      </x:c>
      <x:c r="H26" s="16" t="str">
        <x:v>obligatoria</x:v>
      </x:c>
      <x:c r="I26" s="16" t="str">
        <x:v>all</x:v>
      </x:c>
      <x:c r="J26" s="16" t="str">
        <x:v>Habilita ejecución</x:v>
      </x:c>
      <x:c r="K26" s="16" t="str">
        <x:v>Se evalúa al confirmar. Condiciones del mismo grupo all se combinan con AND.</x:v>
      </x:c>
    </x:row>
    <x:row r="27" ht="34" customHeight="1">
      <x:c r="A27" s="17" t="str">
        <x:v>g022</x:v>
      </x:c>
      <x:c r="B27" s="17" t="str"/>
      <x:c r="C27" s="17" t="str">
        <x:v>reestructurar_deuda</x:v>
      </x:c>
      <x:c r="D27" s="17" t="str">
        <x:v>ledger</x:v>
      </x:c>
      <x:c r="E27" s="17" t="str">
        <x:v>selectedLoan.due_in</x:v>
      </x:c>
      <x:c r="F27" s="17" t="str">
        <x:v>&lt;=</x:v>
      </x:c>
      <x:c r="G27" s="17" t="n">
        <x:v>2</x:v>
      </x:c>
      <x:c r="H27" s="17" t="str">
        <x:v>obligatoria</x:v>
      </x:c>
      <x:c r="I27" s="17" t="str">
        <x:v>all</x:v>
      </x:c>
      <x:c r="J27" s="17" t="str">
        <x:v>Habilita ejecución</x:v>
      </x:c>
      <x:c r="K27" s="17" t="str">
        <x:v>Se evalúa al confirmar. Condiciones del mismo grupo all se combinan con AND.</x:v>
      </x:c>
    </x:row>
    <x:row r="28" ht="34" customHeight="1">
      <x:c r="A28" s="16" t="str">
        <x:v>g023</x:v>
      </x:c>
      <x:c r="B28" s="16" t="str"/>
      <x:c r="C28" s="16" t="str">
        <x:v>negociar</x:v>
      </x:c>
      <x:c r="D28" s="16" t="str">
        <x:v>meeting</x:v>
      </x:c>
      <x:c r="E28" s="16" t="str">
        <x:v>actorId</x:v>
      </x:c>
      <x:c r="F28" s="16" t="str">
        <x:v>age&lt;</x:v>
      </x:c>
      <x:c r="G28" s="16" t="n">
        <x:v>4</x:v>
      </x:c>
      <x:c r="H28" s="16" t="str">
        <x:v>obligatoria</x:v>
      </x:c>
      <x:c r="I28" s="16" t="str">
        <x:v>all</x:v>
      </x:c>
      <x:c r="J28" s="16" t="str">
        <x:v>Habilita ejecución</x:v>
      </x:c>
      <x:c r="K28" s="16" t="str">
        <x:v>Se evalúa al confirmar. Condiciones del mismo grupo all se combinan con AND.</x:v>
      </x:c>
    </x:row>
    <x:row r="29" ht="34" customHeight="1">
      <x:c r="A29" s="17" t="str">
        <x:v>g024</x:v>
      </x:c>
      <x:c r="B29" s="17" t="str"/>
      <x:c r="C29" s="17" t="str">
        <x:v>firmar_acuerdo</x:v>
      </x:c>
      <x:c r="D29" s="17" t="str">
        <x:v>offer</x:v>
      </x:c>
      <x:c r="E29" s="17" t="str">
        <x:v>actorId</x:v>
      </x:c>
      <x:c r="F29" s="17" t="str">
        <x:v>age&lt;</x:v>
      </x:c>
      <x:c r="G29" s="17" t="n">
        <x:v>3</x:v>
      </x:c>
      <x:c r="H29" s="17" t="str">
        <x:v>obligatoria</x:v>
      </x:c>
      <x:c r="I29" s="17" t="str">
        <x:v>all</x:v>
      </x:c>
      <x:c r="J29" s="17" t="str">
        <x:v>Habilita ejecución</x:v>
      </x:c>
      <x:c r="K29" s="17" t="str">
        <x:v>Se evalúa al confirmar. Condiciones del mismo grupo all se combinan con AND.</x:v>
      </x:c>
    </x:row>
    <x:row r="30" ht="34" customHeight="1">
      <x:c r="A30" s="16" t="str">
        <x:v>g025</x:v>
      </x:c>
      <x:c r="B30" s="16" t="str"/>
      <x:c r="C30" s="16" t="str">
        <x:v>firmar_acuerdo</x:v>
      </x:c>
      <x:c r="D30" s="16" t="str">
        <x:v>meeting</x:v>
      </x:c>
      <x:c r="E30" s="16" t="str">
        <x:v>actorId</x:v>
      </x:c>
      <x:c r="F30" s="16" t="str">
        <x:v>age&lt;</x:v>
      </x:c>
      <x:c r="G30" s="16" t="n">
        <x:v>4</x:v>
      </x:c>
      <x:c r="H30" s="16" t="str">
        <x:v>obligatoria</x:v>
      </x:c>
      <x:c r="I30" s="16" t="str">
        <x:v>all</x:v>
      </x:c>
      <x:c r="J30" s="16" t="str">
        <x:v>Habilita ejecución</x:v>
      </x:c>
      <x:c r="K30" s="16" t="str">
        <x:v>Se evalúa al confirmar. Condiciones del mismo grupo all se combinan con AND.</x:v>
      </x:c>
    </x:row>
    <x:row r="31" ht="34" customHeight="1">
      <x:c r="A31" s="17" t="str">
        <x:v>g026</x:v>
      </x:c>
      <x:c r="B31" s="17" t="str"/>
      <x:c r="C31" s="17" t="str">
        <x:v>mejorar_recaudacion</x:v>
      </x:c>
      <x:c r="D31" s="17" t="str">
        <x:v>budget</x:v>
      </x:c>
      <x:c r="E31" s="17" t="str">
        <x:v>cash</x:v>
      </x:c>
      <x:c r="F31" s="17" t="str">
        <x:v>&gt;=</x:v>
      </x:c>
      <x:c r="G31" s="17" t="n">
        <x:v>100</x:v>
      </x:c>
      <x:c r="H31" s="17" t="str">
        <x:v>obligatoria</x:v>
      </x:c>
      <x:c r="I31" s="17" t="str">
        <x:v>all</x:v>
      </x:c>
      <x:c r="J31" s="17" t="str">
        <x:v>Habilita ejecución</x:v>
      </x:c>
      <x:c r="K31" s="17" t="str">
        <x:v>Se evalúa al confirmar. Condiciones del mismo grupo all se combinan con AND.</x:v>
      </x:c>
    </x:row>
    <x:row r="32" ht="34" customHeight="1">
      <x:c r="A32" s="16" t="str">
        <x:v>g027</x:v>
      </x:c>
      <x:c r="B32" s="16" t="str"/>
      <x:c r="C32" s="16" t="str">
        <x:v>subsidios_industriales</x:v>
      </x:c>
      <x:c r="D32" s="16" t="str">
        <x:v>budget</x:v>
      </x:c>
      <x:c r="E32" s="16" t="str">
        <x:v>cash</x:v>
      </x:c>
      <x:c r="F32" s="16" t="str">
        <x:v>&gt;=</x:v>
      </x:c>
      <x:c r="G32" s="16" t="n">
        <x:v>120</x:v>
      </x:c>
      <x:c r="H32" s="16" t="str">
        <x:v>obligatoria</x:v>
      </x:c>
      <x:c r="I32" s="16" t="str">
        <x:v>all</x:v>
      </x:c>
      <x:c r="J32" s="16" t="str">
        <x:v>Habilita ejecución</x:v>
      </x:c>
      <x:c r="K32" s="16" t="str">
        <x:v>Se evalúa al confirmar. Condiciones del mismo grupo all se combinan con AND.</x:v>
      </x:c>
    </x:row>
    <x:row r="33" ht="34" customHeight="1">
      <x:c r="A33" s="17" t="str">
        <x:v>g028</x:v>
      </x:c>
      <x:c r="B33" s="17" t="str"/>
      <x:c r="C33" s="17" t="str">
        <x:v>reforma_impositiva</x:v>
      </x:c>
      <x:c r="D33" s="17" t="str">
        <x:v>budget</x:v>
      </x:c>
      <x:c r="E33" s="17" t="str">
        <x:v>cash</x:v>
      </x:c>
      <x:c r="F33" s="17" t="str">
        <x:v>&gt;=</x:v>
      </x:c>
      <x:c r="G33" s="17" t="n">
        <x:v>100</x:v>
      </x:c>
      <x:c r="H33" s="17" t="str">
        <x:v>obligatoria</x:v>
      </x:c>
      <x:c r="I33" s="17" t="str">
        <x:v>all</x:v>
      </x:c>
      <x:c r="J33" s="17" t="str">
        <x:v>Habilita ejecución</x:v>
      </x:c>
      <x:c r="K33" s="17" t="str">
        <x:v>Se evalúa al confirmar. Condiciones del mismo grupo all se combinan con AND.</x:v>
      </x:c>
    </x:row>
    <x:row r="34" ht="34" customHeight="1">
      <x:c r="A34" s="16" t="str">
        <x:v>g029</x:v>
      </x:c>
      <x:c r="B34" s="16" t="str"/>
      <x:c r="C34" s="16" t="str">
        <x:v>incentivos_exportacion</x:v>
      </x:c>
      <x:c r="D34" s="16" t="str">
        <x:v>budget</x:v>
      </x:c>
      <x:c r="E34" s="16" t="str">
        <x:v>cash</x:v>
      </x:c>
      <x:c r="F34" s="16" t="str">
        <x:v>&gt;=</x:v>
      </x:c>
      <x:c r="G34" s="16" t="n">
        <x:v>160</x:v>
      </x:c>
      <x:c r="H34" s="16" t="str">
        <x:v>obligatoria</x:v>
      </x:c>
      <x:c r="I34" s="16" t="str">
        <x:v>all</x:v>
      </x:c>
      <x:c r="J34" s="16" t="str">
        <x:v>Habilita ejecución</x:v>
      </x:c>
      <x:c r="K34" s="16" t="str">
        <x:v>Se evalúa al confirmar. Condiciones del mismo grupo all se combinan con AND.</x:v>
      </x:c>
    </x:row>
    <x:row r="35" ht="34" customHeight="1">
      <x:c r="A35" s="17" t="str">
        <x:v>g030</x:v>
      </x:c>
      <x:c r="B35" s="17" t="str"/>
      <x:c r="C35" s="17" t="str">
        <x:v>control_precios</x:v>
      </x:c>
      <x:c r="D35" s="17" t="str">
        <x:v>budget</x:v>
      </x:c>
      <x:c r="E35" s="17" t="str">
        <x:v>cash</x:v>
      </x:c>
      <x:c r="F35" s="17" t="str">
        <x:v>&gt;=</x:v>
      </x:c>
      <x:c r="G35" s="17" t="n">
        <x:v>60</x:v>
      </x:c>
      <x:c r="H35" s="17" t="str">
        <x:v>obligatoria</x:v>
      </x:c>
      <x:c r="I35" s="17" t="str">
        <x:v>all</x:v>
      </x:c>
      <x:c r="J35" s="17" t="str">
        <x:v>Habilita ejecución</x:v>
      </x:c>
      <x:c r="K35" s="17" t="str">
        <x:v>Se evalúa al confirmar. Condiciones del mismo grupo all se combinan con AND.</x:v>
      </x:c>
    </x:row>
    <x:row r="36" ht="34" customHeight="1">
      <x:c r="A36" s="16" t="str">
        <x:v>g031</x:v>
      </x:c>
      <x:c r="B36" s="16" t="str"/>
      <x:c r="C36" s="16" t="str">
        <x:v>aumento_salarial</x:v>
      </x:c>
      <x:c r="D36" s="16" t="str">
        <x:v>budget</x:v>
      </x:c>
      <x:c r="E36" s="16" t="str">
        <x:v>cash</x:v>
      </x:c>
      <x:c r="F36" s="16" t="str">
        <x:v>&gt;=</x:v>
      </x:c>
      <x:c r="G36" s="16" t="n">
        <x:v>80</x:v>
      </x:c>
      <x:c r="H36" s="16" t="str">
        <x:v>obligatoria</x:v>
      </x:c>
      <x:c r="I36" s="16" t="str">
        <x:v>all</x:v>
      </x:c>
      <x:c r="J36" s="16" t="str">
        <x:v>Habilita ejecución</x:v>
      </x:c>
      <x:c r="K36" s="16" t="str">
        <x:v>Se evalúa al confirmar. Condiciones del mismo grupo all se combinan con AND.</x:v>
      </x:c>
    </x:row>
    <x:row r="37" ht="34" customHeight="1">
      <x:c r="A37" s="17" t="str">
        <x:v>g032</x:v>
      </x:c>
      <x:c r="B37" s="17" t="str"/>
      <x:c r="C37" s="17" t="str">
        <x:v>reduccion_gasto</x:v>
      </x:c>
      <x:c r="D37" s="17" t="str">
        <x:v>budget</x:v>
      </x:c>
      <x:c r="E37" s="17" t="str">
        <x:v>cash</x:v>
      </x:c>
      <x:c r="F37" s="17" t="str">
        <x:v>&gt;=</x:v>
      </x:c>
      <x:c r="G37" s="17" t="n">
        <x:v>40</x:v>
      </x:c>
      <x:c r="H37" s="17" t="str">
        <x:v>obligatoria</x:v>
      </x:c>
      <x:c r="I37" s="17" t="str">
        <x:v>all</x:v>
      </x:c>
      <x:c r="J37" s="17" t="str">
        <x:v>Habilita ejecución</x:v>
      </x:c>
      <x:c r="K37" s="17" t="str">
        <x:v>Se evalúa al confirmar. Condiciones del mismo grupo all se combinan con AND.</x:v>
      </x:c>
    </x:row>
    <x:row r="38" ht="34" customHeight="1">
      <x:c r="A38" s="16" t="str">
        <x:v>g033</x:v>
      </x:c>
      <x:c r="B38" s="16" t="str"/>
      <x:c r="C38" s="16" t="str">
        <x:v>atraccion_inversiones</x:v>
      </x:c>
      <x:c r="D38" s="16" t="str">
        <x:v>budget</x:v>
      </x:c>
      <x:c r="E38" s="16" t="str">
        <x:v>cash</x:v>
      </x:c>
      <x:c r="F38" s="16" t="str">
        <x:v>&gt;=</x:v>
      </x:c>
      <x:c r="G38" s="16" t="n">
        <x:v>130</x:v>
      </x:c>
      <x:c r="H38" s="16" t="str">
        <x:v>obligatoria</x:v>
      </x:c>
      <x:c r="I38" s="16" t="str">
        <x:v>all</x:v>
      </x:c>
      <x:c r="J38" s="16" t="str">
        <x:v>Habilita ejecución</x:v>
      </x:c>
      <x:c r="K38" s="16" t="str">
        <x:v>Se evalúa al confirmar. Condiciones del mismo grupo all se combinan con AND.</x:v>
      </x:c>
    </x:row>
    <x:row r="39" ht="34" customHeight="1">
      <x:c r="A39" s="17" t="str">
        <x:v>g034</x:v>
      </x:c>
      <x:c r="B39" s="17" t="str"/>
      <x:c r="C39" s="17" t="str">
        <x:v>plan_viviendas</x:v>
      </x:c>
      <x:c r="D39" s="17" t="str">
        <x:v>budget</x:v>
      </x:c>
      <x:c r="E39" s="17" t="str">
        <x:v>cash</x:v>
      </x:c>
      <x:c r="F39" s="17" t="str">
        <x:v>&gt;=</x:v>
      </x:c>
      <x:c r="G39" s="17" t="n">
        <x:v>320</x:v>
      </x:c>
      <x:c r="H39" s="17" t="str">
        <x:v>obligatoria</x:v>
      </x:c>
      <x:c r="I39" s="17" t="str">
        <x:v>all</x:v>
      </x:c>
      <x:c r="J39" s="17" t="str">
        <x:v>Habilita ejecución</x:v>
      </x:c>
      <x:c r="K39" s="17" t="str">
        <x:v>Se evalúa al confirmar. Condiciones del mismo grupo all se combinan con AND.</x:v>
      </x:c>
    </x:row>
    <x:row r="40" ht="34" customHeight="1">
      <x:c r="A40" s="16" t="str">
        <x:v>g035</x:v>
      </x:c>
      <x:c r="B40" s="16" t="str">
        <x:v>estudio_factibilidad</x:v>
      </x:c>
      <x:c r="C40" s="16" t="str">
        <x:v>plan_viviendas</x:v>
      </x:c>
      <x:c r="D40" s="16" t="str">
        <x:v>study</x:v>
      </x:c>
      <x:c r="E40" s="16" t="str">
        <x:v>study.projectId</x:v>
      </x:c>
      <x:c r="F40" s="16" t="str">
        <x:v>active</x:v>
      </x:c>
      <x:c r="G40" s="16" t="str">
        <x:v>plan_viviendas</x:v>
      </x:c>
      <x:c r="H40" s="16" t="str">
        <x:v>obligatoria</x:v>
      </x:c>
      <x:c r="I40" s="16" t="str">
        <x:v>all</x:v>
      </x:c>
      <x:c r="J40" s="16" t="str">
        <x:v>Habilita ejecución</x:v>
      </x:c>
      <x:c r="K40" s="16" t="str">
        <x:v>Se evalúa al confirmar. Condiciones del mismo grupo all se combinan con AND.</x:v>
      </x:c>
    </x:row>
    <x:row r="41" ht="34" customHeight="1">
      <x:c r="A41" s="17" t="str">
        <x:v>g036</x:v>
      </x:c>
      <x:c r="B41" s="17" t="str"/>
      <x:c r="C41" s="17" t="str">
        <x:v>plan_viviendas</x:v>
      </x:c>
      <x:c r="D41" s="17" t="str">
        <x:v>agreement</x:v>
      </x:c>
      <x:c r="E41" s="17" t="str">
        <x:v>pacto_federal</x:v>
      </x:c>
      <x:c r="F41" s="17" t="str">
        <x:v>active</x:v>
      </x:c>
      <x:c r="G41" s="17" t="n">
        <x:v>1</x:v>
      </x:c>
      <x:c r="H41" s="17" t="str">
        <x:v>bonificación</x:v>
      </x:c>
      <x:c r="I41" s="17" t="str">
        <x:v>all</x:v>
      </x:c>
      <x:c r="J41" s="17" t="str">
        <x:v>Beneficio obra ×1,15; sólo indicadores positivos, una vez</x:v>
      </x:c>
      <x:c r="K41" s="17" t="str">
        <x:v>Se evalúa al confirmar. Condiciones del mismo grupo all se combinan con AND.</x:v>
      </x:c>
    </x:row>
    <x:row r="42" ht="34" customHeight="1">
      <x:c r="A42" s="16" t="str">
        <x:v>g037</x:v>
      </x:c>
      <x:c r="B42" s="16" t="str"/>
      <x:c r="C42" s="16" t="str">
        <x:v>programa_educativo</x:v>
      </x:c>
      <x:c r="D42" s="16" t="str">
        <x:v>budget</x:v>
      </x:c>
      <x:c r="E42" s="16" t="str">
        <x:v>cash</x:v>
      </x:c>
      <x:c r="F42" s="16" t="str">
        <x:v>&gt;=</x:v>
      </x:c>
      <x:c r="G42" s="16" t="n">
        <x:v>200</x:v>
      </x:c>
      <x:c r="H42" s="16" t="str">
        <x:v>obligatoria</x:v>
      </x:c>
      <x:c r="I42" s="16" t="str">
        <x:v>all</x:v>
      </x:c>
      <x:c r="J42" s="16" t="str">
        <x:v>Habilita ejecución</x:v>
      </x:c>
      <x:c r="K42" s="16" t="str">
        <x:v>Se evalúa al confirmar. Condiciones del mismo grupo all se combinan con AND.</x:v>
      </x:c>
    </x:row>
    <x:row r="43" ht="34" customHeight="1">
      <x:c r="A43" s="17" t="str">
        <x:v>g038</x:v>
      </x:c>
      <x:c r="B43" s="17" t="str"/>
      <x:c r="C43" s="17" t="str">
        <x:v>salud_preventiva</x:v>
      </x:c>
      <x:c r="D43" s="17" t="str">
        <x:v>budget</x:v>
      </x:c>
      <x:c r="E43" s="17" t="str">
        <x:v>cash</x:v>
      </x:c>
      <x:c r="F43" s="17" t="str">
        <x:v>&gt;=</x:v>
      </x:c>
      <x:c r="G43" s="17" t="n">
        <x:v>180</x:v>
      </x:c>
      <x:c r="H43" s="17" t="str">
        <x:v>obligatoria</x:v>
      </x:c>
      <x:c r="I43" s="17" t="str">
        <x:v>all</x:v>
      </x:c>
      <x:c r="J43" s="17" t="str">
        <x:v>Habilita ejecución</x:v>
      </x:c>
      <x:c r="K43" s="17" t="str">
        <x:v>Se evalúa al confirmar. Condiciones del mismo grupo all se combinan con AND.</x:v>
      </x:c>
    </x:row>
    <x:row r="44" ht="34" customHeight="1">
      <x:c r="A44" s="16" t="str">
        <x:v>g039</x:v>
      </x:c>
      <x:c r="B44" s="16" t="str"/>
      <x:c r="C44" s="16" t="str">
        <x:v>empleo_joven</x:v>
      </x:c>
      <x:c r="D44" s="16" t="str">
        <x:v>budget</x:v>
      </x:c>
      <x:c r="E44" s="16" t="str">
        <x:v>cash</x:v>
      </x:c>
      <x:c r="F44" s="16" t="str">
        <x:v>&gt;=</x:v>
      </x:c>
      <x:c r="G44" s="16" t="n">
        <x:v>120</x:v>
      </x:c>
      <x:c r="H44" s="16" t="str">
        <x:v>obligatoria</x:v>
      </x:c>
      <x:c r="I44" s="16" t="str">
        <x:v>all</x:v>
      </x:c>
      <x:c r="J44" s="16" t="str">
        <x:v>Habilita ejecución</x:v>
      </x:c>
      <x:c r="K44" s="16" t="str">
        <x:v>Se evalúa al confirmar. Condiciones del mismo grupo all se combinan con AND.</x:v>
      </x:c>
    </x:row>
    <x:row r="45" ht="34" customHeight="1">
      <x:c r="A45" s="17" t="str">
        <x:v>g040</x:v>
      </x:c>
      <x:c r="B45" s="17" t="str"/>
      <x:c r="C45" s="17" t="str">
        <x:v>cobertura_social</x:v>
      </x:c>
      <x:c r="D45" s="17" t="str">
        <x:v>budget</x:v>
      </x:c>
      <x:c r="E45" s="17" t="str">
        <x:v>cash</x:v>
      </x:c>
      <x:c r="F45" s="17" t="str">
        <x:v>&gt;=</x:v>
      </x:c>
      <x:c r="G45" s="17" t="n">
        <x:v>100</x:v>
      </x:c>
      <x:c r="H45" s="17" t="str">
        <x:v>obligatoria</x:v>
      </x:c>
      <x:c r="I45" s="17" t="str">
        <x:v>all</x:v>
      </x:c>
      <x:c r="J45" s="17" t="str">
        <x:v>Habilita ejecución</x:v>
      </x:c>
      <x:c r="K45" s="17" t="str">
        <x:v>Se evalúa al confirmar. Condiciones del mismo grupo all se combinan con AND.</x:v>
      </x:c>
    </x:row>
    <x:row r="46" ht="34" customHeight="1">
      <x:c r="A46" s="16" t="str">
        <x:v>g041</x:v>
      </x:c>
      <x:c r="B46" s="16" t="str"/>
      <x:c r="C46" s="16" t="str">
        <x:v>alfabetizacion</x:v>
      </x:c>
      <x:c r="D46" s="16" t="str">
        <x:v>budget</x:v>
      </x:c>
      <x:c r="E46" s="16" t="str">
        <x:v>cash</x:v>
      </x:c>
      <x:c r="F46" s="16" t="str">
        <x:v>&gt;=</x:v>
      </x:c>
      <x:c r="G46" s="16" t="n">
        <x:v>110</x:v>
      </x:c>
      <x:c r="H46" s="16" t="str">
        <x:v>obligatoria</x:v>
      </x:c>
      <x:c r="I46" s="16" t="str">
        <x:v>all</x:v>
      </x:c>
      <x:c r="J46" s="16" t="str">
        <x:v>Habilita ejecución</x:v>
      </x:c>
      <x:c r="K46" s="16" t="str">
        <x:v>Se evalúa al confirmar. Condiciones del mismo grupo all se combinan con AND.</x:v>
      </x:c>
    </x:row>
    <x:row r="47" ht="34" customHeight="1">
      <x:c r="A47" s="17" t="str">
        <x:v>g042</x:v>
      </x:c>
      <x:c r="B47" s="17" t="str"/>
      <x:c r="C47" s="17" t="str">
        <x:v>programa_alimentario</x:v>
      </x:c>
      <x:c r="D47" s="17" t="str">
        <x:v>budget</x:v>
      </x:c>
      <x:c r="E47" s="17" t="str">
        <x:v>cash</x:v>
      </x:c>
      <x:c r="F47" s="17" t="str">
        <x:v>&gt;=</x:v>
      </x:c>
      <x:c r="G47" s="17" t="n">
        <x:v>80</x:v>
      </x:c>
      <x:c r="H47" s="17" t="str">
        <x:v>obligatoria</x:v>
      </x:c>
      <x:c r="I47" s="17" t="str">
        <x:v>all</x:v>
      </x:c>
      <x:c r="J47" s="17" t="str">
        <x:v>Habilita ejecución</x:v>
      </x:c>
      <x:c r="K47" s="17" t="str">
        <x:v>Se evalúa al confirmar. Condiciones del mismo grupo all se combinan con AND.</x:v>
      </x:c>
    </x:row>
    <x:row r="48" ht="34" customHeight="1">
      <x:c r="A48" s="16" t="str">
        <x:v>g043</x:v>
      </x:c>
      <x:c r="B48" s="16" t="str"/>
      <x:c r="C48" s="16" t="str">
        <x:v>igualdad_genero</x:v>
      </x:c>
      <x:c r="D48" s="16" t="str">
        <x:v>budget</x:v>
      </x:c>
      <x:c r="E48" s="16" t="str">
        <x:v>cash</x:v>
      </x:c>
      <x:c r="F48" s="16" t="str">
        <x:v>&gt;=</x:v>
      </x:c>
      <x:c r="G48" s="16" t="n">
        <x:v>120</x:v>
      </x:c>
      <x:c r="H48" s="16" t="str">
        <x:v>obligatoria</x:v>
      </x:c>
      <x:c r="I48" s="16" t="str">
        <x:v>all</x:v>
      </x:c>
      <x:c r="J48" s="16" t="str">
        <x:v>Habilita ejecución</x:v>
      </x:c>
      <x:c r="K48" s="16" t="str">
        <x:v>Se evalúa al confirmar. Condiciones del mismo grupo all se combinan con AND.</x:v>
      </x:c>
    </x:row>
    <x:row r="49" ht="34" customHeight="1">
      <x:c r="A49" s="17" t="str">
        <x:v>g044</x:v>
      </x:c>
      <x:c r="B49" s="17" t="str"/>
      <x:c r="C49" s="17" t="str">
        <x:v>transporte_publico</x:v>
      </x:c>
      <x:c r="D49" s="17" t="str">
        <x:v>budget</x:v>
      </x:c>
      <x:c r="E49" s="17" t="str">
        <x:v>cash</x:v>
      </x:c>
      <x:c r="F49" s="17" t="str">
        <x:v>&gt;=</x:v>
      </x:c>
      <x:c r="G49" s="17" t="n">
        <x:v>260</x:v>
      </x:c>
      <x:c r="H49" s="17" t="str">
        <x:v>obligatoria</x:v>
      </x:c>
      <x:c r="I49" s="17" t="str">
        <x:v>all</x:v>
      </x:c>
      <x:c r="J49" s="17" t="str">
        <x:v>Habilita ejecución</x:v>
      </x:c>
      <x:c r="K49" s="17" t="str">
        <x:v>Se evalúa al confirmar. Condiciones del mismo grupo all se combinan con AND.</x:v>
      </x:c>
    </x:row>
    <x:row r="50" ht="34" customHeight="1">
      <x:c r="A50" s="16" t="str">
        <x:v>g045</x:v>
      </x:c>
      <x:c r="B50" s="16" t="str"/>
      <x:c r="C50" s="16" t="str">
        <x:v>energia_renovable</x:v>
      </x:c>
      <x:c r="D50" s="16" t="str">
        <x:v>budget</x:v>
      </x:c>
      <x:c r="E50" s="16" t="str">
        <x:v>cash</x:v>
      </x:c>
      <x:c r="F50" s="16" t="str">
        <x:v>&gt;=</x:v>
      </x:c>
      <x:c r="G50" s="16" t="n">
        <x:v>400</x:v>
      </x:c>
      <x:c r="H50" s="16" t="str">
        <x:v>obligatoria</x:v>
      </x:c>
      <x:c r="I50" s="16" t="str">
        <x:v>all</x:v>
      </x:c>
      <x:c r="J50" s="16" t="str">
        <x:v>Habilita ejecución</x:v>
      </x:c>
      <x:c r="K50" s="16" t="str">
        <x:v>Se evalúa al confirmar. Condiciones del mismo grupo all se combinan con AND.</x:v>
      </x:c>
    </x:row>
    <x:row r="51" ht="34" customHeight="1">
      <x:c r="A51" s="17" t="str">
        <x:v>g046</x:v>
      </x:c>
      <x:c r="B51" s="17" t="str">
        <x:v>estudio_factibilidad</x:v>
      </x:c>
      <x:c r="C51" s="17" t="str">
        <x:v>energia_renovable</x:v>
      </x:c>
      <x:c r="D51" s="17" t="str">
        <x:v>study</x:v>
      </x:c>
      <x:c r="E51" s="17" t="str">
        <x:v>study.projectId</x:v>
      </x:c>
      <x:c r="F51" s="17" t="str">
        <x:v>active</x:v>
      </x:c>
      <x:c r="G51" s="17" t="str">
        <x:v>energia_renovable</x:v>
      </x:c>
      <x:c r="H51" s="17" t="str">
        <x:v>obligatoria</x:v>
      </x:c>
      <x:c r="I51" s="17" t="str">
        <x:v>all</x:v>
      </x:c>
      <x:c r="J51" s="17" t="str">
        <x:v>Habilita ejecución</x:v>
      </x:c>
      <x:c r="K51" s="17" t="str">
        <x:v>Se evalúa al confirmar. Condiciones del mismo grupo all se combinan con AND.</x:v>
      </x:c>
    </x:row>
    <x:row r="52" ht="34" customHeight="1">
      <x:c r="A52" s="16" t="str">
        <x:v>g047</x:v>
      </x:c>
      <x:c r="B52" s="16" t="str"/>
      <x:c r="C52" s="16" t="str">
        <x:v>energia_renovable</x:v>
      </x:c>
      <x:c r="D52" s="16" t="str">
        <x:v>agreement</x:v>
      </x:c>
      <x:c r="E52" s="16" t="str">
        <x:v>pacto_federal</x:v>
      </x:c>
      <x:c r="F52" s="16" t="str">
        <x:v>active</x:v>
      </x:c>
      <x:c r="G52" s="16" t="n">
        <x:v>1</x:v>
      </x:c>
      <x:c r="H52" s="16" t="str">
        <x:v>bonificación</x:v>
      </x:c>
      <x:c r="I52" s="16" t="str">
        <x:v>all</x:v>
      </x:c>
      <x:c r="J52" s="16" t="str">
        <x:v>Beneficio obra ×1,15; sólo indicadores positivos, una vez</x:v>
      </x:c>
      <x:c r="K52" s="16" t="str">
        <x:v>Se evalúa al confirmar. Condiciones del mismo grupo all se combinan con AND.</x:v>
      </x:c>
    </x:row>
    <x:row r="53" ht="34" customHeight="1">
      <x:c r="A53" s="17" t="str">
        <x:v>g048</x:v>
      </x:c>
      <x:c r="B53" s="17" t="str"/>
      <x:c r="C53" s="17" t="str">
        <x:v>construccion_hospitales</x:v>
      </x:c>
      <x:c r="D53" s="17" t="str">
        <x:v>budget</x:v>
      </x:c>
      <x:c r="E53" s="17" t="str">
        <x:v>cash</x:v>
      </x:c>
      <x:c r="F53" s="17" t="str">
        <x:v>&gt;=</x:v>
      </x:c>
      <x:c r="G53" s="17" t="n">
        <x:v>450</x:v>
      </x:c>
      <x:c r="H53" s="17" t="str">
        <x:v>obligatoria</x:v>
      </x:c>
      <x:c r="I53" s="17" t="str">
        <x:v>all</x:v>
      </x:c>
      <x:c r="J53" s="17" t="str">
        <x:v>Habilita ejecución</x:v>
      </x:c>
      <x:c r="K53" s="17" t="str">
        <x:v>Se evalúa al confirmar. Condiciones del mismo grupo all se combinan con AND.</x:v>
      </x:c>
    </x:row>
    <x:row r="54" ht="34" customHeight="1">
      <x:c r="A54" s="16" t="str">
        <x:v>g049</x:v>
      </x:c>
      <x:c r="B54" s="16" t="str">
        <x:v>estudio_factibilidad</x:v>
      </x:c>
      <x:c r="C54" s="16" t="str">
        <x:v>construccion_hospitales</x:v>
      </x:c>
      <x:c r="D54" s="16" t="str">
        <x:v>study</x:v>
      </x:c>
      <x:c r="E54" s="16" t="str">
        <x:v>study.projectId</x:v>
      </x:c>
      <x:c r="F54" s="16" t="str">
        <x:v>active</x:v>
      </x:c>
      <x:c r="G54" s="16" t="str">
        <x:v>construccion_hospitales</x:v>
      </x:c>
      <x:c r="H54" s="16" t="str">
        <x:v>obligatoria</x:v>
      </x:c>
      <x:c r="I54" s="16" t="str">
        <x:v>all</x:v>
      </x:c>
      <x:c r="J54" s="16" t="str">
        <x:v>Habilita ejecución</x:v>
      </x:c>
      <x:c r="K54" s="16" t="str">
        <x:v>Se evalúa al confirmar. Condiciones del mismo grupo all se combinan con AND.</x:v>
      </x:c>
    </x:row>
    <x:row r="55" ht="34" customHeight="1">
      <x:c r="A55" s="17" t="str">
        <x:v>g050</x:v>
      </x:c>
      <x:c r="B55" s="17" t="str"/>
      <x:c r="C55" s="17" t="str">
        <x:v>construccion_hospitales</x:v>
      </x:c>
      <x:c r="D55" s="17" t="str">
        <x:v>agreement</x:v>
      </x:c>
      <x:c r="E55" s="17" t="str">
        <x:v>pacto_federal</x:v>
      </x:c>
      <x:c r="F55" s="17" t="str">
        <x:v>active</x:v>
      </x:c>
      <x:c r="G55" s="17" t="n">
        <x:v>1</x:v>
      </x:c>
      <x:c r="H55" s="17" t="str">
        <x:v>bonificación</x:v>
      </x:c>
      <x:c r="I55" s="17" t="str">
        <x:v>all</x:v>
      </x:c>
      <x:c r="J55" s="17" t="str">
        <x:v>Beneficio obra ×1,15; sólo indicadores positivos, una vez</x:v>
      </x:c>
      <x:c r="K55" s="17" t="str">
        <x:v>Se evalúa al confirmar. Condiciones del mismo grupo all se combinan con AND.</x:v>
      </x:c>
    </x:row>
    <x:row r="56" ht="34" customHeight="1">
      <x:c r="A56" s="16" t="str">
        <x:v>g051</x:v>
      </x:c>
      <x:c r="B56" s="16" t="str"/>
      <x:c r="C56" s="16" t="str">
        <x:v>plan_conectividad</x:v>
      </x:c>
      <x:c r="D56" s="16" t="str">
        <x:v>budget</x:v>
      </x:c>
      <x:c r="E56" s="16" t="str">
        <x:v>cash</x:v>
      </x:c>
      <x:c r="F56" s="16" t="str">
        <x:v>&gt;=</x:v>
      </x:c>
      <x:c r="G56" s="16" t="n">
        <x:v>260</x:v>
      </x:c>
      <x:c r="H56" s="16" t="str">
        <x:v>obligatoria</x:v>
      </x:c>
      <x:c r="I56" s="16" t="str">
        <x:v>all</x:v>
      </x:c>
      <x:c r="J56" s="16" t="str">
        <x:v>Habilita ejecución</x:v>
      </x:c>
      <x:c r="K56" s="16" t="str">
        <x:v>Se evalúa al confirmar. Condiciones del mismo grupo all se combinan con AND.</x:v>
      </x:c>
    </x:row>
    <x:row r="57" ht="34" customHeight="1">
      <x:c r="A57" s="17" t="str">
        <x:v>g052</x:v>
      </x:c>
      <x:c r="B57" s="17" t="str">
        <x:v>estudio_factibilidad</x:v>
      </x:c>
      <x:c r="C57" s="17" t="str">
        <x:v>plan_conectividad</x:v>
      </x:c>
      <x:c r="D57" s="17" t="str">
        <x:v>study</x:v>
      </x:c>
      <x:c r="E57" s="17" t="str">
        <x:v>study.projectId</x:v>
      </x:c>
      <x:c r="F57" s="17" t="str">
        <x:v>active</x:v>
      </x:c>
      <x:c r="G57" s="17" t="str">
        <x:v>plan_conectividad</x:v>
      </x:c>
      <x:c r="H57" s="17" t="str">
        <x:v>obligatoria</x:v>
      </x:c>
      <x:c r="I57" s="17" t="str">
        <x:v>all</x:v>
      </x:c>
      <x:c r="J57" s="17" t="str">
        <x:v>Habilita ejecución</x:v>
      </x:c>
      <x:c r="K57" s="17" t="str">
        <x:v>Se evalúa al confirmar. Condiciones del mismo grupo all se combinan con AND.</x:v>
      </x:c>
    </x:row>
    <x:row r="58" ht="34" customHeight="1">
      <x:c r="A58" s="16" t="str">
        <x:v>g053</x:v>
      </x:c>
      <x:c r="B58" s="16" t="str"/>
      <x:c r="C58" s="16" t="str">
        <x:v>plan_conectividad</x:v>
      </x:c>
      <x:c r="D58" s="16" t="str">
        <x:v>agreement</x:v>
      </x:c>
      <x:c r="E58" s="16" t="str">
        <x:v>pacto_federal</x:v>
      </x:c>
      <x:c r="F58" s="16" t="str">
        <x:v>active</x:v>
      </x:c>
      <x:c r="G58" s="16" t="n">
        <x:v>1</x:v>
      </x:c>
      <x:c r="H58" s="16" t="str">
        <x:v>bonificación</x:v>
      </x:c>
      <x:c r="I58" s="16" t="str">
        <x:v>all</x:v>
      </x:c>
      <x:c r="J58" s="16" t="str">
        <x:v>Beneficio obra ×1,15; sólo indicadores positivos, una vez</x:v>
      </x:c>
      <x:c r="K58" s="16" t="str">
        <x:v>Se evalúa al confirmar. Condiciones del mismo grupo all se combinan con AND.</x:v>
      </x:c>
    </x:row>
    <x:row r="59" ht="34" customHeight="1">
      <x:c r="A59" s="17" t="str">
        <x:v>g054</x:v>
      </x:c>
      <x:c r="B59" s="17" t="str"/>
      <x:c r="C59" s="17" t="str">
        <x:v>reforestacion</x:v>
      </x:c>
      <x:c r="D59" s="17" t="str">
        <x:v>budget</x:v>
      </x:c>
      <x:c r="E59" s="17" t="str">
        <x:v>cash</x:v>
      </x:c>
      <x:c r="F59" s="17" t="str">
        <x:v>&gt;=</x:v>
      </x:c>
      <x:c r="G59" s="17" t="n">
        <x:v>160</x:v>
      </x:c>
      <x:c r="H59" s="17" t="str">
        <x:v>obligatoria</x:v>
      </x:c>
      <x:c r="I59" s="17" t="str">
        <x:v>all</x:v>
      </x:c>
      <x:c r="J59" s="17" t="str">
        <x:v>Habilita ejecución</x:v>
      </x:c>
      <x:c r="K59" s="17" t="str">
        <x:v>Se evalúa al confirmar. Condiciones del mismo grupo all se combinan con AND.</x:v>
      </x:c>
    </x:row>
    <x:row r="60" ht="34" customHeight="1">
      <x:c r="A60" s="16" t="str">
        <x:v>g055</x:v>
      </x:c>
      <x:c r="B60" s="16" t="str"/>
      <x:c r="C60" s="16" t="str">
        <x:v>infraestructura_vial</x:v>
      </x:c>
      <x:c r="D60" s="16" t="str">
        <x:v>budget</x:v>
      </x:c>
      <x:c r="E60" s="16" t="str">
        <x:v>cash</x:v>
      </x:c>
      <x:c r="F60" s="16" t="str">
        <x:v>&gt;=</x:v>
      </x:c>
      <x:c r="G60" s="16" t="n">
        <x:v>400</x:v>
      </x:c>
      <x:c r="H60" s="16" t="str">
        <x:v>obligatoria</x:v>
      </x:c>
      <x:c r="I60" s="16" t="str">
        <x:v>all</x:v>
      </x:c>
      <x:c r="J60" s="16" t="str">
        <x:v>Habilita ejecución</x:v>
      </x:c>
      <x:c r="K60" s="16" t="str">
        <x:v>Se evalúa al confirmar. Condiciones del mismo grupo all se combinan con AND.</x:v>
      </x:c>
    </x:row>
    <x:row r="61" ht="34" customHeight="1">
      <x:c r="A61" s="17" t="str">
        <x:v>g056</x:v>
      </x:c>
      <x:c r="B61" s="17" t="str">
        <x:v>estudio_factibilidad</x:v>
      </x:c>
      <x:c r="C61" s="17" t="str">
        <x:v>infraestructura_vial</x:v>
      </x:c>
      <x:c r="D61" s="17" t="str">
        <x:v>study</x:v>
      </x:c>
      <x:c r="E61" s="17" t="str">
        <x:v>study.projectId</x:v>
      </x:c>
      <x:c r="F61" s="17" t="str">
        <x:v>active</x:v>
      </x:c>
      <x:c r="G61" s="17" t="str">
        <x:v>infraestructura_vial</x:v>
      </x:c>
      <x:c r="H61" s="17" t="str">
        <x:v>obligatoria</x:v>
      </x:c>
      <x:c r="I61" s="17" t="str">
        <x:v>all</x:v>
      </x:c>
      <x:c r="J61" s="17" t="str">
        <x:v>Habilita ejecución</x:v>
      </x:c>
      <x:c r="K61" s="17" t="str">
        <x:v>Se evalúa al confirmar. Condiciones del mismo grupo all se combinan con AND.</x:v>
      </x:c>
    </x:row>
    <x:row r="62" ht="34" customHeight="1">
      <x:c r="A62" s="16" t="str">
        <x:v>g057</x:v>
      </x:c>
      <x:c r="B62" s="16" t="str"/>
      <x:c r="C62" s="16" t="str">
        <x:v>infraestructura_vial</x:v>
      </x:c>
      <x:c r="D62" s="16" t="str">
        <x:v>agreement</x:v>
      </x:c>
      <x:c r="E62" s="16" t="str">
        <x:v>pacto_federal</x:v>
      </x:c>
      <x:c r="F62" s="16" t="str">
        <x:v>active</x:v>
      </x:c>
      <x:c r="G62" s="16" t="n">
        <x:v>1</x:v>
      </x:c>
      <x:c r="H62" s="16" t="str">
        <x:v>bonificación</x:v>
      </x:c>
      <x:c r="I62" s="16" t="str">
        <x:v>all</x:v>
      </x:c>
      <x:c r="J62" s="16" t="str">
        <x:v>Beneficio obra ×1,15; sólo indicadores positivos, una vez</x:v>
      </x:c>
      <x:c r="K62" s="16" t="str">
        <x:v>Se evalúa al confirmar. Condiciones del mismo grupo all se combinan con AND.</x:v>
      </x:c>
    </x:row>
    <x:row r="63" ht="34" customHeight="1">
      <x:c r="A63" s="17" t="str">
        <x:v>g058</x:v>
      </x:c>
      <x:c r="B63" s="17" t="str"/>
      <x:c r="C63" s="17" t="str">
        <x:v>plan_hidrico</x:v>
      </x:c>
      <x:c r="D63" s="17" t="str">
        <x:v>budget</x:v>
      </x:c>
      <x:c r="E63" s="17" t="str">
        <x:v>cash</x:v>
      </x:c>
      <x:c r="F63" s="17" t="str">
        <x:v>&gt;=</x:v>
      </x:c>
      <x:c r="G63" s="17" t="n">
        <x:v>320</x:v>
      </x:c>
      <x:c r="H63" s="17" t="str">
        <x:v>obligatoria</x:v>
      </x:c>
      <x:c r="I63" s="17" t="str">
        <x:v>all</x:v>
      </x:c>
      <x:c r="J63" s="17" t="str">
        <x:v>Habilita ejecución</x:v>
      </x:c>
      <x:c r="K63" s="17" t="str">
        <x:v>Se evalúa al confirmar. Condiciones del mismo grupo all se combinan con AND.</x:v>
      </x:c>
    </x:row>
    <x:row r="64" ht="34" customHeight="1">
      <x:c r="A64" s="16" t="str">
        <x:v>g059</x:v>
      </x:c>
      <x:c r="B64" s="16" t="str">
        <x:v>estudio_factibilidad</x:v>
      </x:c>
      <x:c r="C64" s="16" t="str">
        <x:v>plan_hidrico</x:v>
      </x:c>
      <x:c r="D64" s="16" t="str">
        <x:v>study</x:v>
      </x:c>
      <x:c r="E64" s="16" t="str">
        <x:v>study.projectId</x:v>
      </x:c>
      <x:c r="F64" s="16" t="str">
        <x:v>active</x:v>
      </x:c>
      <x:c r="G64" s="16" t="str">
        <x:v>plan_hidrico</x:v>
      </x:c>
      <x:c r="H64" s="16" t="str">
        <x:v>obligatoria</x:v>
      </x:c>
      <x:c r="I64" s="16" t="str">
        <x:v>all</x:v>
      </x:c>
      <x:c r="J64" s="16" t="str">
        <x:v>Habilita ejecución</x:v>
      </x:c>
      <x:c r="K64" s="16" t="str">
        <x:v>Se evalúa al confirmar. Condiciones del mismo grupo all se combinan con AND.</x:v>
      </x:c>
    </x:row>
    <x:row r="65" ht="34" customHeight="1">
      <x:c r="A65" s="17" t="str">
        <x:v>g060</x:v>
      </x:c>
      <x:c r="B65" s="17" t="str"/>
      <x:c r="C65" s="17" t="str">
        <x:v>plan_hidrico</x:v>
      </x:c>
      <x:c r="D65" s="17" t="str">
        <x:v>agreement</x:v>
      </x:c>
      <x:c r="E65" s="17" t="str">
        <x:v>pacto_federal</x:v>
      </x:c>
      <x:c r="F65" s="17" t="str">
        <x:v>active</x:v>
      </x:c>
      <x:c r="G65" s="17" t="n">
        <x:v>1</x:v>
      </x:c>
      <x:c r="H65" s="17" t="str">
        <x:v>bonificación</x:v>
      </x:c>
      <x:c r="I65" s="17" t="str">
        <x:v>all</x:v>
      </x:c>
      <x:c r="J65" s="17" t="str">
        <x:v>Beneficio obra ×1,15; sólo indicadores positivos, una vez</x:v>
      </x:c>
      <x:c r="K65" s="17" t="str">
        <x:v>Se evalúa al confirmar. Condiciones del mismo grupo all se combinan con AND.</x:v>
      </x:c>
    </x:row>
    <x:row r="66" ht="34" customHeight="1">
      <x:c r="A66" s="16" t="str">
        <x:v>g061</x:v>
      </x:c>
      <x:c r="B66" s="16" t="str"/>
      <x:c r="C66" s="16" t="str">
        <x:v>red_gas</x:v>
      </x:c>
      <x:c r="D66" s="16" t="str">
        <x:v>budget</x:v>
      </x:c>
      <x:c r="E66" s="16" t="str">
        <x:v>cash</x:v>
      </x:c>
      <x:c r="F66" s="16" t="str">
        <x:v>&gt;=</x:v>
      </x:c>
      <x:c r="G66" s="16" t="n">
        <x:v>340</x:v>
      </x:c>
      <x:c r="H66" s="16" t="str">
        <x:v>obligatoria</x:v>
      </x:c>
      <x:c r="I66" s="16" t="str">
        <x:v>all</x:v>
      </x:c>
      <x:c r="J66" s="16" t="str">
        <x:v>Habilita ejecución</x:v>
      </x:c>
      <x:c r="K66" s="16" t="str">
        <x:v>Se evalúa al confirmar. Condiciones del mismo grupo all se combinan con AND.</x:v>
      </x:c>
    </x:row>
    <x:row r="67" ht="34" customHeight="1">
      <x:c r="A67" s="17" t="str">
        <x:v>g062</x:v>
      </x:c>
      <x:c r="B67" s="17" t="str">
        <x:v>estudio_factibilidad</x:v>
      </x:c>
      <x:c r="C67" s="17" t="str">
        <x:v>red_gas</x:v>
      </x:c>
      <x:c r="D67" s="17" t="str">
        <x:v>study</x:v>
      </x:c>
      <x:c r="E67" s="17" t="str">
        <x:v>study.projectId</x:v>
      </x:c>
      <x:c r="F67" s="17" t="str">
        <x:v>active</x:v>
      </x:c>
      <x:c r="G67" s="17" t="str">
        <x:v>red_gas</x:v>
      </x:c>
      <x:c r="H67" s="17" t="str">
        <x:v>obligatoria</x:v>
      </x:c>
      <x:c r="I67" s="17" t="str">
        <x:v>all</x:v>
      </x:c>
      <x:c r="J67" s="17" t="str">
        <x:v>Habilita ejecución</x:v>
      </x:c>
      <x:c r="K67" s="17" t="str">
        <x:v>Se evalúa al confirmar. Condiciones del mismo grupo all se combinan con AND.</x:v>
      </x:c>
    </x:row>
    <x:row r="68" ht="34" customHeight="1">
      <x:c r="A68" s="16" t="str">
        <x:v>g063</x:v>
      </x:c>
      <x:c r="B68" s="16" t="str"/>
      <x:c r="C68" s="16" t="str">
        <x:v>red_gas</x:v>
      </x:c>
      <x:c r="D68" s="16" t="str">
        <x:v>agreement</x:v>
      </x:c>
      <x:c r="E68" s="16" t="str">
        <x:v>pacto_federal</x:v>
      </x:c>
      <x:c r="F68" s="16" t="str">
        <x:v>active</x:v>
      </x:c>
      <x:c r="G68" s="16" t="n">
        <x:v>1</x:v>
      </x:c>
      <x:c r="H68" s="16" t="str">
        <x:v>bonificación</x:v>
      </x:c>
      <x:c r="I68" s="16" t="str">
        <x:v>all</x:v>
      </x:c>
      <x:c r="J68" s="16" t="str">
        <x:v>Beneficio obra ×1,15; sólo indicadores positivos, una vez</x:v>
      </x:c>
      <x:c r="K68" s="16" t="str">
        <x:v>Se evalúa al confirmar. Condiciones del mismo grupo all se combinan con AND.</x:v>
      </x:c>
    </x:row>
    <x:row r="69" ht="34" customHeight="1">
      <x:c r="A69" s="17" t="str">
        <x:v>g064</x:v>
      </x:c>
      <x:c r="B69" s="17" t="str"/>
      <x:c r="C69" s="17" t="str">
        <x:v>estudio_factibilidad</x:v>
      </x:c>
      <x:c r="D69" s="17" t="str">
        <x:v>budget</x:v>
      </x:c>
      <x:c r="E69" s="17" t="str">
        <x:v>cash</x:v>
      </x:c>
      <x:c r="F69" s="17" t="str">
        <x:v>&gt;=</x:v>
      </x:c>
      <x:c r="G69" s="17" t="n">
        <x:v>60</x:v>
      </x:c>
      <x:c r="H69" s="17" t="str">
        <x:v>obligatoria</x:v>
      </x:c>
      <x:c r="I69" s="17" t="str">
        <x:v>all</x:v>
      </x:c>
      <x:c r="J69" s="17" t="str">
        <x:v>Habilita ejecución</x:v>
      </x:c>
      <x:c r="K69" s="17" t="str">
        <x:v>Se evalúa al confirmar. Condiciones del mismo grupo all se combinan con AND.</x:v>
      </x:c>
    </x:row>
    <x:row r="70" ht="34" customHeight="1">
      <x:c r="A70" s="16" t="str">
        <x:v>g065</x:v>
      </x:c>
      <x:c r="B70" s="16" t="str"/>
      <x:c r="C70" s="16" t="str">
        <x:v>mantenimiento_urbano</x:v>
      </x:c>
      <x:c r="D70" s="16" t="str">
        <x:v>budget</x:v>
      </x:c>
      <x:c r="E70" s="16" t="str">
        <x:v>cash</x:v>
      </x:c>
      <x:c r="F70" s="16" t="str">
        <x:v>&gt;=</x:v>
      </x:c>
      <x:c r="G70" s="16" t="n">
        <x:v>140</x:v>
      </x:c>
      <x:c r="H70" s="16" t="str">
        <x:v>obligatoria</x:v>
      </x:c>
      <x:c r="I70" s="16" t="str">
        <x:v>all</x:v>
      </x:c>
      <x:c r="J70" s="16" t="str">
        <x:v>Habilita ejecución</x:v>
      </x:c>
      <x:c r="K70" s="16" t="str">
        <x:v>Se evalúa al confirmar. Condiciones del mismo grupo all se combinan con AND.</x:v>
      </x:c>
    </x:row>
    <x:row r="71" ht="34" customHeight="1">
      <x:c r="A71" s="17" t="str">
        <x:v>g066</x:v>
      </x:c>
      <x:c r="B71" s="17" t="str"/>
      <x:c r="C71" s="17" t="str">
        <x:v>tratado_comercio</x:v>
      </x:c>
      <x:c r="D71" s="17" t="str">
        <x:v>budget</x:v>
      </x:c>
      <x:c r="E71" s="17" t="str">
        <x:v>cash</x:v>
      </x:c>
      <x:c r="F71" s="17" t="str">
        <x:v>&gt;=</x:v>
      </x:c>
      <x:c r="G71" s="17" t="n">
        <x:v>100</x:v>
      </x:c>
      <x:c r="H71" s="17" t="str">
        <x:v>obligatoria</x:v>
      </x:c>
      <x:c r="I71" s="17" t="str">
        <x:v>all</x:v>
      </x:c>
      <x:c r="J71" s="17" t="str">
        <x:v>Habilita ejecución</x:v>
      </x:c>
      <x:c r="K71" s="17" t="str">
        <x:v>Se evalúa al confirmar. Condiciones del mismo grupo all se combinan con AND.</x:v>
      </x:c>
    </x:row>
    <x:row r="72" ht="34" customHeight="1">
      <x:c r="A72" s="16" t="str">
        <x:v>g067</x:v>
      </x:c>
      <x:c r="B72" s="16" t="str"/>
      <x:c r="C72" s="16" t="str">
        <x:v>cooperacion_internacional</x:v>
      </x:c>
      <x:c r="D72" s="16" t="str">
        <x:v>budget</x:v>
      </x:c>
      <x:c r="E72" s="16" t="str">
        <x:v>cash</x:v>
      </x:c>
      <x:c r="F72" s="16" t="str">
        <x:v>&gt;=</x:v>
      </x:c>
      <x:c r="G72" s="16" t="n">
        <x:v>130</x:v>
      </x:c>
      <x:c r="H72" s="16" t="str">
        <x:v>obligatoria</x:v>
      </x:c>
      <x:c r="I72" s="16" t="str">
        <x:v>all</x:v>
      </x:c>
      <x:c r="J72" s="16" t="str">
        <x:v>Habilita ejecución</x:v>
      </x:c>
      <x:c r="K72" s="16" t="str">
        <x:v>Se evalúa al confirmar. Condiciones del mismo grupo all se combinan con AND.</x:v>
      </x:c>
    </x:row>
    <x:row r="73" ht="34" customHeight="1">
      <x:c r="A73" s="17" t="str">
        <x:v>g068</x:v>
      </x:c>
      <x:c r="B73" s="17" t="str"/>
      <x:c r="C73" s="17" t="str">
        <x:v>seguridad_ciudadana</x:v>
      </x:c>
      <x:c r="D73" s="17" t="str">
        <x:v>budget</x:v>
      </x:c>
      <x:c r="E73" s="17" t="str">
        <x:v>cash</x:v>
      </x:c>
      <x:c r="F73" s="17" t="str">
        <x:v>&gt;=</x:v>
      </x:c>
      <x:c r="G73" s="17" t="n">
        <x:v>180</x:v>
      </x:c>
      <x:c r="H73" s="17" t="str">
        <x:v>obligatoria</x:v>
      </x:c>
      <x:c r="I73" s="17" t="str">
        <x:v>all</x:v>
      </x:c>
      <x:c r="J73" s="17" t="str">
        <x:v>Habilita ejecución</x:v>
      </x:c>
      <x:c r="K73" s="17" t="str">
        <x:v>Se evalúa al confirmar. Condiciones del mismo grupo all se combinan con AND.</x:v>
      </x:c>
    </x:row>
    <x:row r="74" ht="34" customHeight="1">
      <x:c r="A74" s="16" t="str">
        <x:v>g069</x:v>
      </x:c>
      <x:c r="B74" s="16" t="str"/>
      <x:c r="C74" s="16" t="str">
        <x:v>lucha_narcotrafico</x:v>
      </x:c>
      <x:c r="D74" s="16" t="str">
        <x:v>budget</x:v>
      </x:c>
      <x:c r="E74" s="16" t="str">
        <x:v>cash</x:v>
      </x:c>
      <x:c r="F74" s="16" t="str">
        <x:v>&gt;=</x:v>
      </x:c>
      <x:c r="G74" s="16" t="n">
        <x:v>240</x:v>
      </x:c>
      <x:c r="H74" s="16" t="str">
        <x:v>obligatoria</x:v>
      </x:c>
      <x:c r="I74" s="16" t="str">
        <x:v>all</x:v>
      </x:c>
      <x:c r="J74" s="16" t="str">
        <x:v>Habilita ejecución</x:v>
      </x:c>
      <x:c r="K74" s="16" t="str">
        <x:v>Se evalúa al confirmar. Condiciones del mismo grupo all se combinan con AND.</x:v>
      </x:c>
    </x:row>
    <x:row r="75" ht="34" customHeight="1">
      <x:c r="A75" s="17" t="str">
        <x:v>g070</x:v>
      </x:c>
      <x:c r="B75" s="17" t="str"/>
      <x:c r="C75" s="17" t="str">
        <x:v>fortalecimiento_justicia</x:v>
      </x:c>
      <x:c r="D75" s="17" t="str">
        <x:v>budget</x:v>
      </x:c>
      <x:c r="E75" s="17" t="str">
        <x:v>cash</x:v>
      </x:c>
      <x:c r="F75" s="17" t="str">
        <x:v>&gt;=</x:v>
      </x:c>
      <x:c r="G75" s="17" t="n">
        <x:v>230</x:v>
      </x:c>
      <x:c r="H75" s="17" t="str">
        <x:v>obligatoria</x:v>
      </x:c>
      <x:c r="I75" s="17" t="str">
        <x:v>all</x:v>
      </x:c>
      <x:c r="J75" s="17" t="str">
        <x:v>Habilita ejecución</x:v>
      </x:c>
      <x:c r="K75" s="17" t="str">
        <x:v>Se evalúa al confirmar. Condiciones del mismo grupo all se combinan con AND.</x:v>
      </x:c>
    </x:row>
    <x:row r="76" ht="34" customHeight="1">
      <x:c r="A76" s="16" t="str">
        <x:v>g071</x:v>
      </x:c>
      <x:c r="B76" s="16" t="str"/>
      <x:c r="C76" s="16" t="str">
        <x:v>sistema_vigilancia</x:v>
      </x:c>
      <x:c r="D76" s="16" t="str">
        <x:v>budget</x:v>
      </x:c>
      <x:c r="E76" s="16" t="str">
        <x:v>cash</x:v>
      </x:c>
      <x:c r="F76" s="16" t="str">
        <x:v>&gt;=</x:v>
      </x:c>
      <x:c r="G76" s="16" t="n">
        <x:v>200</x:v>
      </x:c>
      <x:c r="H76" s="16" t="str">
        <x:v>obligatoria</x:v>
      </x:c>
      <x:c r="I76" s="16" t="str">
        <x:v>all</x:v>
      </x:c>
      <x:c r="J76" s="16" t="str">
        <x:v>Habilita ejecución</x:v>
      </x:c>
      <x:c r="K76" s="16" t="str">
        <x:v>Se evalúa al confirmar. Condiciones del mismo grupo all se combinan con AND.</x:v>
      </x:c>
    </x:row>
    <x:row r="77" ht="34" customHeight="1">
      <x:c r="A77" s="17" t="str">
        <x:v>g072</x:v>
      </x:c>
      <x:c r="B77" s="17" t="str"/>
      <x:c r="C77" s="17" t="str">
        <x:v>policia_proximidad</x:v>
      </x:c>
      <x:c r="D77" s="17" t="str">
        <x:v>budget</x:v>
      </x:c>
      <x:c r="E77" s="17" t="str">
        <x:v>cash</x:v>
      </x:c>
      <x:c r="F77" s="17" t="str">
        <x:v>&gt;=</x:v>
      </x:c>
      <x:c r="G77" s="17" t="n">
        <x:v>170</x:v>
      </x:c>
      <x:c r="H77" s="17" t="str">
        <x:v>obligatoria</x:v>
      </x:c>
      <x:c r="I77" s="17" t="str">
        <x:v>all</x:v>
      </x:c>
      <x:c r="J77" s="17" t="str">
        <x:v>Habilita ejecución</x:v>
      </x:c>
      <x:c r="K77" s="17" t="str">
        <x:v>Se evalúa al confirmar. Condiciones del mismo grupo all se combinan con AND.</x:v>
      </x:c>
    </x:row>
    <x:row r="78" ht="34" customHeight="1">
      <x:c r="A78" s="16" t="str">
        <x:v>g073</x:v>
      </x:c>
      <x:c r="B78" s="16" t="str"/>
      <x:c r="C78" s="16" t="str">
        <x:v>programa_cultural</x:v>
      </x:c>
      <x:c r="D78" s="16" t="str">
        <x:v>budget</x:v>
      </x:c>
      <x:c r="E78" s="16" t="str">
        <x:v>cash</x:v>
      </x:c>
      <x:c r="F78" s="16" t="str">
        <x:v>&gt;=</x:v>
      </x:c>
      <x:c r="G78" s="16" t="n">
        <x:v>120</x:v>
      </x:c>
      <x:c r="H78" s="16" t="str">
        <x:v>obligatoria</x:v>
      </x:c>
      <x:c r="I78" s="16" t="str">
        <x:v>all</x:v>
      </x:c>
      <x:c r="J78" s="16" t="str">
        <x:v>Habilita ejecución</x:v>
      </x:c>
      <x:c r="K78" s="16" t="str">
        <x:v>Se evalúa al confirmar. Condiciones del mismo grupo all se combinan con AND.</x:v>
      </x:c>
    </x:row>
    <x:row r="79" ht="34" customHeight="1">
      <x:c r="A79" s="17" t="str">
        <x:v>g074</x:v>
      </x:c>
      <x:c r="B79" s="17" t="str"/>
      <x:c r="C79" s="17" t="str">
        <x:v>patrimonio_historico</x:v>
      </x:c>
      <x:c r="D79" s="17" t="str">
        <x:v>budget</x:v>
      </x:c>
      <x:c r="E79" s="17" t="str">
        <x:v>cash</x:v>
      </x:c>
      <x:c r="F79" s="17" t="str">
        <x:v>&gt;=</x:v>
      </x:c>
      <x:c r="G79" s="17" t="n">
        <x:v>150</x:v>
      </x:c>
      <x:c r="H79" s="17" t="str">
        <x:v>obligatoria</x:v>
      </x:c>
      <x:c r="I79" s="17" t="str">
        <x:v>all</x:v>
      </x:c>
      <x:c r="J79" s="17" t="str">
        <x:v>Habilita ejecución</x:v>
      </x:c>
      <x:c r="K79" s="17" t="str">
        <x:v>Se evalúa al confirmar. Condiciones del mismo grupo all se combinan con AND.</x:v>
      </x:c>
    </x:row>
    <x:row r="80" ht="34" customHeight="1">
      <x:c r="A80" s="16" t="str">
        <x:v>g075</x:v>
      </x:c>
      <x:c r="B80" s="16" t="str"/>
      <x:c r="C80" s="16" t="str">
        <x:v>desarrollar_tecnologia</x:v>
      </x:c>
      <x:c r="D80" s="16" t="str">
        <x:v>budget</x:v>
      </x:c>
      <x:c r="E80" s="16" t="str">
        <x:v>cash</x:v>
      </x:c>
      <x:c r="F80" s="16" t="str">
        <x:v>&gt;=</x:v>
      </x:c>
      <x:c r="G80" s="16" t="n">
        <x:v>220</x:v>
      </x:c>
      <x:c r="H80" s="16" t="str">
        <x:v>obligatoria</x:v>
      </x:c>
      <x:c r="I80" s="16" t="str">
        <x:v>all</x:v>
      </x:c>
      <x:c r="J80" s="16" t="str">
        <x:v>Habilita ejecución</x:v>
      </x:c>
      <x:c r="K80" s="16" t="str">
        <x:v>Se evalúa al confirmar. Condiciones del mismo grupo all se combinan con AND.</x:v>
      </x:c>
    </x:row>
    <x:row r="81" ht="34" customHeight="1">
      <x:c r="A81" s="17" t="str">
        <x:v>g076</x:v>
      </x:c>
      <x:c r="B81" s="17" t="str"/>
      <x:c r="C81" s="17" t="str">
        <x:v>credito_pyme</x:v>
      </x:c>
      <x:c r="D81" s="17" t="str">
        <x:v>budget</x:v>
      </x:c>
      <x:c r="E81" s="17" t="str">
        <x:v>cash</x:v>
      </x:c>
      <x:c r="F81" s="17" t="str">
        <x:v>&gt;=</x:v>
      </x:c>
      <x:c r="G81" s="17" t="n">
        <x:v>160</x:v>
      </x:c>
      <x:c r="H81" s="17" t="str">
        <x:v>obligatoria</x:v>
      </x:c>
      <x:c r="I81" s="17" t="str">
        <x:v>all</x:v>
      </x:c>
      <x:c r="J81" s="17" t="str">
        <x:v>Habilita ejecución</x:v>
      </x:c>
      <x:c r="K81" s="17" t="str">
        <x:v>Se evalúa al confirmar. Condiciones del mismo grupo all se combinan con AND.</x:v>
      </x:c>
    </x:row>
    <x:row r="82" ht="34" customHeight="1">
      <x:c r="A82" s="16" t="str">
        <x:v>g077</x:v>
      </x:c>
      <x:c r="B82" s="16" t="str"/>
      <x:c r="C82" s="16" t="str">
        <x:v>carrera_cientifica</x:v>
      </x:c>
      <x:c r="D82" s="16" t="str">
        <x:v>budget</x:v>
      </x:c>
      <x:c r="E82" s="16" t="str">
        <x:v>cash</x:v>
      </x:c>
      <x:c r="F82" s="16" t="str">
        <x:v>&gt;=</x:v>
      </x:c>
      <x:c r="G82" s="16" t="n">
        <x:v>100</x:v>
      </x:c>
      <x:c r="H82" s="16" t="str">
        <x:v>obligatoria</x:v>
      </x:c>
      <x:c r="I82" s="16" t="str">
        <x:v>all</x:v>
      </x:c>
      <x:c r="J82" s="16" t="str">
        <x:v>Habilita ejecución</x:v>
      </x:c>
      <x:c r="K82" s="16" t="str">
        <x:v>Se evalúa al confirmar. Condiciones del mismo grupo all se combinan con AND.</x:v>
      </x:c>
    </x:row>
    <x:row r="83" ht="34" customHeight="1">
      <x:c r="A83" s="17" t="str">
        <x:v>g078</x:v>
      </x:c>
      <x:c r="B83" s="17" t="str"/>
      <x:c r="C83" s="17" t="str">
        <x:v>transparencia_publica</x:v>
      </x:c>
      <x:c r="D83" s="17" t="str">
        <x:v>budget</x:v>
      </x:c>
      <x:c r="E83" s="17" t="str">
        <x:v>cash</x:v>
      </x:c>
      <x:c r="F83" s="17" t="str">
        <x:v>&gt;=</x:v>
      </x:c>
      <x:c r="G83" s="17" t="n">
        <x:v>100</x:v>
      </x:c>
      <x:c r="H83" s="17" t="str">
        <x:v>obligatoria</x:v>
      </x:c>
      <x:c r="I83" s="17" t="str">
        <x:v>all</x:v>
      </x:c>
      <x:c r="J83" s="17" t="str">
        <x:v>Habilita ejecución</x:v>
      </x:c>
      <x:c r="K83" s="17" t="str">
        <x:v>Se evalúa al confirmar. Condiciones del mismo grupo all se combinan con AND.</x:v>
      </x:c>
    </x:row>
    <x:row r="84" ht="34" customHeight="1">
      <x:c r="A84" s="16" t="str">
        <x:v>g079</x:v>
      </x:c>
      <x:c r="B84" s="16" t="str"/>
      <x:c r="C84" s="16" t="str">
        <x:v>estabilizacion_monetaria</x:v>
      </x:c>
      <x:c r="D84" s="16" t="str">
        <x:v>budget</x:v>
      </x:c>
      <x:c r="E84" s="16" t="str">
        <x:v>cash</x:v>
      </x:c>
      <x:c r="F84" s="16" t="str">
        <x:v>&gt;=</x:v>
      </x:c>
      <x:c r="G84" s="16" t="n">
        <x:v>50</x:v>
      </x:c>
      <x:c r="H84" s="16" t="str">
        <x:v>obligatoria</x:v>
      </x:c>
      <x:c r="I84" s="16" t="str">
        <x:v>all</x:v>
      </x:c>
      <x:c r="J84" s="16" t="str">
        <x:v>Habilita ejecución</x:v>
      </x:c>
      <x:c r="K84" s="16" t="str">
        <x:v>Se evalúa al confirmar. Condiciones del mismo grupo all se combinan con AND.</x:v>
      </x:c>
    </x:row>
    <x:row r="85" ht="34" customHeight="1">
      <x:c r="A85" s="17" t="str">
        <x:v>g080</x:v>
      </x:c>
      <x:c r="B85" s="17" t="str"/>
      <x:c r="C85" s="17" t="str">
        <x:v>alivio_tributario</x:v>
      </x:c>
      <x:c r="D85" s="17" t="str">
        <x:v>budget</x:v>
      </x:c>
      <x:c r="E85" s="17" t="str">
        <x:v>cash</x:v>
      </x:c>
      <x:c r="F85" s="17" t="str">
        <x:v>&gt;=</x:v>
      </x:c>
      <x:c r="G85" s="17" t="n">
        <x:v>30</x:v>
      </x:c>
      <x:c r="H85" s="17" t="str">
        <x:v>obligatoria</x:v>
      </x:c>
      <x:c r="I85" s="17" t="str">
        <x:v>all</x:v>
      </x:c>
      <x:c r="J85" s="17" t="str">
        <x:v>Habilita ejecución</x:v>
      </x:c>
      <x:c r="K85" s="17" t="str">
        <x:v>Se evalúa al confirmar. Condiciones del mismo grupo all se combinan con AND.</x:v>
      </x:c>
    </x:row>
    <x:row r="86" ht="34" customHeight="1">
      <x:c r="A86" s="16" t="str">
        <x:v>g081</x:v>
      </x:c>
      <x:c r="B86" s="16" t="str"/>
      <x:c r="C86" s="16" t="str">
        <x:v>reestructurar_deuda</x:v>
      </x:c>
      <x:c r="D86" s="16" t="str">
        <x:v>budget</x:v>
      </x:c>
      <x:c r="E86" s="16" t="str">
        <x:v>cash</x:v>
      </x:c>
      <x:c r="F86" s="16" t="str">
        <x:v>&gt;=</x:v>
      </x:c>
      <x:c r="G86" s="16" t="n">
        <x:v>80</x:v>
      </x:c>
      <x:c r="H86" s="16" t="str">
        <x:v>obligatoria</x:v>
      </x:c>
      <x:c r="I86" s="16" t="str">
        <x:v>all</x:v>
      </x:c>
      <x:c r="J86" s="16" t="str">
        <x:v>Habilita ejecución</x:v>
      </x:c>
      <x:c r="K86" s="16" t="str">
        <x:v>Se evalúa al confirmar. Condiciones del mismo grupo all se combinan con AND.</x:v>
      </x:c>
    </x:row>
    <x:row r="87" ht="34" customHeight="1">
      <x:c r="A87" s="17" t="str">
        <x:v>g082</x:v>
      </x:c>
      <x:c r="B87" s="17" t="str"/>
      <x:c r="C87" s="17" t="str">
        <x:v>energia_renovable</x:v>
      </x:c>
      <x:c r="D87" s="17" t="str">
        <x:v>indicator</x:v>
      </x:c>
      <x:c r="E87" s="17" t="str">
        <x:v>ambiente</x:v>
      </x:c>
      <x:c r="F87" s="17" t="str">
        <x:v>&lt;</x:v>
      </x:c>
      <x:c r="G87" s="17" t="n">
        <x:v>40</x:v>
      </x:c>
      <x:c r="H87" s="17" t="str">
        <x:v>bonificación</x:v>
      </x:c>
      <x:c r="I87" s="17" t="str">
        <x:v>all</x:v>
      </x:c>
      <x:c r="J87" s="17" t="str">
        <x:v>Costo inicial ×0,9 por prioridad ambiental</x:v>
      </x:c>
      <x:c r="K87" s="17" t="str">
        <x:v>Se evalúa al confirmar. Condiciones del mismo grupo all se combinan con AND.</x:v>
      </x:c>
    </x:row>
    <x:row r="88" ht="34" customHeight="1">
      <x:c r="A88" s="16" t="str">
        <x:v>g083</x:v>
      </x:c>
      <x:c r="B88" s="16" t="str"/>
      <x:c r="C88" s="16" t="str">
        <x:v>plan_hidrico</x:v>
      </x:c>
      <x:c r="D88" s="16" t="str">
        <x:v>event</x:v>
      </x:c>
      <x:c r="E88" s="16" t="str">
        <x:v>crisis_hidrica</x:v>
      </x:c>
      <x:c r="F88" s="16" t="str">
        <x:v>active</x:v>
      </x:c>
      <x:c r="G88" s="16" t="n">
        <x:v>1</x:v>
      </x:c>
      <x:c r="H88" s="16" t="str">
        <x:v>bonificación</x:v>
      </x:c>
      <x:c r="I88" s="16" t="str">
        <x:v>all</x:v>
      </x:c>
      <x:c r="J88" s="16" t="str">
        <x:v>Costo inicial ×0,9 por fondos de emergencia</x:v>
      </x:c>
      <x:c r="K88" s="16" t="str">
        <x:v>Se evalúa al confirmar. Condiciones del mismo grupo all se combinan con AND.</x:v>
      </x:c>
    </x:row>
    <x:row r="89" ht="34" customHeight="1">
      <x:c r="A89" s="17" t="str">
        <x:v>g084</x:v>
      </x:c>
      <x:c r="B89" s="17" t="str"/>
      <x:c r="C89" s="17" t="str">
        <x:v>credito_pyme</x:v>
      </x:c>
      <x:c r="D89" s="17" t="str">
        <x:v>indicator</x:v>
      </x:c>
      <x:c r="E89" s="17" t="str">
        <x:v>fiscal</x:v>
      </x:c>
      <x:c r="F89" s="17" t="str">
        <x:v>&gt;=</x:v>
      </x:c>
      <x:c r="G89" s="17" t="n">
        <x:v>25</x:v>
      </x:c>
      <x:c r="H89" s="17" t="str">
        <x:v>obligatoria</x:v>
      </x:c>
      <x:c r="I89" s="17" t="str">
        <x:v>all</x:v>
      </x:c>
      <x:c r="J89" s="17" t="str">
        <x:v>Habilita ejecución</x:v>
      </x:c>
      <x:c r="K89" s="17" t="str">
        <x:v>Se evalúa al confirmar. Condiciones del mismo grupo all se combinan con AND.</x:v>
      </x:c>
    </x:row>
    <x:row r="90" ht="34" customHeight="1">
      <x:c r="A90" s="16" t="str">
        <x:v>g085</x:v>
      </x:c>
      <x:c r="B90" s="16" t="str"/>
      <x:c r="C90" s="16" t="str">
        <x:v>estabilizacion_monetaria</x:v>
      </x:c>
      <x:c r="D90" s="16" t="str">
        <x:v>indicator</x:v>
      </x:c>
      <x:c r="E90" s="16" t="str">
        <x:v>inflacion</x:v>
      </x:c>
      <x:c r="F90" s="16" t="str">
        <x:v>&gt;=</x:v>
      </x:c>
      <x:c r="G90" s="16" t="n">
        <x:v>35</x:v>
      </x:c>
      <x:c r="H90" s="16" t="str">
        <x:v>obligatoria</x:v>
      </x:c>
      <x:c r="I90" s="16" t="str">
        <x:v>all</x:v>
      </x:c>
      <x:c r="J90" s="16" t="str">
        <x:v>Habilita ejecución</x:v>
      </x:c>
      <x:c r="K90" s="16" t="str">
        <x:v>Se evalúa al confirmar. Condiciones del mismo grupo all se combinan con AND.</x:v>
      </x:c>
    </x:row>
    <x:row r="91" ht="34" customHeight="1">
      <x:c r="A91" s="17" t="str">
        <x:v>g086</x:v>
      </x:c>
      <x:c r="B91" s="17" t="str"/>
      <x:c r="C91" s="17" t="str">
        <x:v>reunirse</x:v>
      </x:c>
      <x:c r="D91" s="17" t="str">
        <x:v>actor</x:v>
      </x:c>
      <x:c r="E91" s="17" t="str">
        <x:v>actorId</x:v>
      </x:c>
      <x:c r="F91" s="17" t="str">
        <x:v>exists</x:v>
      </x:c>
      <x:c r="G91" s="17" t="n">
        <x:v>1</x:v>
      </x:c>
      <x:c r="H91" s="17" t="str">
        <x:v>obligatoria</x:v>
      </x:c>
      <x:c r="I91" s="17" t="str">
        <x:v>all</x:v>
      </x:c>
      <x:c r="J91" s="17" t="str">
        <x:v>Habilita ejecución</x:v>
      </x:c>
      <x:c r="K91" s="17" t="str">
        <x:v>Se evalúa al confirmar. Condiciones del mismo grupo all se combinan con AND.</x:v>
      </x:c>
    </x:row>
    <x:row r="92" ht="34" customHeight="1">
      <x:c r="A92" s="16" t="str">
        <x:v>g087</x:v>
      </x:c>
      <x:c r="B92" s="16" t="str"/>
      <x:c r="C92" s="16" t="str">
        <x:v>reestructurar_deuda</x:v>
      </x:c>
      <x:c r="D92" s="16" t="str">
        <x:v>ledger</x:v>
      </x:c>
      <x:c r="E92" s="16" t="str">
        <x:v>selectedLoan.restructured</x:v>
      </x:c>
      <x:c r="F92" s="16" t="str">
        <x:v>=</x:v>
      </x:c>
      <x:c r="G92" s="16" t="n">
        <x:v>0</x:v>
      </x:c>
      <x:c r="H92" s="16" t="str">
        <x:v>obligatoria</x:v>
      </x:c>
      <x:c r="I92" s="16" t="str">
        <x:v>all</x:v>
      </x:c>
      <x:c r="J92" s="16" t="str">
        <x:v>Habilita ejecución</x:v>
      </x:c>
      <x:c r="K92" s="16" t="str">
        <x:v>Se evalúa al confirmar. Condiciones del mismo grupo all se combinan con AND.</x:v>
      </x:c>
    </x:row>
  </x:sheetData>
  <x:pageMargins left="0.7" right="0.7" top="0.75" bottom="0.75" header="0.3" footer="0.3"/>
  <x:tableParts count="1">
    <x:tablePart xmlns:r="http://schemas.openxmlformats.org/officeDocument/2006/relationships" r:id="R7d9236152b8a4b20"/>
  </x:tableParts>
</x:worksheet>
</file>

<file path=xl/worksheets/sheet8.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4" hidden="0" customWidth="1"/>
    <x:col min="2" max="2" width="67" hidden="0" customWidth="1"/>
    <x:col min="3" max="3" width="36" hidden="0" customWidth="1"/>
    <x:col min="4" max="4" width="28" hidden="0" customWidth="1"/>
    <x:col min="5" max="5" width="19" hidden="0" customWidth="1"/>
    <x:col min="6" max="6" width="19" hidden="0" customWidth="1"/>
    <x:col min="7" max="7" width="17" hidden="0" customWidth="1"/>
    <x:col min="8" max="8" width="104" hidden="0" customWidth="1"/>
    <x:col min="9" max="9" width="90" hidden="0" customWidth="1"/>
    <x:col min="10" max="10" width="30" hidden="0" customWidth="1"/>
    <x:col min="11" max="11" width="90" hidden="0" customWidth="1"/>
  </x:cols>
  <x:sheetData>
    <x:row r="2" ht="28" customHeight="1">
      <x:c r="A2" s="12" t="str">
        <x:v>Canales de poder</x:v>
      </x:c>
      <x:c r="B2" s="13"/>
      <x:c r="C2" s="13"/>
      <x:c r="D2" s="13"/>
      <x:c r="E2" s="13"/>
      <x:c r="F2" s="13"/>
      <x:c r="G2" s="13"/>
      <x:c r="H2" s="13"/>
      <x:c r="I2" s="13"/>
      <x:c r="J2" s="13"/>
      <x:c r="K2" s="13"/>
    </x:row>
    <x:row r="3" ht="23" customHeight="1">
      <x:c r="A3" s="14" t="str">
        <x:v>Cierre t produce efectos en t+1. La elección lee satisfacción; los canales nunca agregan un bono de popularidad.</x:v>
      </x:c>
      <x:c r="B3" s="13"/>
      <x:c r="C3" s="13"/>
      <x:c r="D3" s="13"/>
      <x:c r="E3" s="13"/>
      <x:c r="F3" s="13"/>
      <x:c r="G3" s="13"/>
      <x:c r="H3" s="13"/>
      <x:c r="I3" s="13"/>
      <x:c r="J3" s="13"/>
      <x:c r="K3" s="13"/>
    </x:row>
    <x:row r="4">
      <x:c r="A4" s="13"/>
      <x:c r="B4" s="13"/>
      <x:c r="C4" s="13"/>
      <x:c r="D4" s="13"/>
      <x:c r="E4" s="13"/>
      <x:c r="F4" s="13"/>
      <x:c r="G4" s="13"/>
      <x:c r="H4" s="13"/>
      <x:c r="I4" s="13"/>
      <x:c r="J4" s="13"/>
      <x:c r="K4" s="13"/>
    </x:row>
    <x:row r="5" ht="42" customHeight="1">
      <x:c r="A5" s="15" t="str">
        <x:v>actorId</x:v>
      </x:c>
      <x:c r="B5" s="15" t="str">
        <x:v>Condición</x:v>
      </x:c>
      <x:c r="C5" s="15" t="str">
        <x:v>Sistema o indicador</x:v>
      </x:c>
      <x:c r="D5" s="15" t="str">
        <x:v>Operación</x:v>
      </x:c>
      <x:c r="E5" s="15" t="str">
        <x:v>Magnitud base</x:v>
      </x:c>
      <x:c r="F5" s="15" t="str">
        <x:v>Inicio relativo</x:v>
      </x:c>
      <x:c r="G5" s="15" t="str">
        <x:v>Duración</x:v>
      </x:c>
      <x:c r="H5" s="15" t="str">
        <x:v>Regla exacta</x:v>
      </x:c>
      <x:c r="I5" s="15" t="str">
        <x:v>Límite / doble conteo</x:v>
      </x:c>
      <x:c r="J5" s="15" t="str">
        <x:v>Apilamiento</x:v>
      </x:c>
      <x:c r="K5" s="15" t="str">
        <x:v>Explicación</x:v>
      </x:c>
    </x:row>
    <x:row r="6" ht="42" customHeight="1">
      <x:c r="A6" s="16" t="str">
        <x:v>industria</x:v>
      </x:c>
      <x:c r="B6" s="16" t="str">
        <x:v>S&lt;35 AND R&lt;45 durante 2 cierres; OR S&lt;20 durante 2 cierres</x:v>
      </x:c>
      <x:c r="C6" s="16" t="str">
        <x:v>actividad</x:v>
      </x:c>
      <x:c r="D6" s="16" t="str">
        <x:v>next_turn_offset</x:v>
      </x:c>
      <x:c r="E6" s="16" t="n">
        <x:v>-2</x:v>
      </x:c>
      <x:c r="F6" s="16" t="n">
        <x:v>1</x:v>
      </x:c>
      <x:c r="G6" s="16" t="n">
        <x:v>1</x:v>
      </x:c>
      <x:c r="H6" s="16" t="str">
        <x:v>Offset de -2 × influence/10. Tope neto por indicador ±3 puntos.</x:v>
      </x:c>
      <x:c r="I6" s="16" t="str">
        <x:v>Se renueva si persiste, sustituye el del turno anterior; nunca se suma al stock cada turno.</x:v>
      </x:c>
      <x:c r="J6" s="16" t="str">
        <x:v>replace_actor_target</x:v>
      </x:c>
      <x:c r="K6" s="16" t="str">
        <x:v>Conflicto precedido por aviso en primer cierre. Relación no blinda S&lt;20.</x:v>
      </x:c>
    </x:row>
    <x:row r="7" ht="42" customHeight="1">
      <x:c r="A7" s="17" t="str">
        <x:v>industria</x:v>
      </x:c>
      <x:c r="B7" s="17" t="str">
        <x:v>S&gt;=65 AND R&gt;=55 AND acuerdoActivo</x:v>
      </x:c>
      <x:c r="C7" s="17" t="str">
        <x:v>actividad</x:v>
      </x:c>
      <x:c r="D7" s="17" t="str">
        <x:v>next_turn_offset</x:v>
      </x:c>
      <x:c r="E7" s="17" t="n">
        <x:v>1</x:v>
      </x:c>
      <x:c r="F7" s="17" t="n">
        <x:v>1</x:v>
      </x:c>
      <x:c r="G7" s="17" t="n">
        <x:v>1</x:v>
      </x:c>
      <x:c r="H7" s="17" t="str">
        <x:v>Offset de 1 × influence/10, cap neto ±3.</x:v>
      </x:c>
      <x:c r="I7" s="17" t="str">
        <x:v>Requiere contraprestación verificable; satisfacción sola no habilita cooperación organizada.</x:v>
      </x:c>
      <x:c r="J7" s="17" t="str">
        <x:v>replace_actor_target</x:v>
      </x:c>
      <x:c r="K7" s="17" t="str">
        <x:v>No suma voto adicional por el mismo resultado material.</x:v>
      </x:c>
    </x:row>
    <x:row r="8" ht="42" customHeight="1">
      <x:c r="A8" s="16" t="str">
        <x:v>agro</x:v>
      </x:c>
      <x:c r="B8" s="16" t="str">
        <x:v>S&lt;35 AND R&lt;45 durante 2 cierres; OR S&lt;20 durante 2 cierres</x:v>
      </x:c>
      <x:c r="C8" s="16" t="str">
        <x:v>externo</x:v>
      </x:c>
      <x:c r="D8" s="16" t="str">
        <x:v>next_turn_offset</x:v>
      </x:c>
      <x:c r="E8" s="16" t="n">
        <x:v>-2</x:v>
      </x:c>
      <x:c r="F8" s="16" t="n">
        <x:v>1</x:v>
      </x:c>
      <x:c r="G8" s="16" t="n">
        <x:v>1</x:v>
      </x:c>
      <x:c r="H8" s="16" t="str">
        <x:v>Offset de -2 × influence/10. Tope neto por indicador ±3 puntos.</x:v>
      </x:c>
      <x:c r="I8" s="16" t="str">
        <x:v>Se renueva si persiste, sustituye el del turno anterior; nunca se suma al stock cada turno.</x:v>
      </x:c>
      <x:c r="J8" s="16" t="str">
        <x:v>replace_actor_target</x:v>
      </x:c>
      <x:c r="K8" s="16" t="str">
        <x:v>Conflicto precedido por aviso en primer cierre. Relación no blinda S&lt;20.</x:v>
      </x:c>
    </x:row>
    <x:row r="9" ht="42" customHeight="1">
      <x:c r="A9" s="17" t="str">
        <x:v>agro</x:v>
      </x:c>
      <x:c r="B9" s="17" t="str">
        <x:v>S&gt;=65 AND R&gt;=55 AND acuerdoActivo</x:v>
      </x:c>
      <x:c r="C9" s="17" t="str">
        <x:v>externo</x:v>
      </x:c>
      <x:c r="D9" s="17" t="str">
        <x:v>next_turn_offset</x:v>
      </x:c>
      <x:c r="E9" s="17" t="n">
        <x:v>1</x:v>
      </x:c>
      <x:c r="F9" s="17" t="n">
        <x:v>1</x:v>
      </x:c>
      <x:c r="G9" s="17" t="n">
        <x:v>1</x:v>
      </x:c>
      <x:c r="H9" s="17" t="str">
        <x:v>Offset de 1 × influence/10, cap neto ±3.</x:v>
      </x:c>
      <x:c r="I9" s="17" t="str">
        <x:v>Requiere contraprestación verificable; satisfacción sola no habilita cooperación organizada.</x:v>
      </x:c>
      <x:c r="J9" s="17" t="str">
        <x:v>replace_actor_target</x:v>
      </x:c>
      <x:c r="K9" s="17" t="str">
        <x:v>No suma voto adicional por el mismo resultado material.</x:v>
      </x:c>
    </x:row>
    <x:row r="10" ht="42" customHeight="1">
      <x:c r="A10" s="16" t="str">
        <x:v>financiero</x:v>
      </x:c>
      <x:c r="B10" s="16" t="str">
        <x:v>S&lt;35 AND R&lt;45 durante 2 cierres; OR S&lt;20 durante 2 cierres</x:v>
      </x:c>
      <x:c r="C10" s="16" t="str">
        <x:v>credito</x:v>
      </x:c>
      <x:c r="D10" s="16" t="str">
        <x:v>next_turn_offset</x:v>
      </x:c>
      <x:c r="E10" s="16" t="n">
        <x:v>-2</x:v>
      </x:c>
      <x:c r="F10" s="16" t="n">
        <x:v>1</x:v>
      </x:c>
      <x:c r="G10" s="16" t="n">
        <x:v>1</x:v>
      </x:c>
      <x:c r="H10" s="16" t="str">
        <x:v>Offset de -2 × influence/10. Tope neto por indicador ±3 puntos.</x:v>
      </x:c>
      <x:c r="I10" s="16" t="str">
        <x:v>Se renueva si persiste, sustituye el del turno anterior; nunca se suma al stock cada turno.</x:v>
      </x:c>
      <x:c r="J10" s="16" t="str">
        <x:v>replace_actor_target</x:v>
      </x:c>
      <x:c r="K10" s="16" t="str">
        <x:v>Conflicto precedido por aviso en primer cierre. Relación no blinda S&lt;20.</x:v>
      </x:c>
    </x:row>
    <x:row r="11" ht="42" customHeight="1">
      <x:c r="A11" s="17" t="str">
        <x:v>financiero</x:v>
      </x:c>
      <x:c r="B11" s="17" t="str">
        <x:v>S&gt;=65 AND R&gt;=55 AND acuerdoActivo</x:v>
      </x:c>
      <x:c r="C11" s="17" t="str">
        <x:v>credito</x:v>
      </x:c>
      <x:c r="D11" s="17" t="str">
        <x:v>next_turn_offset</x:v>
      </x:c>
      <x:c r="E11" s="17" t="n">
        <x:v>1</x:v>
      </x:c>
      <x:c r="F11" s="17" t="n">
        <x:v>1</x:v>
      </x:c>
      <x:c r="G11" s="17" t="n">
        <x:v>1</x:v>
      </x:c>
      <x:c r="H11" s="17" t="str">
        <x:v>Offset de 1 × influence/10, cap neto ±3.</x:v>
      </x:c>
      <x:c r="I11" s="17" t="str">
        <x:v>Requiere contraprestación verificable; satisfacción sola no habilita cooperación organizada.</x:v>
      </x:c>
      <x:c r="J11" s="17" t="str">
        <x:v>replace_actor_target</x:v>
      </x:c>
      <x:c r="K11" s="17" t="str">
        <x:v>No suma voto adicional por el mismo resultado material.</x:v>
      </x:c>
    </x:row>
    <x:row r="12" ht="42" customHeight="1">
      <x:c r="A12" s="16" t="str">
        <x:v>sindicatos</x:v>
      </x:c>
      <x:c r="B12" s="16" t="str">
        <x:v>S&lt;35 AND R&lt;45 durante 2 cierres; OR S&lt;20 durante 2 cierres</x:v>
      </x:c>
      <x:c r="C12" s="16" t="str">
        <x:v>actividad</x:v>
      </x:c>
      <x:c r="D12" s="16" t="str">
        <x:v>next_turn_offset</x:v>
      </x:c>
      <x:c r="E12" s="16" t="n">
        <x:v>-2</x:v>
      </x:c>
      <x:c r="F12" s="16" t="n">
        <x:v>1</x:v>
      </x:c>
      <x:c r="G12" s="16" t="n">
        <x:v>1</x:v>
      </x:c>
      <x:c r="H12" s="16" t="str">
        <x:v>Offset de -2 × influence/10. Tope neto por indicador ±3 puntos.</x:v>
      </x:c>
      <x:c r="I12" s="16" t="str">
        <x:v>Se renueva si persiste, sustituye el del turno anterior; nunca se suma al stock cada turno.</x:v>
      </x:c>
      <x:c r="J12" s="16" t="str">
        <x:v>replace_actor_target</x:v>
      </x:c>
      <x:c r="K12" s="16" t="str">
        <x:v>Conflicto precedido por aviso en primer cierre. Relación no blinda S&lt;20.</x:v>
      </x:c>
    </x:row>
    <x:row r="13" ht="42" customHeight="1">
      <x:c r="A13" s="17" t="str">
        <x:v>sindicatos</x:v>
      </x:c>
      <x:c r="B13" s="17" t="str">
        <x:v>S&gt;=65 AND R&gt;=55 AND acuerdoActivo</x:v>
      </x:c>
      <x:c r="C13" s="17" t="str">
        <x:v>actividad</x:v>
      </x:c>
      <x:c r="D13" s="17" t="str">
        <x:v>next_turn_offset</x:v>
      </x:c>
      <x:c r="E13" s="17" t="n">
        <x:v>1</x:v>
      </x:c>
      <x:c r="F13" s="17" t="n">
        <x:v>1</x:v>
      </x:c>
      <x:c r="G13" s="17" t="n">
        <x:v>1</x:v>
      </x:c>
      <x:c r="H13" s="17" t="str">
        <x:v>Offset de 1 × influence/10, cap neto ±3.</x:v>
      </x:c>
      <x:c r="I13" s="17" t="str">
        <x:v>Requiere contraprestación verificable; satisfacción sola no habilita cooperación organizada.</x:v>
      </x:c>
      <x:c r="J13" s="17" t="str">
        <x:v>replace_actor_target</x:v>
      </x:c>
      <x:c r="K13" s="17" t="str">
        <x:v>No suma voto adicional por el mismo resultado material.</x:v>
      </x:c>
    </x:row>
    <x:row r="14" ht="42" customHeight="1">
      <x:c r="A14" s="16" t="str">
        <x:v>pymes</x:v>
      </x:c>
      <x:c r="B14" s="16" t="str">
        <x:v>S&lt;35 AND R&lt;45 durante 2 cierres; OR S&lt;20 durante 2 cierres</x:v>
      </x:c>
      <x:c r="C14" s="16" t="str">
        <x:v>actividad</x:v>
      </x:c>
      <x:c r="D14" s="16" t="str">
        <x:v>next_turn_offset</x:v>
      </x:c>
      <x:c r="E14" s="16" t="n">
        <x:v>-2</x:v>
      </x:c>
      <x:c r="F14" s="16" t="n">
        <x:v>1</x:v>
      </x:c>
      <x:c r="G14" s="16" t="n">
        <x:v>1</x:v>
      </x:c>
      <x:c r="H14" s="16" t="str">
        <x:v>Offset de -2 × influence/10. Tope neto por indicador ±3 puntos.</x:v>
      </x:c>
      <x:c r="I14" s="16" t="str">
        <x:v>Se renueva si persiste, sustituye el del turno anterior; nunca se suma al stock cada turno.</x:v>
      </x:c>
      <x:c r="J14" s="16" t="str">
        <x:v>replace_actor_target</x:v>
      </x:c>
      <x:c r="K14" s="16" t="str">
        <x:v>Conflicto precedido por aviso en primer cierre. Relación no blinda S&lt;20.</x:v>
      </x:c>
    </x:row>
    <x:row r="15" ht="42" customHeight="1">
      <x:c r="A15" s="17" t="str">
        <x:v>pymes</x:v>
      </x:c>
      <x:c r="B15" s="17" t="str">
        <x:v>S&gt;=65 AND R&gt;=55 AND acuerdoActivo</x:v>
      </x:c>
      <x:c r="C15" s="17" t="str">
        <x:v>actividad</x:v>
      </x:c>
      <x:c r="D15" s="17" t="str">
        <x:v>next_turn_offset</x:v>
      </x:c>
      <x:c r="E15" s="17" t="n">
        <x:v>1</x:v>
      </x:c>
      <x:c r="F15" s="17" t="n">
        <x:v>1</x:v>
      </x:c>
      <x:c r="G15" s="17" t="n">
        <x:v>1</x:v>
      </x:c>
      <x:c r="H15" s="17" t="str">
        <x:v>Offset de 1 × influence/10, cap neto ±3.</x:v>
      </x:c>
      <x:c r="I15" s="17" t="str">
        <x:v>Requiere contraprestación verificable; satisfacción sola no habilita cooperación organizada.</x:v>
      </x:c>
      <x:c r="J15" s="17" t="str">
        <x:v>replace_actor_target</x:v>
      </x:c>
      <x:c r="K15" s="17" t="str">
        <x:v>No suma voto adicional por el mismo resultado material.</x:v>
      </x:c>
    </x:row>
    <x:row r="16" ht="34" customHeight="1">
      <x:c r="A16" s="16" t="str">
        <x:v>clase_media</x:v>
      </x:c>
      <x:c r="B16" s="16" t="str">
        <x:v>Siempre</x:v>
      </x:c>
      <x:c r="C16" s="16" t="str">
        <x:v>electoral.socialComponent</x:v>
      </x:c>
      <x:c r="D16" s="16" t="str">
        <x:v>terminal_weight</x:v>
      </x:c>
      <x:c r="E16" s="16" t="n">
        <x:v>10</x:v>
      </x:c>
      <x:c r="F16" s="16" t="n">
        <x:v>0</x:v>
      </x:c>
      <x:c r="G16" s="16" t="n">
        <x:v>1</x:v>
      </x:c>
      <x:c r="H16" s="16" t="str">
        <x:v>Aporta al índice social normalizado de satisfacción. No es porcentaje de voto.</x:v>
      </x:c>
      <x:c r="I16" s="16" t="str">
        <x:v>No hay castigo adicional por conflictividad de este segmento.</x:v>
      </x:c>
      <x:c r="J16" s="16" t="str">
        <x:v>terminal</x:v>
      </x:c>
      <x:c r="K16" s="16" t="str">
        <x:v>sólo índice social</x:v>
      </x:c>
    </x:row>
    <x:row r="17" ht="42" customHeight="1">
      <x:c r="A17" s="17" t="str">
        <x:v>cooperativas</x:v>
      </x:c>
      <x:c r="B17" s="17" t="str">
        <x:v>S&lt;35 AND R&lt;45 durante 2 cierres; OR S&lt;20 durante 2 cierres</x:v>
      </x:c>
      <x:c r="C17" s="17" t="str">
        <x:v>proteccion</x:v>
      </x:c>
      <x:c r="D17" s="17" t="str">
        <x:v>next_turn_offset</x:v>
      </x:c>
      <x:c r="E17" s="17" t="n">
        <x:v>-1.5</x:v>
      </x:c>
      <x:c r="F17" s="17" t="n">
        <x:v>1</x:v>
      </x:c>
      <x:c r="G17" s="17" t="n">
        <x:v>1</x:v>
      </x:c>
      <x:c r="H17" s="17" t="str">
        <x:v>Offset de -1.5 × influence/10. Tope neto por indicador ±3 puntos.</x:v>
      </x:c>
      <x:c r="I17" s="17" t="str">
        <x:v>Se renueva si persiste, sustituye el del turno anterior; nunca se suma al stock cada turno.</x:v>
      </x:c>
      <x:c r="J17" s="17" t="str">
        <x:v>replace_actor_target</x:v>
      </x:c>
      <x:c r="K17" s="17" t="str">
        <x:v>Conflicto precedido por aviso en primer cierre. Relación no blinda S&lt;20.</x:v>
      </x:c>
    </x:row>
    <x:row r="18" ht="42" customHeight="1">
      <x:c r="A18" s="16" t="str">
        <x:v>cooperativas</x:v>
      </x:c>
      <x:c r="B18" s="16" t="str">
        <x:v>S&gt;=65 AND R&gt;=55 AND acuerdoActivo</x:v>
      </x:c>
      <x:c r="C18" s="16" t="str">
        <x:v>proteccion</x:v>
      </x:c>
      <x:c r="D18" s="16" t="str">
        <x:v>next_turn_offset</x:v>
      </x:c>
      <x:c r="E18" s="16" t="n">
        <x:v>0.75</x:v>
      </x:c>
      <x:c r="F18" s="16" t="n">
        <x:v>1</x:v>
      </x:c>
      <x:c r="G18" s="16" t="n">
        <x:v>1</x:v>
      </x:c>
      <x:c r="H18" s="16" t="str">
        <x:v>Offset de 0.75 × influence/10, cap neto ±3.</x:v>
      </x:c>
      <x:c r="I18" s="16" t="str">
        <x:v>Requiere contraprestación verificable; satisfacción sola no habilita cooperación organizada.</x:v>
      </x:c>
      <x:c r="J18" s="16" t="str">
        <x:v>replace_actor_target</x:v>
      </x:c>
      <x:c r="K18" s="16" t="str">
        <x:v>No suma voto adicional por el mismo resultado material.</x:v>
      </x:c>
    </x:row>
    <x:row r="19" ht="42" customHeight="1">
      <x:c r="A19" s="17" t="str">
        <x:v>estudiantes</x:v>
      </x:c>
      <x:c r="B19" s="17" t="str">
        <x:v>S&lt;35 AND R&lt;45 durante 2 cierres; OR S&lt;20 durante 2 cierres</x:v>
      </x:c>
      <x:c r="C19" s="17" t="str">
        <x:v>implementation.educacion</x:v>
      </x:c>
      <x:c r="D19" s="17" t="str">
        <x:v>efficacy_multiplier</x:v>
      </x:c>
      <x:c r="E19" s="17" t="n">
        <x:v>0.9</x:v>
      </x:c>
      <x:c r="F19" s="17" t="n">
        <x:v>1</x:v>
      </x:c>
      <x:c r="G19" s="17" t="n">
        <x:v>1</x:v>
      </x:c>
      <x:c r="H19" s="17" t="str">
        <x:v>Multiplica sólo beneficios de políticas del ámbito. Penalización=0.1; tope conjunto ×0,65.</x:v>
      </x:c>
      <x:c r="I19" s="17" t="str">
        <x:v>Se renueva si persiste, sustituye el del turno anterior; nunca se suma al stock cada turno.</x:v>
      </x:c>
      <x:c r="J19" s="17" t="str">
        <x:v>replace_actor_target</x:v>
      </x:c>
      <x:c r="K19" s="17" t="str">
        <x:v>Conflicto precedido por aviso en primer cierre. Relación no blinda S&lt;20.</x:v>
      </x:c>
    </x:row>
    <x:row r="20" ht="42" customHeight="1">
      <x:c r="A20" s="16" t="str">
        <x:v>estudiantes</x:v>
      </x:c>
      <x:c r="B20" s="16" t="str">
        <x:v>S&gt;=65 AND R&gt;=55 AND acuerdoActivo</x:v>
      </x:c>
      <x:c r="C20" s="16" t="str">
        <x:v>implementation.educacion</x:v>
      </x:c>
      <x:c r="D20" s="16" t="str">
        <x:v>efficacy_multiplier</x:v>
      </x:c>
      <x:c r="E20" s="16" t="n">
        <x:v>1.05</x:v>
      </x:c>
      <x:c r="F20" s="16" t="n">
        <x:v>1</x:v>
      </x:c>
      <x:c r="G20" s="16" t="n">
        <x:v>1</x:v>
      </x:c>
      <x:c r="H20" s="16" t="str">
        <x:v>Bonifica sólo beneficios de políticas del ámbito. Tope conjunto ×1,20.</x:v>
      </x:c>
      <x:c r="I20" s="16" t="str">
        <x:v>Requiere contraprestación verificable; satisfacción sola no habilita cooperación organizada.</x:v>
      </x:c>
      <x:c r="J20" s="16" t="str">
        <x:v>replace_actor_target</x:v>
      </x:c>
      <x:c r="K20" s="16" t="str">
        <x:v>No suma voto adicional por el mismo resultado material.</x:v>
      </x:c>
    </x:row>
    <x:row r="21" ht="42" customHeight="1">
      <x:c r="A21" s="17" t="str">
        <x:v>docentes</x:v>
      </x:c>
      <x:c r="B21" s="17" t="str">
        <x:v>S&lt;35 AND R&lt;45 durante 2 cierres; OR S&lt;20 durante 2 cierres</x:v>
      </x:c>
      <x:c r="C21" s="17" t="str">
        <x:v>educacion</x:v>
      </x:c>
      <x:c r="D21" s="17" t="str">
        <x:v>next_turn_offset</x:v>
      </x:c>
      <x:c r="E21" s="17" t="n">
        <x:v>-1.5</x:v>
      </x:c>
      <x:c r="F21" s="17" t="n">
        <x:v>1</x:v>
      </x:c>
      <x:c r="G21" s="17" t="n">
        <x:v>1</x:v>
      </x:c>
      <x:c r="H21" s="17" t="str">
        <x:v>Offset de -1.5 × influence/10. Tope neto por indicador ±3 puntos.</x:v>
      </x:c>
      <x:c r="I21" s="17" t="str">
        <x:v>Se renueva si persiste, sustituye el del turno anterior; nunca se suma al stock cada turno.</x:v>
      </x:c>
      <x:c r="J21" s="17" t="str">
        <x:v>replace_actor_target</x:v>
      </x:c>
      <x:c r="K21" s="17" t="str">
        <x:v>Conflicto precedido por aviso en primer cierre. Relación no blinda S&lt;20.</x:v>
      </x:c>
    </x:row>
    <x:row r="22" ht="42" customHeight="1">
      <x:c r="A22" s="16" t="str">
        <x:v>docentes</x:v>
      </x:c>
      <x:c r="B22" s="16" t="str">
        <x:v>S&gt;=65 AND R&gt;=55 AND acuerdoActivo</x:v>
      </x:c>
      <x:c r="C22" s="16" t="str">
        <x:v>educacion</x:v>
      </x:c>
      <x:c r="D22" s="16" t="str">
        <x:v>next_turn_offset</x:v>
      </x:c>
      <x:c r="E22" s="16" t="n">
        <x:v>0.75</x:v>
      </x:c>
      <x:c r="F22" s="16" t="n">
        <x:v>1</x:v>
      </x:c>
      <x:c r="G22" s="16" t="n">
        <x:v>1</x:v>
      </x:c>
      <x:c r="H22" s="16" t="str">
        <x:v>Offset de 0.75 × influence/10, cap neto ±3.</x:v>
      </x:c>
      <x:c r="I22" s="16" t="str">
        <x:v>Requiere contraprestación verificable; satisfacción sola no habilita cooperación organizada.</x:v>
      </x:c>
      <x:c r="J22" s="16" t="str">
        <x:v>replace_actor_target</x:v>
      </x:c>
      <x:c r="K22" s="16" t="str">
        <x:v>No suma voto adicional por el mismo resultado material.</x:v>
      </x:c>
    </x:row>
    <x:row r="23" ht="42" customHeight="1">
      <x:c r="A23" s="17" t="str">
        <x:v>cientificos</x:v>
      </x:c>
      <x:c r="B23" s="17" t="str">
        <x:v>S&lt;35 AND R&lt;45 durante 2 cierres; OR S&lt;20 durante 2 cierres</x:v>
      </x:c>
      <x:c r="C23" s="17" t="str">
        <x:v>ciencia</x:v>
      </x:c>
      <x:c r="D23" s="17" t="str">
        <x:v>next_turn_offset</x:v>
      </x:c>
      <x:c r="E23" s="17" t="n">
        <x:v>-1.5</x:v>
      </x:c>
      <x:c r="F23" s="17" t="n">
        <x:v>1</x:v>
      </x:c>
      <x:c r="G23" s="17" t="n">
        <x:v>1</x:v>
      </x:c>
      <x:c r="H23" s="17" t="str">
        <x:v>Offset de -1.5 × influence/10. Tope neto por indicador ±3 puntos.</x:v>
      </x:c>
      <x:c r="I23" s="17" t="str">
        <x:v>Se renueva si persiste, sustituye el del turno anterior; nunca se suma al stock cada turno.</x:v>
      </x:c>
      <x:c r="J23" s="17" t="str">
        <x:v>replace_actor_target</x:v>
      </x:c>
      <x:c r="K23" s="17" t="str">
        <x:v>Conflicto precedido por aviso en primer cierre. Relación no blinda S&lt;20.</x:v>
      </x:c>
    </x:row>
    <x:row r="24" ht="42" customHeight="1">
      <x:c r="A24" s="16" t="str">
        <x:v>cientificos</x:v>
      </x:c>
      <x:c r="B24" s="16" t="str">
        <x:v>S&gt;=65 AND R&gt;=55 AND acuerdoActivo</x:v>
      </x:c>
      <x:c r="C24" s="16" t="str">
        <x:v>ciencia</x:v>
      </x:c>
      <x:c r="D24" s="16" t="str">
        <x:v>next_turn_offset</x:v>
      </x:c>
      <x:c r="E24" s="16" t="n">
        <x:v>0.75</x:v>
      </x:c>
      <x:c r="F24" s="16" t="n">
        <x:v>1</x:v>
      </x:c>
      <x:c r="G24" s="16" t="n">
        <x:v>1</x:v>
      </x:c>
      <x:c r="H24" s="16" t="str">
        <x:v>Offset de 0.75 × influence/10, cap neto ±3.</x:v>
      </x:c>
      <x:c r="I24" s="16" t="str">
        <x:v>Requiere contraprestación verificable; satisfacción sola no habilita cooperación organizada.</x:v>
      </x:c>
      <x:c r="J24" s="16" t="str">
        <x:v>replace_actor_target</x:v>
      </x:c>
      <x:c r="K24" s="16" t="str">
        <x:v>No suma voto adicional por el mismo resultado material.</x:v>
      </x:c>
    </x:row>
    <x:row r="25" ht="42" customHeight="1">
      <x:c r="A25" s="17" t="str">
        <x:v>organizaciones</x:v>
      </x:c>
      <x:c r="B25" s="17" t="str">
        <x:v>S&lt;35 AND R&lt;45 durante 2 cierres; OR S&lt;20 durante 2 cierres</x:v>
      </x:c>
      <x:c r="C25" s="17" t="str">
        <x:v>proteccion</x:v>
      </x:c>
      <x:c r="D25" s="17" t="str">
        <x:v>next_turn_offset</x:v>
      </x:c>
      <x:c r="E25" s="17" t="n">
        <x:v>-1.5</x:v>
      </x:c>
      <x:c r="F25" s="17" t="n">
        <x:v>1</x:v>
      </x:c>
      <x:c r="G25" s="17" t="n">
        <x:v>1</x:v>
      </x:c>
      <x:c r="H25" s="17" t="str">
        <x:v>Offset de -1.5 × influence/10. Tope neto por indicador ±3 puntos.</x:v>
      </x:c>
      <x:c r="I25" s="17" t="str">
        <x:v>Se renueva si persiste, sustituye el del turno anterior; nunca se suma al stock cada turno.</x:v>
      </x:c>
      <x:c r="J25" s="17" t="str">
        <x:v>replace_actor_target</x:v>
      </x:c>
      <x:c r="K25" s="17" t="str">
        <x:v>Conflicto precedido por aviso en primer cierre. Relación no blinda S&lt;20.</x:v>
      </x:c>
    </x:row>
    <x:row r="26" ht="42" customHeight="1">
      <x:c r="A26" s="16" t="str">
        <x:v>organizaciones</x:v>
      </x:c>
      <x:c r="B26" s="16" t="str">
        <x:v>S&gt;=65 AND R&gt;=55 AND acuerdoActivo</x:v>
      </x:c>
      <x:c r="C26" s="16" t="str">
        <x:v>proteccion</x:v>
      </x:c>
      <x:c r="D26" s="16" t="str">
        <x:v>next_turn_offset</x:v>
      </x:c>
      <x:c r="E26" s="16" t="n">
        <x:v>0.75</x:v>
      </x:c>
      <x:c r="F26" s="16" t="n">
        <x:v>1</x:v>
      </x:c>
      <x:c r="G26" s="16" t="n">
        <x:v>1</x:v>
      </x:c>
      <x:c r="H26" s="16" t="str">
        <x:v>Offset de 0.75 × influence/10, cap neto ±3.</x:v>
      </x:c>
      <x:c r="I26" s="16" t="str">
        <x:v>Requiere contraprestación verificable; satisfacción sola no habilita cooperación organizada.</x:v>
      </x:c>
      <x:c r="J26" s="16" t="str">
        <x:v>replace_actor_target</x:v>
      </x:c>
      <x:c r="K26" s="16" t="str">
        <x:v>No suma voto adicional por el mismo resultado material.</x:v>
      </x:c>
    </x:row>
    <x:row r="27" ht="42" customHeight="1">
      <x:c r="A27" s="17" t="str">
        <x:v>ddhh</x:v>
      </x:c>
      <x:c r="B27" s="17" t="str">
        <x:v>S&lt;35 AND R&lt;45 durante 2 cierres; OR S&lt;20 durante 2 cierres</x:v>
      </x:c>
      <x:c r="C27" s="17" t="str">
        <x:v>implementation.seguridad</x:v>
      </x:c>
      <x:c r="D27" s="17" t="str">
        <x:v>efficacy_multiplier</x:v>
      </x:c>
      <x:c r="E27" s="17" t="n">
        <x:v>0.85</x:v>
      </x:c>
      <x:c r="F27" s="17" t="n">
        <x:v>1</x:v>
      </x:c>
      <x:c r="G27" s="17" t="n">
        <x:v>1</x:v>
      </x:c>
      <x:c r="H27" s="17" t="str">
        <x:v>Multiplica sólo beneficios de políticas del ámbito. Penalización=0.15; tope conjunto ×0,65.</x:v>
      </x:c>
      <x:c r="I27" s="17" t="str">
        <x:v>Se renueva si persiste, sustituye el del turno anterior; nunca se suma al stock cada turno.</x:v>
      </x:c>
      <x:c r="J27" s="17" t="str">
        <x:v>replace_actor_target</x:v>
      </x:c>
      <x:c r="K27" s="17" t="str">
        <x:v>Conflicto precedido por aviso en primer cierre. Relación no blinda S&lt;20.</x:v>
      </x:c>
    </x:row>
    <x:row r="28" ht="42" customHeight="1">
      <x:c r="A28" s="16" t="str">
        <x:v>ddhh</x:v>
      </x:c>
      <x:c r="B28" s="16" t="str">
        <x:v>S&gt;=65 AND R&gt;=55 AND acuerdoActivo</x:v>
      </x:c>
      <x:c r="C28" s="16" t="str">
        <x:v>implementation.seguridad</x:v>
      </x:c>
      <x:c r="D28" s="16" t="str">
        <x:v>efficacy_multiplier</x:v>
      </x:c>
      <x:c r="E28" s="16" t="n">
        <x:v>1.075</x:v>
      </x:c>
      <x:c r="F28" s="16" t="n">
        <x:v>1</x:v>
      </x:c>
      <x:c r="G28" s="16" t="n">
        <x:v>1</x:v>
      </x:c>
      <x:c r="H28" s="16" t="str">
        <x:v>Bonifica sólo beneficios de políticas del ámbito. Tope conjunto ×1,20.</x:v>
      </x:c>
      <x:c r="I28" s="16" t="str">
        <x:v>Requiere contraprestación verificable; satisfacción sola no habilita cooperación organizada.</x:v>
      </x:c>
      <x:c r="J28" s="16" t="str">
        <x:v>replace_actor_target</x:v>
      </x:c>
      <x:c r="K28" s="16" t="str">
        <x:v>No suma voto adicional por el mismo resultado material.</x:v>
      </x:c>
    </x:row>
    <x:row r="29" ht="42" customHeight="1">
      <x:c r="A29" s="17" t="str">
        <x:v>ambientalistas</x:v>
      </x:c>
      <x:c r="B29" s="17" t="str">
        <x:v>S&lt;35 AND R&lt;45 durante 2 cierres; OR S&lt;20 durante 2 cierres</x:v>
      </x:c>
      <x:c r="C29" s="17" t="str">
        <x:v>implementation.obras</x:v>
      </x:c>
      <x:c r="D29" s="17" t="str">
        <x:v>efficacy_multiplier</x:v>
      </x:c>
      <x:c r="E29" s="17" t="n">
        <x:v>0.85</x:v>
      </x:c>
      <x:c r="F29" s="17" t="n">
        <x:v>1</x:v>
      </x:c>
      <x:c r="G29" s="17" t="n">
        <x:v>1</x:v>
      </x:c>
      <x:c r="H29" s="17" t="str">
        <x:v>Multiplica sólo beneficios de políticas del ámbito. Penalización=0.15; tope conjunto ×0,65.</x:v>
      </x:c>
      <x:c r="I29" s="17" t="str">
        <x:v>Se renueva si persiste, sustituye el del turno anterior; nunca se suma al stock cada turno.</x:v>
      </x:c>
      <x:c r="J29" s="17" t="str">
        <x:v>replace_actor_target</x:v>
      </x:c>
      <x:c r="K29" s="17" t="str">
        <x:v>Conflicto precedido por aviso en primer cierre. Relación no blinda S&lt;20.</x:v>
      </x:c>
    </x:row>
    <x:row r="30" ht="42" customHeight="1">
      <x:c r="A30" s="16" t="str">
        <x:v>ambientalistas</x:v>
      </x:c>
      <x:c r="B30" s="16" t="str">
        <x:v>S&gt;=65 AND R&gt;=55 AND acuerdoActivo</x:v>
      </x:c>
      <x:c r="C30" s="16" t="str">
        <x:v>implementation.obras</x:v>
      </x:c>
      <x:c r="D30" s="16" t="str">
        <x:v>efficacy_multiplier</x:v>
      </x:c>
      <x:c r="E30" s="16" t="n">
        <x:v>1.075</x:v>
      </x:c>
      <x:c r="F30" s="16" t="n">
        <x:v>1</x:v>
      </x:c>
      <x:c r="G30" s="16" t="n">
        <x:v>1</x:v>
      </x:c>
      <x:c r="H30" s="16" t="str">
        <x:v>Bonifica sólo beneficios de políticas del ámbito. Tope conjunto ×1,20.</x:v>
      </x:c>
      <x:c r="I30" s="16" t="str">
        <x:v>Requiere contraprestación verificable; satisfacción sola no habilita cooperación organizada.</x:v>
      </x:c>
      <x:c r="J30" s="16" t="str">
        <x:v>replace_actor_target</x:v>
      </x:c>
      <x:c r="K30" s="16" t="str">
        <x:v>No suma voto adicional por el mismo resultado material.</x:v>
      </x:c>
    </x:row>
    <x:row r="31" ht="34" customHeight="1">
      <x:c r="A31" s="17" t="str">
        <x:v>cultura</x:v>
      </x:c>
      <x:c r="B31" s="17" t="str">
        <x:v>S&lt;35 AND R&lt;45 durante 2 cierres</x:v>
      </x:c>
      <x:c r="C31" s="17" t="str">
        <x:v>meetingCost.civil</x:v>
      </x:c>
      <x:c r="D31" s="17" t="str">
        <x:v>ap_surcharge</x:v>
      </x:c>
      <x:c r="E31" s="17" t="n">
        <x:v>1</x:v>
      </x:c>
      <x:c r="F31" s="17" t="n">
        <x:v>1</x:v>
      </x:c>
      <x:c r="G31" s="17" t="n">
        <x:v>1</x:v>
      </x:c>
      <x:c r="H31" s="17" t="str">
        <x:v>La primera reunión con sociedad civil del próximo turno cuesta 1 PA adicional. Cap 1 PA/turno.</x:v>
      </x:c>
      <x:c r="I31" s="17" t="str">
        <x:v>Agenda adversa reduce acceso político; no agrega popularidad ni voto.</x:v>
      </x:c>
      <x:c r="J31" s="17" t="str">
        <x:v>replace</x:v>
      </x:c>
      <x:c r="K31" s="17" t="str">
        <x:v>Una fila de coste, no otra penalidad electoral</x:v>
      </x:c>
    </x:row>
    <x:row r="32" ht="34" customHeight="1">
      <x:c r="A32" s="16" t="str">
        <x:v>cultura</x:v>
      </x:c>
      <x:c r="B32" s="16" t="str">
        <x:v>S&gt;=65 AND R&gt;=55 AND acuerdoActivo</x:v>
      </x:c>
      <x:c r="C32" s="16" t="str">
        <x:v>information.civil</x:v>
      </x:c>
      <x:c r="D32" s="16" t="str">
        <x:v>reveal</x:v>
      </x:c>
      <x:c r="E32" s="16" t="n">
        <x:v>1</x:v>
      </x:c>
      <x:c r="F32" s="16" t="n">
        <x:v>1</x:v>
      </x:c>
      <x:c r="G32" s="16" t="n">
        <x:v>1</x:v>
      </x:c>
      <x:c r="H32" s="16" t="str">
        <x:v>Revela anticipadamente una demanda civil pendiente, una vez por turno.</x:v>
      </x:c>
      <x:c r="I32" s="16" t="str">
        <x:v>Beneficio informativo sin descuento electoral.</x:v>
      </x:c>
      <x:c r="J32" s="16" t="str">
        <x:v>replace</x:v>
      </x:c>
      <x:c r="K32" s="16" t="str">
        <x:v>Cooperación pública</x:v>
      </x:c>
    </x:row>
    <x:row r="33" ht="34" customHeight="1">
      <x:c r="A33" s="17" t="str">
        <x:v>oficialismo</x:v>
      </x:c>
      <x:c r="B33" s="17" t="str">
        <x:v>Siempre, por proyecto de ley</x:v>
      </x:c>
      <x:c r="C33" s="17" t="str">
        <x:v>legislative.billSupport</x:v>
      </x:c>
      <x:c r="D33" s="17" t="str">
        <x:v>derived</x:v>
      </x:c>
      <x:c r="E33" s="17" t="n">
        <x:v>40</x:v>
      </x:c>
      <x:c r="F33" s="17" t="n">
        <x:v>1</x:v>
      </x:c>
      <x:c r="G33" s="17" t="n">
        <x:v>1</x:v>
      </x:c>
      <x:c r="H33" s="17" t="str">
        <x:v>Bancas=40. Disposición clamp(0,1;0,30+0,40×S/100+0,30×R/100). Suma de bancas×disposición.</x:v>
      </x:c>
      <x:c r="I33" s="17" t="str">
        <x:v>Sin voto social. Acuerdo de la oposición por ley, nunca apoyo automático al Ejecutivo.</x:v>
      </x:c>
      <x:c r="J33" s="17" t="str">
        <x:v>snapshot_next</x:v>
      </x:c>
      <x:c r="K33" s="17" t="str">
        <x:v>regla legislativa</x:v>
      </x:c>
    </x:row>
    <x:row r="34" ht="42" customHeight="1">
      <x:c r="A34" s="16" t="str">
        <x:v>aliados</x:v>
      </x:c>
      <x:c r="B34" s="16" t="str">
        <x:v>Siempre, por proyecto de ley</x:v>
      </x:c>
      <x:c r="C34" s="16" t="str">
        <x:v>legislative.billSupport</x:v>
      </x:c>
      <x:c r="D34" s="16" t="str">
        <x:v>derived</x:v>
      </x:c>
      <x:c r="E34" s="16" t="n">
        <x:v>15</x:v>
      </x:c>
      <x:c r="F34" s="16" t="n">
        <x:v>1</x:v>
      </x:c>
      <x:c r="G34" s="16" t="n">
        <x:v>1</x:v>
      </x:c>
      <x:c r="H34" s="16" t="str">
        <x:v>Bancas=15. Disposición clamp(0,1;0,05+0,15×S/100+0,20×R/100+0,60×acuerdoBill). Suma de bancas×disposición.</x:v>
      </x:c>
      <x:c r="I34" s="16" t="str">
        <x:v>Sin voto social. Acuerdo de la oposición por ley, nunca apoyo automático al Ejecutivo.</x:v>
      </x:c>
      <x:c r="J34" s="16" t="str">
        <x:v>snapshot_next</x:v>
      </x:c>
      <x:c r="K34" s="16" t="str">
        <x:v>regla legislativa</x:v>
      </x:c>
    </x:row>
    <x:row r="35" ht="42" customHeight="1">
      <x:c r="A35" s="17" t="str">
        <x:v>oposicion</x:v>
      </x:c>
      <x:c r="B35" s="17" t="str">
        <x:v>Siempre, por proyecto de ley</x:v>
      </x:c>
      <x:c r="C35" s="17" t="str">
        <x:v>legislative.billSupport</x:v>
      </x:c>
      <x:c r="D35" s="17" t="str">
        <x:v>derived</x:v>
      </x:c>
      <x:c r="E35" s="17" t="n">
        <x:v>45</x:v>
      </x:c>
      <x:c r="F35" s="17" t="n">
        <x:v>1</x:v>
      </x:c>
      <x:c r="G35" s="17" t="n">
        <x:v>1</x:v>
      </x:c>
      <x:c r="H35" s="17" t="str">
        <x:v>Bancas=45. Disposición clamp(0,1;0,05+0,10×S/100+0,15×R/100+0,70×acuerdoBill). Suma de bancas×disposición.</x:v>
      </x:c>
      <x:c r="I35" s="17" t="str">
        <x:v>Sin voto social. Acuerdo de la oposición por ley, nunca apoyo automático al Ejecutivo.</x:v>
      </x:c>
      <x:c r="J35" s="17" t="str">
        <x:v>snapshot_next</x:v>
      </x:c>
      <x:c r="K35" s="17" t="str">
        <x:v>regla legislativa</x:v>
      </x:c>
    </x:row>
    <x:row r="36" ht="42" customHeight="1">
      <x:c r="A36" s="16" t="str">
        <x:v>gobernadores</x:v>
      </x:c>
      <x:c r="B36" s="16" t="str">
        <x:v>S&lt;35 AND R&lt;45 durante 2 cierres; OR S&lt;20 durante 2 cierres</x:v>
      </x:c>
      <x:c r="C36" s="16" t="str">
        <x:v>implementation.federal</x:v>
      </x:c>
      <x:c r="D36" s="16" t="str">
        <x:v>efficacy_multiplier</x:v>
      </x:c>
      <x:c r="E36" s="16" t="n">
        <x:v>0.8</x:v>
      </x:c>
      <x:c r="F36" s="16" t="n">
        <x:v>1</x:v>
      </x:c>
      <x:c r="G36" s="16" t="n">
        <x:v>1</x:v>
      </x:c>
      <x:c r="H36" s="16" t="str">
        <x:v>Multiplica sólo beneficios de políticas del ámbito. Penalización=0.2; tope conjunto ×0,65.</x:v>
      </x:c>
      <x:c r="I36" s="16" t="str">
        <x:v>Se renueva si persiste, sustituye el del turno anterior; nunca se suma al stock cada turno.</x:v>
      </x:c>
      <x:c r="J36" s="16" t="str">
        <x:v>replace_actor_target</x:v>
      </x:c>
      <x:c r="K36" s="16" t="str">
        <x:v>Conflicto precedido por aviso en primer cierre. Relación no blinda S&lt;20.</x:v>
      </x:c>
    </x:row>
    <x:row r="37" ht="42" customHeight="1">
      <x:c r="A37" s="17" t="str">
        <x:v>gobernadores</x:v>
      </x:c>
      <x:c r="B37" s="17" t="str">
        <x:v>S&gt;=65 AND R&gt;=55 AND acuerdoActivo</x:v>
      </x:c>
      <x:c r="C37" s="17" t="str">
        <x:v>implementation.federal</x:v>
      </x:c>
      <x:c r="D37" s="17" t="str">
        <x:v>efficacy_multiplier</x:v>
      </x:c>
      <x:c r="E37" s="17" t="n">
        <x:v>1.1</x:v>
      </x:c>
      <x:c r="F37" s="17" t="n">
        <x:v>1</x:v>
      </x:c>
      <x:c r="G37" s="17" t="n">
        <x:v>1</x:v>
      </x:c>
      <x:c r="H37" s="17" t="str">
        <x:v>Bonifica sólo beneficios de políticas del ámbito. Tope conjunto ×1,20.</x:v>
      </x:c>
      <x:c r="I37" s="17" t="str">
        <x:v>Requiere contraprestación verificable; satisfacción sola no habilita cooperación organizada.</x:v>
      </x:c>
      <x:c r="J37" s="17" t="str">
        <x:v>replace_actor_target</x:v>
      </x:c>
      <x:c r="K37" s="17" t="str">
        <x:v>No suma voto adicional por el mismo resultado material.</x:v>
      </x:c>
    </x:row>
  </x:sheetData>
  <x:pageMargins left="0.7" right="0.7" top="0.75" bottom="0.75" header="0.3" footer="0.3"/>
  <x:tableParts count="1">
    <x:tablePart xmlns:r="http://schemas.openxmlformats.org/officeDocument/2006/relationships" r:id="R3012b25448984cab"/>
  </x:tableParts>
</x:worksheet>
</file>

<file path=xl/worksheets/sheet9.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4" hidden="0" customWidth="1"/>
    <x:col min="2" max="2" width="36" hidden="0" customWidth="1"/>
    <x:col min="3" max="3" width="76" hidden="0" customWidth="1"/>
    <x:col min="4" max="4" width="55" hidden="0" customWidth="1"/>
    <x:col min="5" max="5" width="100" hidden="0" customWidth="1"/>
    <x:col min="6" max="6" width="70" hidden="0" customWidth="1"/>
    <x:col min="7" max="7" width="16" hidden="0" customWidth="1"/>
    <x:col min="8" max="8" width="15" hidden="0" customWidth="1"/>
    <x:col min="9" max="9" width="21" hidden="0" customWidth="1"/>
    <x:col min="10" max="10" width="86" hidden="0" customWidth="1"/>
    <x:col min="11" max="11" width="75" hidden="0" customWidth="1"/>
  </x:cols>
  <x:sheetData>
    <x:row r="2" ht="28" customHeight="1">
      <x:c r="A2" s="1" t="str">
        <x:v>Reuniones e información</x:v>
      </x:c>
    </x:row>
    <x:row r="3" ht="23" customHeight="1">
      <x:c r="A3" s="11" t="str">
        <x:v>Sin reunión reciente no se negocia ni firma. Informes vencidos siguen visibles con su fecha, pero no desbloquean.</x:v>
      </x:c>
    </x:row>
    <x:row r="5" ht="42" customHeight="1">
      <x:c r="A5" s="9" t="str">
        <x:v>actorId</x:v>
      </x:c>
      <x:c r="B5" s="9" t="str">
        <x:v>Actor</x:v>
      </x:c>
      <x:c r="C5" s="9" t="str">
        <x:v>Información revelada</x:v>
      </x:c>
      <x:c r="D5" s="9" t="str">
        <x:v>Indicadores discutidos</x:v>
      </x:c>
      <x:c r="E5" s="9" t="str">
        <x:v>Ejemplo de demanda</x:v>
      </x:c>
      <x:c r="F5" s="9" t="str">
        <x:v>Desbloqueo</x:v>
      </x:c>
      <x:c r="G5" s="9" t="str">
        <x:v>Costo U</x:v>
      </x:c>
      <x:c r="H5" s="9" t="str">
        <x:v>Costo PA</x:v>
      </x:c>
      <x:c r="I5" s="9" t="str">
        <x:v>Vigencia turnos</x:v>
      </x:c>
      <x:c r="J5" s="9" t="str">
        <x:v>Qué NO hace</x:v>
      </x:c>
      <x:c r="K5" s="9" t="str">
        <x:v>Dificultad</x:v>
      </x:c>
    </x:row>
    <x:row r="6" ht="82" customHeight="1">
      <x:c r="A6" s="5" t="str">
        <x:v>industria</x:v>
      </x:c>
      <x:c r="B6" s="5" t="str">
        <x:v>Industria y grandes empresas</x:v>
      </x:c>
      <x:c r="C6" s="5" t="str">
        <x:v>Informe fechado: hasta 2 utilidades más bajas, tendencia de 2 turnos y sensibilidad dominante. Se muestran pesos exactos del informe al reunirse.</x:v>
      </x:c>
      <x:c r="D6" s="5" t="str">
        <x:v>credito, actividad, infraestructura, externo</x:v>
      </x:c>
      <x:c r="E6" s="5" t="str">
        <x:v>Subir credito al menos 4 puntos desde la firma en 4 turnos, si aparece entre las dos prioridades reveladas.</x:v>
      </x:c>
      <x:c r="F6" s="5" t="str">
        <x:v>Negociar resultado prioritario y contraprestación del canal</x:v>
      </x:c>
      <x:c r="G6" s="5" t="n">
        <x:v>45</x:v>
      </x:c>
      <x:c r="H6" s="5" t="n">
        <x:v>1</x:v>
      </x:c>
      <x:c r="I6" s="5" t="n">
        <x:v>4</x:v>
      </x:c>
      <x:c r="J6" s="5" t="str">
        <x:v>No modifica S ni R. No firma acuerdos ni garantiza aceptación. No revela información falsa.</x:v>
      </x:c>
      <x:c r="K6" s="5" t="str">
        <x:v>difficulty=7 afecta costo y viabilidad de oferta; no cambia necesidades materiales.</x:v>
      </x:c>
    </x:row>
    <x:row r="7" ht="82" customHeight="1">
      <x:c r="A7" s="10" t="str">
        <x:v>agro</x:v>
      </x:c>
      <x:c r="B7" s="10" t="str">
        <x:v>Sector agropecuario</x:v>
      </x:c>
      <x:c r="C7" s="10" t="str">
        <x:v>Informe fechado: hasta 2 utilidades más bajas, tendencia de 2 turnos y sensibilidad dominante. Se muestran pesos exactos del informe al reunirse.</x:v>
      </x:c>
      <x:c r="D7" s="10" t="str">
        <x:v>externo, infraestructura, ambiente, credito</x:v>
      </x:c>
      <x:c r="E7" s="10" t="str">
        <x:v>Subir externo al menos 4 puntos desde la firma en 4 turnos, si aparece entre las dos prioridades reveladas.</x:v>
      </x:c>
      <x:c r="F7" s="10" t="str">
        <x:v>Negociar resultado prioritario y contraprestación del canal</x:v>
      </x:c>
      <x:c r="G7" s="10" t="n">
        <x:v>40</x:v>
      </x:c>
      <x:c r="H7" s="10" t="n">
        <x:v>1</x:v>
      </x:c>
      <x:c r="I7" s="10" t="n">
        <x:v>4</x:v>
      </x:c>
      <x:c r="J7" s="10" t="str">
        <x:v>No modifica S ni R. No firma acuerdos ni garantiza aceptación. No revela información falsa.</x:v>
      </x:c>
      <x:c r="K7" s="10" t="str">
        <x:v>difficulty=6 afecta costo y viabilidad de oferta; no cambia necesidades materiales.</x:v>
      </x:c>
    </x:row>
    <x:row r="8" ht="82" customHeight="1">
      <x:c r="A8" s="5" t="str">
        <x:v>financiero</x:v>
      </x:c>
      <x:c r="B8" s="5" t="str">
        <x:v>Sector financiero</x:v>
      </x:c>
      <x:c r="C8" s="5" t="str">
        <x:v>Informe fechado: hasta 2 utilidades más bajas, tendencia de 2 turnos y sensibilidad dominante. Se muestran pesos exactos del informe al reunirse.</x:v>
      </x:c>
      <x:c r="D8" s="5" t="str">
        <x:v>fiscal, inflacion, credito, derechos</x:v>
      </x:c>
      <x:c r="E8" s="5" t="str">
        <x:v>Subir fiscal al menos 5 puntos desde la firma en 4 turnos, si aparece entre las dos prioridades reveladas.</x:v>
      </x:c>
      <x:c r="F8" s="5" t="str">
        <x:v>Negociar resultado prioritario y contraprestación del canal</x:v>
      </x:c>
      <x:c r="G8" s="5" t="n">
        <x:v>50</x:v>
      </x:c>
      <x:c r="H8" s="5" t="n">
        <x:v>1</x:v>
      </x:c>
      <x:c r="I8" s="5" t="n">
        <x:v>4</x:v>
      </x:c>
      <x:c r="J8" s="5" t="str">
        <x:v>No modifica S ni R. No firma acuerdos ni garantiza aceptación. No revela información falsa.</x:v>
      </x:c>
      <x:c r="K8" s="5" t="str">
        <x:v>difficulty=8 afecta costo y viabilidad de oferta; no cambia necesidades materiales.</x:v>
      </x:c>
    </x:row>
    <x:row r="9" ht="82" customHeight="1">
      <x:c r="A9" s="10" t="str">
        <x:v>sindicatos</x:v>
      </x:c>
      <x:c r="B9" s="10" t="str">
        <x:v>Sindicatos</x:v>
      </x:c>
      <x:c r="C9" s="10" t="str">
        <x:v>Informe fechado: hasta 2 utilidades más bajas, tendencia de 2 turnos y sensibilidad dominante. Se muestran pesos exactos del informe al reunirse.</x:v>
      </x:c>
      <x:c r="D9" s="10" t="str">
        <x:v>ingreso_real, actividad, proteccion, derechos</x:v>
      </x:c>
      <x:c r="E9" s="10" t="str">
        <x:v>Subir ingreso_real al menos 4 puntos desde la firma en 4 turnos, si aparece entre las dos prioridades reveladas.</x:v>
      </x:c>
      <x:c r="F9" s="10" t="str">
        <x:v>Negociar resultado prioritario y contraprestación del canal</x:v>
      </x:c>
      <x:c r="G9" s="10" t="n">
        <x:v>45</x:v>
      </x:c>
      <x:c r="H9" s="10" t="n">
        <x:v>1</x:v>
      </x:c>
      <x:c r="I9" s="10" t="n">
        <x:v>4</x:v>
      </x:c>
      <x:c r="J9" s="10" t="str">
        <x:v>No modifica S ni R. No firma acuerdos ni garantiza aceptación. No revela información falsa.</x:v>
      </x:c>
      <x:c r="K9" s="10" t="str">
        <x:v>difficulty=7 afecta costo y viabilidad de oferta; no cambia necesidades materiales.</x:v>
      </x:c>
    </x:row>
    <x:row r="10" ht="82" customHeight="1">
      <x:c r="A10" s="5" t="str">
        <x:v>pymes</x:v>
      </x:c>
      <x:c r="B10" s="5" t="str">
        <x:v>PyMEs y comercio</x:v>
      </x:c>
      <x:c r="C10" s="5" t="str">
        <x:v>Informe fechado: hasta 2 utilidades más bajas, tendencia de 2 turnos y sensibilidad dominante. Se muestran pesos exactos del informe al reunirse.</x:v>
      </x:c>
      <x:c r="D10" s="5" t="str">
        <x:v>credito, actividad, infraestructura, inflacion</x:v>
      </x:c>
      <x:c r="E10" s="5" t="str">
        <x:v>Subir credito al menos 4 puntos desde la firma en 4 turnos, si aparece entre las dos prioridades reveladas.</x:v>
      </x:c>
      <x:c r="F10" s="5" t="str">
        <x:v>Negociar resultado prioritario y contraprestación del canal</x:v>
      </x:c>
      <x:c r="G10" s="5" t="n">
        <x:v>35</x:v>
      </x:c>
      <x:c r="H10" s="5" t="n">
        <x:v>1</x:v>
      </x:c>
      <x:c r="I10" s="5" t="n">
        <x:v>4</x:v>
      </x:c>
      <x:c r="J10" s="5" t="str">
        <x:v>No modifica S ni R. No firma acuerdos ni garantiza aceptación. No revela información falsa.</x:v>
      </x:c>
      <x:c r="K10" s="5" t="str">
        <x:v>difficulty=5 afecta costo y viabilidad de oferta; no cambia necesidades materiales.</x:v>
      </x:c>
    </x:row>
    <x:row r="11" ht="82" customHeight="1">
      <x:c r="A11" s="10" t="str">
        <x:v>clase_media</x:v>
      </x:c>
      <x:c r="B11" s="10" t="str">
        <x:v>Hogares de ingresos medios</x:v>
      </x:c>
      <x:c r="C11" s="10" t="str">
        <x:v>Informe fechado: hasta 2 utilidades más bajas, tendencia de 2 turnos y sensibilidad dominante. Se muestran pesos exactos del informe al reunirse.</x:v>
      </x:c>
      <x:c r="D11" s="10" t="str">
        <x:v>ingreso_real, seguridad, educacion, inflacion</x:v>
      </x:c>
      <x:c r="E11" s="10" t="str">
        <x:v>Subir ingreso_real al menos 4 puntos desde la firma en 4 turnos, si aparece entre las dos prioridades reveladas.</x:v>
      </x:c>
      <x:c r="F11" s="10" t="str">
        <x:v>Negociar resultado prioritario y contraprestación del canal</x:v>
      </x:c>
      <x:c r="G11" s="10" t="n">
        <x:v>30</x:v>
      </x:c>
      <x:c r="H11" s="10" t="n">
        <x:v>1</x:v>
      </x:c>
      <x:c r="I11" s="10" t="n">
        <x:v>4</x:v>
      </x:c>
      <x:c r="J11" s="10" t="str">
        <x:v>No modifica S ni R. No firma acuerdos ni garantiza aceptación. No revela información falsa.</x:v>
      </x:c>
      <x:c r="K11" s="10" t="str">
        <x:v>difficulty=4 afecta costo y viabilidad de oferta; no cambia necesidades materiales.</x:v>
      </x:c>
    </x:row>
    <x:row r="12" ht="82" customHeight="1">
      <x:c r="A12" s="5" t="str">
        <x:v>cooperativas</x:v>
      </x:c>
      <x:c r="B12" s="5" t="str">
        <x:v>Cooperativas y economía social</x:v>
      </x:c>
      <x:c r="C12" s="5" t="str">
        <x:v>Informe fechado: hasta 2 utilidades más bajas, tendencia de 2 turnos y sensibilidad dominante. Se muestran pesos exactos del informe al reunirse.</x:v>
      </x:c>
      <x:c r="D12" s="5" t="str">
        <x:v>credito, actividad, proteccion, derechos</x:v>
      </x:c>
      <x:c r="E12" s="5" t="str">
        <x:v>Subir credito al menos 4 puntos desde la firma en 4 turnos, si aparece entre las dos prioridades reveladas.</x:v>
      </x:c>
      <x:c r="F12" s="5" t="str">
        <x:v>Negociar resultado prioritario y contraprestación del canal</x:v>
      </x:c>
      <x:c r="G12" s="5" t="n">
        <x:v>30</x:v>
      </x:c>
      <x:c r="H12" s="5" t="n">
        <x:v>1</x:v>
      </x:c>
      <x:c r="I12" s="5" t="n">
        <x:v>4</x:v>
      </x:c>
      <x:c r="J12" s="5" t="str">
        <x:v>No modifica S ni R. No firma acuerdos ni garantiza aceptación. No revela información falsa.</x:v>
      </x:c>
      <x:c r="K12" s="5" t="str">
        <x:v>difficulty=4 afecta costo y viabilidad de oferta; no cambia necesidades materiales.</x:v>
      </x:c>
    </x:row>
    <x:row r="13" ht="82" customHeight="1">
      <x:c r="A13" s="10" t="str">
        <x:v>estudiantes</x:v>
      </x:c>
      <x:c r="B13" s="10" t="str">
        <x:v>Estudiantes</x:v>
      </x:c>
      <x:c r="C13" s="10" t="str">
        <x:v>Informe fechado: hasta 2 utilidades más bajas, tendencia de 2 turnos y sensibilidad dominante. Se muestran pesos exactos del informe al reunirse.</x:v>
      </x:c>
      <x:c r="D13" s="10" t="str">
        <x:v>educacion, ingreso_real, derechos, ciencia</x:v>
      </x:c>
      <x:c r="E13" s="10" t="str">
        <x:v>Subir educacion al menos 3 puntos desde la firma en 4 turnos, si aparece entre las dos prioridades reveladas.</x:v>
      </x:c>
      <x:c r="F13" s="10" t="str">
        <x:v>Negociar resultado prioritario y contraprestación del canal</x:v>
      </x:c>
      <x:c r="G13" s="10" t="n">
        <x:v>25</x:v>
      </x:c>
      <x:c r="H13" s="10" t="n">
        <x:v>1</x:v>
      </x:c>
      <x:c r="I13" s="10" t="n">
        <x:v>4</x:v>
      </x:c>
      <x:c r="J13" s="10" t="str">
        <x:v>No modifica S ni R. No firma acuerdos ni garantiza aceptación. No revela información falsa.</x:v>
      </x:c>
      <x:c r="K13" s="10" t="str">
        <x:v>difficulty=3 afecta costo y viabilidad de oferta; no cambia necesidades materiales.</x:v>
      </x:c>
    </x:row>
    <x:row r="14" ht="82" customHeight="1">
      <x:c r="A14" s="5" t="str">
        <x:v>docentes</x:v>
      </x:c>
      <x:c r="B14" s="5" t="str">
        <x:v>Docentes</x:v>
      </x:c>
      <x:c r="C14" s="5" t="str">
        <x:v>Informe fechado: hasta 2 utilidades más bajas, tendencia de 2 turnos y sensibilidad dominante. Se muestran pesos exactos del informe al reunirse.</x:v>
      </x:c>
      <x:c r="D14" s="5" t="str">
        <x:v>educacion, ingreso_real, derechos</x:v>
      </x:c>
      <x:c r="E14" s="5" t="str">
        <x:v>Subir educacion al menos 4 puntos desde la firma en 4 turnos, si aparece entre las dos prioridades reveladas.</x:v>
      </x:c>
      <x:c r="F14" s="5" t="str">
        <x:v>Negociar resultado prioritario y contraprestación del canal</x:v>
      </x:c>
      <x:c r="G14" s="5" t="n">
        <x:v>35</x:v>
      </x:c>
      <x:c r="H14" s="5" t="n">
        <x:v>1</x:v>
      </x:c>
      <x:c r="I14" s="5" t="n">
        <x:v>4</x:v>
      </x:c>
      <x:c r="J14" s="5" t="str">
        <x:v>No modifica S ni R. No firma acuerdos ni garantiza aceptación. No revela información falsa.</x:v>
      </x:c>
      <x:c r="K14" s="5" t="str">
        <x:v>difficulty=5 afecta costo y viabilidad de oferta; no cambia necesidades materiales.</x:v>
      </x:c>
    </x:row>
    <x:row r="15" ht="82" customHeight="1">
      <x:c r="A15" s="10" t="str">
        <x:v>cientificos</x:v>
      </x:c>
      <x:c r="B15" s="10" t="str">
        <x:v>Científicos e investigadores</x:v>
      </x:c>
      <x:c r="C15" s="10" t="str">
        <x:v>Informe fechado: hasta 2 utilidades más bajas, tendencia de 2 turnos y sensibilidad dominante. Se muestran pesos exactos del informe al reunirse.</x:v>
      </x:c>
      <x:c r="D15" s="10" t="str">
        <x:v>ciencia, educacion, derechos</x:v>
      </x:c>
      <x:c r="E15" s="10" t="str">
        <x:v>Subir ciencia al menos 4 puntos desde la firma en 4 turnos, si aparece entre las dos prioridades reveladas.</x:v>
      </x:c>
      <x:c r="F15" s="10" t="str">
        <x:v>Negociar resultado prioritario y contraprestación del canal</x:v>
      </x:c>
      <x:c r="G15" s="10" t="n">
        <x:v>35</x:v>
      </x:c>
      <x:c r="H15" s="10" t="n">
        <x:v>1</x:v>
      </x:c>
      <x:c r="I15" s="10" t="n">
        <x:v>4</x:v>
      </x:c>
      <x:c r="J15" s="10" t="str">
        <x:v>No modifica S ni R. No firma acuerdos ni garantiza aceptación. No revela información falsa.</x:v>
      </x:c>
      <x:c r="K15" s="10" t="str">
        <x:v>difficulty=5 afecta costo y viabilidad de oferta; no cambia necesidades materiales.</x:v>
      </x:c>
    </x:row>
    <x:row r="16" ht="82" customHeight="1">
      <x:c r="A16" s="5" t="str">
        <x:v>organizaciones</x:v>
      </x:c>
      <x:c r="B16" s="5" t="str">
        <x:v>Organizaciones sociales</x:v>
      </x:c>
      <x:c r="C16" s="5" t="str">
        <x:v>Informe fechado: hasta 2 utilidades más bajas, tendencia de 2 turnos y sensibilidad dominante. Se muestran pesos exactos del informe al reunirse.</x:v>
      </x:c>
      <x:c r="D16" s="5" t="str">
        <x:v>proteccion, salud, actividad, derechos</x:v>
      </x:c>
      <x:c r="E16" s="5" t="str">
        <x:v>Subir proteccion al menos 4 puntos desde la firma en 4 turnos, si aparece entre las dos prioridades reveladas.</x:v>
      </x:c>
      <x:c r="F16" s="5" t="str">
        <x:v>Negociar resultado prioritario y contraprestación del canal</x:v>
      </x:c>
      <x:c r="G16" s="5" t="n">
        <x:v>35</x:v>
      </x:c>
      <x:c r="H16" s="5" t="n">
        <x:v>1</x:v>
      </x:c>
      <x:c r="I16" s="5" t="n">
        <x:v>4</x:v>
      </x:c>
      <x:c r="J16" s="5" t="str">
        <x:v>No modifica S ni R. No firma acuerdos ni garantiza aceptación. No revela información falsa.</x:v>
      </x:c>
      <x:c r="K16" s="5" t="str">
        <x:v>difficulty=5 afecta costo y viabilidad de oferta; no cambia necesidades materiales.</x:v>
      </x:c>
    </x:row>
    <x:row r="17" ht="82" customHeight="1">
      <x:c r="A17" s="10" t="str">
        <x:v>ddhh</x:v>
      </x:c>
      <x:c r="B17" s="10" t="str">
        <x:v>Organizaciones de derechos</x:v>
      </x:c>
      <x:c r="C17" s="10" t="str">
        <x:v>Informe fechado: hasta 2 utilidades más bajas, tendencia de 2 turnos y sensibilidad dominante. Se muestran pesos exactos del informe al reunirse.</x:v>
      </x:c>
      <x:c r="D17" s="10" t="str">
        <x:v>derechos, seguridad, proteccion</x:v>
      </x:c>
      <x:c r="E17" s="10" t="str">
        <x:v>Subir derechos al menos 4 puntos desde la firma en 4 turnos, si aparece entre las dos prioridades reveladas.</x:v>
      </x:c>
      <x:c r="F17" s="10" t="str">
        <x:v>Negociar resultado prioritario y contraprestación del canal</x:v>
      </x:c>
      <x:c r="G17" s="10" t="n">
        <x:v>40</x:v>
      </x:c>
      <x:c r="H17" s="10" t="n">
        <x:v>1</x:v>
      </x:c>
      <x:c r="I17" s="10" t="n">
        <x:v>4</x:v>
      </x:c>
      <x:c r="J17" s="10" t="str">
        <x:v>No modifica S ni R. No firma acuerdos ni garantiza aceptación. No revela información falsa.</x:v>
      </x:c>
      <x:c r="K17" s="10" t="str">
        <x:v>difficulty=6 afecta costo y viabilidad de oferta; no cambia necesidades materiales.</x:v>
      </x:c>
    </x:row>
    <x:row r="18" ht="82" customHeight="1">
      <x:c r="A18" s="5" t="str">
        <x:v>ambientalistas</x:v>
      </x:c>
      <x:c r="B18" s="5" t="str">
        <x:v>Organizaciones ambientales</x:v>
      </x:c>
      <x:c r="C18" s="5" t="str">
        <x:v>Informe fechado: hasta 2 utilidades más bajas, tendencia de 2 turnos y sensibilidad dominante. Se muestran pesos exactos del informe al reunirse.</x:v>
      </x:c>
      <x:c r="D18" s="5" t="str">
        <x:v>ambiente, derechos, salud</x:v>
      </x:c>
      <x:c r="E18" s="5" t="str">
        <x:v>Subir ambiente al menos 4 puntos desde la firma en 4 turnos, si aparece entre las dos prioridades reveladas.</x:v>
      </x:c>
      <x:c r="F18" s="5" t="str">
        <x:v>Negociar resultado prioritario y contraprestación del canal</x:v>
      </x:c>
      <x:c r="G18" s="5" t="n">
        <x:v>35</x:v>
      </x:c>
      <x:c r="H18" s="5" t="n">
        <x:v>1</x:v>
      </x:c>
      <x:c r="I18" s="5" t="n">
        <x:v>4</x:v>
      </x:c>
      <x:c r="J18" s="5" t="str">
        <x:v>No modifica S ni R. No firma acuerdos ni garantiza aceptación. No revela información falsa.</x:v>
      </x:c>
      <x:c r="K18" s="5" t="str">
        <x:v>difficulty=5 afecta costo y viabilidad de oferta; no cambia necesidades materiales.</x:v>
      </x:c>
    </x:row>
    <x:row r="19" ht="82" customHeight="1">
      <x:c r="A19" s="10" t="str">
        <x:v>cultura</x:v>
      </x:c>
      <x:c r="B19" s="10" t="str">
        <x:v>Sector cultural</x:v>
      </x:c>
      <x:c r="C19" s="10" t="str">
        <x:v>Informe fechado: hasta 2 utilidades más bajas, tendencia de 2 turnos y sensibilidad dominante. Se muestran pesos exactos del informe al reunirse.</x:v>
      </x:c>
      <x:c r="D19" s="10" t="str">
        <x:v>derechos, educacion, ingreso_real</x:v>
      </x:c>
      <x:c r="E19" s="10" t="str">
        <x:v>Subir derechos al menos 4 puntos desde la firma en 4 turnos, si aparece entre las dos prioridades reveladas.</x:v>
      </x:c>
      <x:c r="F19" s="10" t="str">
        <x:v>Negociar resultado prioritario y contraprestación del canal</x:v>
      </x:c>
      <x:c r="G19" s="10" t="n">
        <x:v>30</x:v>
      </x:c>
      <x:c r="H19" s="10" t="n">
        <x:v>1</x:v>
      </x:c>
      <x:c r="I19" s="10" t="n">
        <x:v>4</x:v>
      </x:c>
      <x:c r="J19" s="10" t="str">
        <x:v>No modifica S ni R. No firma acuerdos ni garantiza aceptación. No revela información falsa.</x:v>
      </x:c>
      <x:c r="K19" s="10" t="str">
        <x:v>difficulty=4 afecta costo y viabilidad de oferta; no cambia necesidades materiales.</x:v>
      </x:c>
    </x:row>
    <x:row r="20" ht="82" customHeight="1">
      <x:c r="A20" s="5" t="str">
        <x:v>oficialismo</x:v>
      </x:c>
      <x:c r="B20" s="5" t="str">
        <x:v>Oficialismo / partido propio</x:v>
      </x:c>
      <x:c r="C20" s="5" t="str">
        <x:v>Informe fechado: hasta 2 utilidades más bajas, tendencia de 2 turnos y sensibilidad dominante. Se muestran pesos exactos del informe al reunirse.</x:v>
      </x:c>
      <x:c r="D20" s="5" t="str">
        <x:v>derechos, actividad, fiscal, proteccion</x:v>
      </x:c>
      <x:c r="E20" s="5" t="str">
        <x:v>Consulta pública y revisión del proyecto acordado dentro de 2 turnos; apoyo limitado a billId.</x:v>
      </x:c>
      <x:c r="F20" s="5" t="str">
        <x:v>Negociar apoyo a una ley o convenio federal específico</x:v>
      </x:c>
      <x:c r="G20" s="5" t="n">
        <x:v>30</x:v>
      </x:c>
      <x:c r="H20" s="5" t="n">
        <x:v>1</x:v>
      </x:c>
      <x:c r="I20" s="5" t="n">
        <x:v>4</x:v>
      </x:c>
      <x:c r="J20" s="5" t="str">
        <x:v>No modifica S ni R. No firma acuerdos ni garantiza aceptación. No revela información falsa.</x:v>
      </x:c>
      <x:c r="K20" s="5" t="str">
        <x:v>difficulty=4 afecta costo y viabilidad de oferta; no cambia necesidades materiales.</x:v>
      </x:c>
    </x:row>
    <x:row r="21" ht="82" customHeight="1">
      <x:c r="A21" s="10" t="str">
        <x:v>aliados</x:v>
      </x:c>
      <x:c r="B21" s="10" t="str">
        <x:v>Aliados / coalición</x:v>
      </x:c>
      <x:c r="C21" s="10" t="str">
        <x:v>Informe fechado: hasta 2 utilidades más bajas, tendencia de 2 turnos y sensibilidad dominante. Se muestran pesos exactos del informe al reunirse.</x:v>
      </x:c>
      <x:c r="D21" s="10" t="str">
        <x:v>derechos, fiscal, infraestructura</x:v>
      </x:c>
      <x:c r="E21" s="10" t="str">
        <x:v>Consulta pública y revisión del proyecto acordado dentro de 2 turnos; apoyo limitado a billId.</x:v>
      </x:c>
      <x:c r="F21" s="10" t="str">
        <x:v>Negociar apoyo a una ley o convenio federal específico</x:v>
      </x:c>
      <x:c r="G21" s="10" t="n">
        <x:v>45</x:v>
      </x:c>
      <x:c r="H21" s="10" t="n">
        <x:v>1</x:v>
      </x:c>
      <x:c r="I21" s="10" t="n">
        <x:v>4</x:v>
      </x:c>
      <x:c r="J21" s="10" t="str">
        <x:v>No modifica S ni R. No firma acuerdos ni garantiza aceptación. No revela información falsa.</x:v>
      </x:c>
      <x:c r="K21" s="10" t="str">
        <x:v>difficulty=7 afecta costo y viabilidad de oferta; no cambia necesidades materiales.</x:v>
      </x:c>
    </x:row>
    <x:row r="22" ht="82" customHeight="1">
      <x:c r="A22" s="5" t="str">
        <x:v>oposicion</x:v>
      </x:c>
      <x:c r="B22" s="5" t="str">
        <x:v>Oposición democrática</x:v>
      </x:c>
      <x:c r="C22" s="5" t="str">
        <x:v>Informe fechado: hasta 2 utilidades más bajas, tendencia de 2 turnos y sensibilidad dominante. Se muestran pesos exactos del informe al reunirse.</x:v>
      </x:c>
      <x:c r="D22" s="5" t="str">
        <x:v>derechos, fiscal, seguridad</x:v>
      </x:c>
      <x:c r="E22" s="5" t="str">
        <x:v>Consulta pública y revisión del proyecto acordado dentro de 2 turnos; apoyo limitado a billId.</x:v>
      </x:c>
      <x:c r="F22" s="5" t="str">
        <x:v>Negociar apoyo a una ley o convenio federal específico</x:v>
      </x:c>
      <x:c r="G22" s="5" t="n">
        <x:v>50</x:v>
      </x:c>
      <x:c r="H22" s="5" t="n">
        <x:v>1</x:v>
      </x:c>
      <x:c r="I22" s="5" t="n">
        <x:v>4</x:v>
      </x:c>
      <x:c r="J22" s="5" t="str">
        <x:v>No modifica S ni R. No firma acuerdos ni garantiza aceptación. No revela información falsa.</x:v>
      </x:c>
      <x:c r="K22" s="5" t="str">
        <x:v>difficulty=8 afecta costo y viabilidad de oferta; no cambia necesidades materiales.</x:v>
      </x:c>
    </x:row>
    <x:row r="23" ht="82" customHeight="1">
      <x:c r="A23" s="10" t="str">
        <x:v>gobernadores</x:v>
      </x:c>
      <x:c r="B23" s="10" t="str">
        <x:v>Gobernadores y provincias</x:v>
      </x:c>
      <x:c r="C23" s="10" t="str">
        <x:v>Informe fechado: hasta 2 utilidades más bajas, tendencia de 2 turnos y sensibilidad dominante. Se muestran pesos exactos del informe al reunirse.</x:v>
      </x:c>
      <x:c r="D23" s="10" t="str">
        <x:v>infraestructura, salud, educacion, fiscal</x:v>
      </x:c>
      <x:c r="E23" s="10" t="str">
        <x:v>Consulta pública y revisión del proyecto acordado dentro de 2 turnos; convenio por obra federal.</x:v>
      </x:c>
      <x:c r="F23" s="10" t="str">
        <x:v>Negociar apoyo a una ley o convenio federal específico</x:v>
      </x:c>
      <x:c r="G23" s="10" t="n">
        <x:v>45</x:v>
      </x:c>
      <x:c r="H23" s="10" t="n">
        <x:v>1</x:v>
      </x:c>
      <x:c r="I23" s="10" t="n">
        <x:v>4</x:v>
      </x:c>
      <x:c r="J23" s="10" t="str">
        <x:v>No modifica S ni R. No firma acuerdos ni garantiza aceptación. No revela información falsa.</x:v>
      </x:c>
      <x:c r="K23" s="10" t="str">
        <x:v>difficulty=7 afecta costo y viabilidad de oferta; no cambia necesidades materiales.</x:v>
      </x:c>
    </x:row>
    <x:row r="29" ht="42" customHeight="1">
      <x:c r="A29" s="9" t="str">
        <x:v>Regla</x:v>
      </x:c>
      <x:c r="B29" s="9" t="str">
        <x:v>Estado / vínculo</x:v>
      </x:c>
      <x:c r="C29" s="9" t="str">
        <x:v>Datos requeridos</x:v>
      </x:c>
      <x:c r="D29" s="9" t="str">
        <x:v>Momento</x:v>
      </x:c>
      <x:c r="E29" s="9" t="str">
        <x:v>Semántica</x:v>
      </x:c>
    </x:row>
    <x:row r="30" ht="88" customHeight="1">
      <x:c r="A30" s="5" t="str">
        <x:v>meeting</x:v>
      </x:c>
      <x:c r="B30" s="5" t="str">
        <x:v>Sin reunión → informado</x:v>
      </x:c>
      <x:c r="C30" s="5" t="str">
        <x:v>reunirse(actorId)</x:v>
      </x:c>
      <x:c r="D30" s="5" t="str">
        <x:v>Al confirmar</x:v>
      </x:c>
      <x:c r="E30" s="5" t="str">
        <x:v>Fija lastMeeting=t. Habilita durante t, t+1, t+2, t+3. Vence al abrir t+4. No agrega relación.</x:v>
      </x:c>
    </x:row>
    <x:row r="31" ht="88" customHeight="1">
      <x:c r="A31" s="10" t="str">
        <x:v>negotiation</x:v>
      </x:c>
      <x:c r="B31" s="10" t="str">
        <x:v>Informado → oferta</x:v>
      </x:c>
      <x:c r="C31" s="10" t="str">
        <x:v>negociar(actorId,templateId)</x:v>
      </x:c>
      <x:c r="D31" s="10" t="str">
        <x:v>Al confirmar</x:v>
      </x:c>
      <x:c r="E31" s="10" t="str">
        <x:v>Debe haber reunión con age&lt;4. Demanda creada en cierre anterior; máximo 1 oferta activa por actor.</x:v>
      </x:c>
    </x:row>
    <x:row r="32" ht="88" customHeight="1">
      <x:c r="A32" s="5" t="str">
        <x:v>offer</x:v>
      </x:c>
      <x:c r="B32" s="5" t="str">
        <x:v>Oferta válida</x:v>
      </x:c>
      <x:c r="C32" s="5" t="str">
        <x:v>targetId, baseline, delta, deadline, counterpart</x:v>
      </x:c>
      <x:c r="D32" s="5" t="str">
        <x:v>t..t+2</x:v>
      </x:c>
      <x:c r="E32" s="5" t="str">
        <x:v>baseline del indicador al firmar. deadline=t+4. Para inflación delta negativo. No aceptar objetivos ya cumplidos ni acciones previas a firma.</x:v>
      </x:c>
    </x:row>
    <x:row r="33" ht="88" customHeight="1">
      <x:c r="A33" s="10" t="str">
        <x:v>acceptance</x:v>
      </x:c>
      <x:c r="B33" s="10" t="str">
        <x:v>Viabilidad de oferta</x:v>
      </x:c>
      <x:c r="C33" s="10" t="str">
        <x:v>R&gt;=10; objectiveFitsPriority; cashForecast&gt;=0</x:v>
      </x:c>
      <x:c r="D33" s="10" t="str">
        <x:v>Al negociar</x:v>
      </x:c>
      <x:c r="E33" s="10" t="str">
        <x:v>Resultado material: mejora de utilidad &gt;=3+FLOOR(difficulty/4) en4 turnos. R&gt;=10 y plan financiable. Para procedimientos: consulta pública y revisión registrada del billId dentro de2 turnos. No exige mejorar R antes de permitir el primer acuerdo.</x:v>
      </x:c>
    </x:row>
    <x:row r="34" ht="88" customHeight="1">
      <x:c r="A34" s="5" t="str">
        <x:v>signature</x:v>
      </x:c>
      <x:c r="B34" s="5" t="str">
        <x:v>Oferta → compromiso</x:v>
      </x:c>
      <x:c r="C34" s="5" t="str">
        <x:v>firmar_acuerdo(offerId)</x:v>
      </x:c>
      <x:c r="D34" s="5" t="str">
        <x:v>Al confirmar</x:v>
      </x:c>
      <x:c r="E34" s="5" t="str">
        <x:v>Reunión aún reciente y oferta con age&lt;3. No cuesta caja adicional salvo obligación pactada. Se consume oferta. No cambia S ni R.</x:v>
      </x:c>
    </x:row>
    <x:row r="35" ht="88" customHeight="1">
      <x:c r="A35" s="10" t="str">
        <x:v>promise</x:v>
      </x:c>
      <x:c r="B35" s="10" t="str">
        <x:v>Cumplimiento</x:v>
      </x:c>
      <x:c r="C35" s="10" t="str">
        <x:v>observedIndicator versus signedBaseline</x:v>
      </x:c>
      <x:c r="D35" s="10" t="str">
        <x:v>En cierre antes de canales</x:v>
      </x:c>
      <x:c r="E35" s="10" t="str">
        <x:v>Una vez dentro de plazo: R+8 y activa contraprestación 4 turnos. Si vence sin cumplir: R−12. Efecto material siempre en indicadores, nunca suma S directa.</x:v>
      </x:c>
    </x:row>
    <x:row r="36" ht="88" customHeight="1">
      <x:c r="A36" s="5" t="str">
        <x:v>procedural</x:v>
      </x:c>
      <x:c r="B36" s="5" t="str">
        <x:v>Apoyo legislativo y pactos de procedimiento</x:v>
      </x:c>
      <x:c r="C36" s="5" t="str">
        <x:v>templateId=coalicion o acuerdo_ley; actorId político; billId</x:v>
      </x:c>
      <x:c r="D36" s="5" t="str">
        <x:v>Tras firmar</x:v>
      </x:c>
      <x:c r="E36" s="5" t="str">
        <x:v>Oficialismo/aliados/oposición: compromiso de procedimiento se verifica con flag público al cierre; R+4 una vez; apoyo sólo a billId por 2 turnos. No usar compra de apoyo monetaria.</x:v>
      </x:c>
    </x:row>
    <x:row r="37" ht="88" customHeight="1">
      <x:c r="A37" s="10" t="str">
        <x:v>federal</x:v>
      </x:c>
      <x:c r="B37" s="10" t="str">
        <x:v>Convenio de ejecución</x:v>
      </x:c>
      <x:c r="C37" s="10" t="str">
        <x:v>templateId=pacto_federal; actorId=gobernadores; projectId</x:v>
      </x:c>
      <x:c r="D37" s="10" t="str">
        <x:v>Tras consulta registrada</x:v>
      </x:c>
      <x:c r="E37" s="10" t="str">
        <x:v>Implementación federal +15% sólo en projectId acordado. Nunca se suma con bonus federal genérico de 07: tomar el mayor.</x:v>
      </x:c>
    </x:row>
    <x:row r="38" ht="88" customHeight="1">
      <x:c r="A38" s="5" t="str">
        <x:v>price</x:v>
      </x:c>
      <x:c r="B38" s="5" t="str">
        <x:v>Acuerdo de precios</x:v>
      </x:c>
      <x:c r="C38" s="5" t="str">
        <x:v>templateId=acuerdo_precios; actores industria y pymes</x:v>
      </x:c>
      <x:c r="D38" s="5" t="str">
        <x:v>Antes de control_precios</x:v>
      </x:c>
      <x:c r="E38" s="5" t="str">
        <x:v>Reunión con ambos, negociación y firmas por actor. Obligación pública: política temporal de 2 turnos. Verificar ejecución después de firma; no exige inflación ya baja.</x:v>
      </x:c>
    </x:row>
    <x:row r="39" ht="88" customHeight="1">
      <x:c r="A39" s="10" t="str">
        <x:v>debt</x:v>
      </x:c>
      <x:c r="B39" s="10" t="str">
        <x:v>Reperfilamiento</x:v>
      </x:c>
      <x:c r="C39" s="10" t="str">
        <x:v>templateId=reperfilamiento; actorId=financiero; selectedLoanId</x:v>
      </x:c>
      <x:c r="D39" s="10" t="str">
        <x:v>Antes del vencimiento</x:v>
      </x:c>
      <x:c r="E39" s="10" t="str">
        <x:v>Oferta contractual requiere R&gt;=10, fiscal&gt;=25 y vencimiento&lt;=2 turnos. El costo financiero ×1,25 refleja contraprestación, no premio por firmar. Firma habilita modificar contrato; no borra principal.</x:v>
      </x:c>
    </x:row>
    <x:row r="40" ht="88" customHeight="1">
      <x:c r="A40" s="5" t="str">
        <x:v>labor</x:v>
      </x:c>
      <x:c r="B40" s="5" t="str">
        <x:v>Pacto laboral</x:v>
      </x:c>
      <x:c r="C40" s="5" t="str">
        <x:v>templateId=pacto_laboral; actorId=sindicatos; ingreso_real</x:v>
      </x:c>
      <x:c r="D40" s="5" t="str">
        <x:v>Al cumplir aumento de ingreso &gt;=3</x:v>
      </x:c>
      <x:c r="E40" s="5" t="str">
        <x:v>Canal positivo t+1..t+4 si S y R alcanzan umbrales. El aumento salarial público sólo exige reunión, no pacto firmado.</x:v>
      </x:c>
    </x:row>
    <x:row r="41" ht="88" customHeight="1">
      <x:c r="A41" s="10" t="str">
        <x:v>environment</x:v>
      </x:c>
      <x:c r="B41" s="10" t="str">
        <x:v>Pacto ambiental</x:v>
      </x:c>
      <x:c r="C41" s="10" t="str">
        <x:v>templateId=pacto_ambiental; actorId=ambientalistas; projectId</x:v>
      </x:c>
      <x:c r="D41" s="10" t="str">
        <x:v>Al cumplir ambiente &gt;=baseline+3</x:v>
      </x:c>
      <x:c r="E41" s="10" t="str">
        <x:v>Mitiga fricción del proyecto elegido; no modifica ambiente al firmar.</x:v>
      </x:c>
    </x:row>
    <x:row r="42" ht="88" customHeight="1">
      <x:c r="A42" s="5" t="str">
        <x:v>relationship</x:v>
      </x:c>
      <x:c r="B42" s="5" t="str">
        <x:v>Persistencia</x:v>
      </x:c>
      <x:c r="C42" s="5" t="str">
        <x:v>R entre 0 y 100</x:v>
      </x:c>
      <x:c r="D42" s="5" t="str">
        <x:v>Cada cierre</x:v>
      </x:c>
      <x:c r="E42" s="5" t="str">
        <x:v>R inicial de 02. Cambia sólo por compromisos y ruptura deliberada (R−12, una vez); sin +2 por reunión ni decaimiento universal por no visitar 18 actores.</x:v>
      </x:c>
    </x:row>
    <x:row r="43" ht="88" customHeight="1">
      <x:c r="A43" s="10" t="str">
        <x:v>demand</x:v>
      </x:c>
      <x:c r="B43" s="10" t="str">
        <x:v>Demandas</x:v>
      </x:c>
      <x:c r="C43" s="10" t="str">
        <x:v>UnmetPriority(actor)</x:v>
      </x:c>
      <x:c r="D43" s="10" t="str">
        <x:v>Cada 4 turnos por actor</x:v>
      </x:c>
      <x:c r="E43" s="10" t="str">
        <x:v>Elegir menor utilidad entre indicadores con peso&gt;=6. Empates: mayor peso, luego indicatorId. Si utilidad&gt;=65 no genera demanda. No demandar leyes bloqueadas sin ruta de desbloqueo.</x:v>
      </x:c>
    </x:row>
  </x:sheetData>
  <x:pageMargins left="0.7" right="0.7" top="0.75" bottom="0.75" header="0.3" footer="0.3"/>
  <x:tableParts count="2">
    <x:tablePart xmlns:r="http://schemas.openxmlformats.org/officeDocument/2006/relationships" r:id="R75abd4975bc4436c"/>
    <x:tablePart xmlns:r="http://schemas.openxmlformats.org/officeDocument/2006/relationships" r:id="R71bc556243494c25"/>
  </x:tableParts>
</x:worksheet>
</file>

<file path=xl/worksheets/sheet10.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30" hidden="0" customWidth="1"/>
    <x:col min="2" max="2" width="36" hidden="0" customWidth="1"/>
    <x:col min="3" max="3" width="20" hidden="0" customWidth="1"/>
    <x:col min="4" max="4" width="18" hidden="0" customWidth="1"/>
    <x:col min="5" max="5" width="19" hidden="0" customWidth="1"/>
    <x:col min="6" max="6" width="55" hidden="0" customWidth="1"/>
    <x:col min="7" max="7" width="20" hidden="0" customWidth="1"/>
    <x:col min="8" max="8" width="20" hidden="0" customWidth="1"/>
    <x:col min="9" max="9" width="30" hidden="0" customWidth="1"/>
    <x:col min="10" max="10" width="80" hidden="0" customWidth="1"/>
    <x:col min="11" max="11" width="76" hidden="0" customWidth="1"/>
    <x:col min="12" max="12" width="65" hidden="0" customWidth="1"/>
    <x:col min="13" max="13" width="55" hidden="0" customWidth="1"/>
    <x:col min="14" max="14" width="62" hidden="0" customWidth="1"/>
  </x:cols>
  <x:sheetData>
    <x:row r="2" ht="28" customHeight="1">
      <x:c r="A2" s="1" t="str">
        <x:v>Auditoría de las 61 acciones</x:v>
      </x:c>
    </x:row>
    <x:row r="3" ht="23" customHeight="1">
      <x:c r="A3" s="11" t="str">
        <x:v>61/61 filas trazadas. Fuente: GobernArg_Acciones_Actuales_2026-09-23.xlsx, Acciones actuales; actionRegistry.ts.</x:v>
      </x:c>
    </x:row>
    <x:row r="5" ht="42" customHeight="1">
      <x:c r="A5" s="9" t="str">
        <x:v>ID actual</x:v>
      </x:c>
      <x:c r="B5" s="9" t="str">
        <x:v>Nombre actual</x:v>
      </x:c>
      <x:c r="C5" s="9" t="str">
        <x:v>Categoría actual</x:v>
      </x:c>
      <x:c r="D5" s="9" t="str">
        <x:v>Caja actual U</x:v>
      </x:c>
      <x:c r="E5" s="9" t="str">
        <x:v>Popularidad actual</x:v>
      </x:c>
      <x:c r="F5" s="9" t="str">
        <x:v>Grupo directo actual</x:v>
      </x:c>
      <x:c r="G5" s="9" t="str">
        <x:v>Cooldown actual</x:v>
      </x:c>
      <x:c r="H5" s="9" t="str">
        <x:v>Decisión</x:v>
      </x:c>
      <x:c r="I5" s="9" t="str">
        <x:v>Destino propuesto</x:v>
      </x:c>
      <x:c r="J5" s="9" t="str">
        <x:v>Justificación</x:v>
      </x:c>
      <x:c r="K5" s="9" t="str">
        <x:v>Migración común</x:v>
      </x:c>
      <x:c r="L5" s="9" t="str">
        <x:v>Condición actual</x:v>
      </x:c>
      <x:c r="M5" s="9" t="str">
        <x:v>Futuros actuales</x:v>
      </x:c>
      <x:c r="N5" s="9" t="str">
        <x:v>Fuente</x:v>
      </x:c>
    </x:row>
    <x:row r="6" ht="42" customHeight="1">
      <x:c r="A6" s="5" t="str">
        <x:v>emitir_dinero</x:v>
      </x:c>
      <x:c r="B6" s="5" t="str">
        <x:v>Emitir Dinero</x:v>
      </x:c>
      <x:c r="C6" s="5" t="str">
        <x:v>economia</x:v>
      </x:c>
      <x:c r="D6" s="5" t="n">
        <x:v>150</x:v>
      </x:c>
      <x:c r="E6" s="5" t="n">
        <x:v>3</x:v>
      </x:c>
      <x:c r="F6" s="5" t="str">
        <x:v>—</x:v>
      </x:c>
      <x:c r="G6" s="5" t="n">
        <x:v>3</x:v>
      </x:c>
      <x:c r="H6" s="5" t="str">
        <x:v>modificar</x:v>
      </x:c>
      <x:c r="I6" s="5" t="str">
        <x:v>emitir_dinero</x:v>
      </x:c>
      <x:c r="J6" s="5" t="str">
        <x:v>Resuelve caja hoy a cambio de riesgo acumulado.</x:v>
      </x:c>
      <x:c r="K6" s="5" t="str">
        <x:v>Retirar popularidad, voto, antagonismo, mantenimiento genérico y retornos por categoría. Aplicar sólo 05.</x:v>
      </x:c>
      <x:c r="L6" s="5" t="str">
        <x:v>Sin condición adicional declarada</x:v>
      </x:c>
      <x:c r="M6" s="5" t="str">
        <x:v>—</x:v>
      </x:c>
      <x:c r="N6" s="5" t="str">
        <x:v>Dump 23-09-2026; registry idéntico en ambas carpetas</x:v>
      </x:c>
    </x:row>
    <x:row r="7" ht="42" customHeight="1">
      <x:c r="A7" s="10" t="str">
        <x:v>mejorar_recaudacion</x:v>
      </x:c>
      <x:c r="B7" s="10" t="str">
        <x:v>Mejorar Recaudación</x:v>
      </x:c>
      <x:c r="C7" s="10" t="str">
        <x:v>economia</x:v>
      </x:c>
      <x:c r="D7" s="10" t="n">
        <x:v>250</x:v>
      </x:c>
      <x:c r="E7" s="10" t="n">
        <x:v>-8</x:v>
      </x:c>
      <x:c r="F7" s="10" t="str">
        <x:v>—</x:v>
      </x:c>
      <x:c r="G7" s="10" t="n">
        <x:v>3</x:v>
      </x:c>
      <x:c r="H7" s="10" t="str">
        <x:v>modificar</x:v>
      </x:c>
      <x:c r="I7" s="10" t="str">
        <x:v>mejorar_recaudacion</x:v>
      </x:c>
      <x:c r="J7" s="10" t="str">
        <x:v>Invierte antes de recaudar; no es subir alícuotas.</x:v>
      </x:c>
      <x:c r="K7" s="10" t="str">
        <x:v>Retirar popularidad, voto, antagonismo, mantenimiento genérico y retornos por categoría. Aplicar sólo 05.</x:v>
      </x:c>
      <x:c r="L7" s="10" t="str">
        <x:v>Sin condición adicional declarada</x:v>
      </x:c>
      <x:c r="M7" s="10" t="str">
        <x:v>t+2:+50, t+3:+50, t+4:+50</x:v>
      </x:c>
      <x:c r="N7" s="10" t="str">
        <x:v>Dump 23-09-2026; registry idéntico en ambas carpetas</x:v>
      </x:c>
    </x:row>
    <x:row r="8" ht="42" customHeight="1">
      <x:c r="A8" s="5" t="str">
        <x:v>subsidios_industriales</x:v>
      </x:c>
      <x:c r="B8" s="5" t="str">
        <x:v>Subsidios Industriales</x:v>
      </x:c>
      <x:c r="C8" s="5" t="str">
        <x:v>economia</x:v>
      </x:c>
      <x:c r="D8" s="5" t="n">
        <x:v>-300</x:v>
      </x:c>
      <x:c r="E8" s="5" t="n">
        <x:v>10</x:v>
      </x:c>
      <x:c r="F8" s="5" t="str">
        <x:v>empresarios +8, sindicatos +8, sector-financiero −9, ongs −6</x:v>
      </x:c>
      <x:c r="G8" s="5" t="n">
        <x:v>3</x:v>
      </x:c>
      <x:c r="H8" s="5" t="str">
        <x:v>modificar</x:v>
      </x:c>
      <x:c r="I8" s="5" t="str">
        <x:v>subsidios_industriales</x:v>
      </x:c>
      <x:c r="J8" s="5" t="str">
        <x:v>Sostiene actividad con costo recurrente y presión ambiental.</x:v>
      </x:c>
      <x:c r="K8" s="5" t="str">
        <x:v>Retirar popularidad, voto, antagonismo, mantenimiento genérico y retornos por categoría. Aplicar sólo 05.</x:v>
      </x:c>
      <x:c r="L8" s="5" t="str">
        <x:v>Sin condición adicional declarada</x:v>
      </x:c>
      <x:c r="M8" s="5" t="str">
        <x:v>—</x:v>
      </x:c>
      <x:c r="N8" s="5" t="str">
        <x:v>Dump 23-09-2026; registry idéntico en ambas carpetas</x:v>
      </x:c>
    </x:row>
    <x:row r="9" ht="42" customHeight="1">
      <x:c r="A9" s="10" t="str">
        <x:v>reforma_impositiva</x:v>
      </x:c>
      <x:c r="B9" s="10" t="str">
        <x:v>Reforma Impositiva</x:v>
      </x:c>
      <x:c r="C9" s="10" t="str">
        <x:v>economia</x:v>
      </x:c>
      <x:c r="D9" s="10" t="n">
        <x:v>400</x:v>
      </x:c>
      <x:c r="E9" s="10" t="n">
        <x:v>-10</x:v>
      </x:c>
      <x:c r="F9" s="10" t="str">
        <x:v>—</x:v>
      </x:c>
      <x:c r="G9" s="10" t="n">
        <x:v>3</x:v>
      </x:c>
      <x:c r="H9" s="10" t="str">
        <x:v>modificar</x:v>
      </x:c>
      <x:c r="I9" s="10" t="str">
        <x:v>reforma_impositiva</x:v>
      </x:c>
      <x:c r="J9" s="10" t="str">
        <x:v>Mejora margen fiscal a costa de ingreso disponible.</x:v>
      </x:c>
      <x:c r="K9" s="10" t="str">
        <x:v>Retirar popularidad, voto, antagonismo, mantenimiento genérico y retornos por categoría. Aplicar sólo 05.</x:v>
      </x:c>
      <x:c r="L9" s="10" t="str">
        <x:v>mejorar_recaudacion + legislativeSupport≥45 (comentario código: potencialmente inalcanzable, se mantiene)</x:v>
      </x:c>
      <x:c r="M9" s="10" t="str">
        <x:v>—</x:v>
      </x:c>
      <x:c r="N9" s="10" t="str">
        <x:v>Dump 23-09-2026; registry idéntico en ambas carpetas</x:v>
      </x:c>
    </x:row>
    <x:row r="10" ht="42" customHeight="1">
      <x:c r="A10" s="5" t="str">
        <x:v>incentivos_exportacion</x:v>
      </x:c>
      <x:c r="B10" s="5" t="str">
        <x:v>Incentivos a la Exportación</x:v>
      </x:c>
      <x:c r="C10" s="5" t="str">
        <x:v>economia</x:v>
      </x:c>
      <x:c r="D10" s="5" t="n">
        <x:v>-250</x:v>
      </x:c>
      <x:c r="E10" s="5" t="n">
        <x:v>8</x:v>
      </x:c>
      <x:c r="F10" s="5" t="str">
        <x:v>—</x:v>
      </x:c>
      <x:c r="G10" s="5" t="n">
        <x:v>3</x:v>
      </x:c>
      <x:c r="H10" s="5" t="str">
        <x:v>modificar</x:v>
      </x:c>
      <x:c r="I10" s="5" t="str">
        <x:v>incentivos_exportacion</x:v>
      </x:c>
      <x:c r="J10" s="5" t="str">
        <x:v>Mejora capacidad externa con resultado demorado.</x:v>
      </x:c>
      <x:c r="K10" s="5" t="str">
        <x:v>Retirar popularidad, voto, antagonismo, mantenimiento genérico y retornos por categoría. Aplicar sólo 05.</x:v>
      </x:c>
      <x:c r="L10" s="5" t="str">
        <x:v>Sin condición adicional declarada</x:v>
      </x:c>
      <x:c r="M10" s="5" t="str">
        <x:v>—</x:v>
      </x:c>
      <x:c r="N10" s="5" t="str">
        <x:v>Dump 23-09-2026; registry idéntico en ambas carpetas</x:v>
      </x:c>
    </x:row>
    <x:row r="11" ht="42" customHeight="1">
      <x:c r="A11" s="10" t="str">
        <x:v>control_precios</x:v>
      </x:c>
      <x:c r="B11" s="10" t="str">
        <x:v>Control de Precios</x:v>
      </x:c>
      <x:c r="C11" s="10" t="str">
        <x:v>economia</x:v>
      </x:c>
      <x:c r="D11" s="10" t="n">
        <x:v>-150</x:v>
      </x:c>
      <x:c r="E11" s="10" t="n">
        <x:v>15</x:v>
      </x:c>
      <x:c r="F11" s="10" t="str">
        <x:v>—</x:v>
      </x:c>
      <x:c r="G11" s="10" t="n">
        <x:v>1</x:v>
      </x:c>
      <x:c r="H11" s="10" t="str">
        <x:v>modificar</x:v>
      </x:c>
      <x:c r="I11" s="10" t="str">
        <x:v>control_precios</x:v>
      </x:c>
      <x:c r="J11" s="10" t="str">
        <x:v>Alivia presión observada, pero puede tensionar oferta.</x:v>
      </x:c>
      <x:c r="K11" s="10" t="str">
        <x:v>Retirar popularidad, voto, antagonismo, mantenimiento genérico y retornos por categoría. Aplicar sólo 05.</x:v>
      </x:c>
      <x:c r="L11" s="10" t="str">
        <x:v>Sin condición adicional declarada</x:v>
      </x:c>
      <x:c r="M11" s="10" t="str">
        <x:v>—</x:v>
      </x:c>
      <x:c r="N11" s="10" t="str">
        <x:v>Dump 23-09-2026; registry idéntico en ambas carpetas</x:v>
      </x:c>
    </x:row>
    <x:row r="12" ht="42" customHeight="1">
      <x:c r="A12" s="5" t="str">
        <x:v>fomento_emprendimiento</x:v>
      </x:c>
      <x:c r="B12" s="5" t="str">
        <x:v>Fomento al Emprendimiento</x:v>
      </x:c>
      <x:c r="C12" s="5" t="str">
        <x:v>economia</x:v>
      </x:c>
      <x:c r="D12" s="5" t="n">
        <x:v>-200</x:v>
      </x:c>
      <x:c r="E12" s="5" t="n">
        <x:v>12</x:v>
      </x:c>
      <x:c r="F12" s="5" t="str">
        <x:v>empresarios +9.6, cooperativas +6, clase-media +8.4</x:v>
      </x:c>
      <x:c r="G12" s="5" t="n">
        <x:v>3</x:v>
      </x:c>
      <x:c r="H12" s="5" t="str">
        <x:v>fusionar</x:v>
      </x:c>
      <x:c r="I12" s="5" t="str">
        <x:v>credito_pyme</x:v>
      </x:c>
      <x:c r="J12" s="5" t="str">
        <x:v>Su financiamiento productivo queda en garantías PyME; formación queda en empleo joven.</x:v>
      </x:c>
      <x:c r="K12" s="5" t="str">
        <x:v>Retirar popularidad, voto, antagonismo, mantenimiento genérico y retornos por categoría. Aplicar sólo 05.</x:v>
      </x:c>
      <x:c r="L12" s="5" t="str">
        <x:v>Sin condición adicional declarada</x:v>
      </x:c>
      <x:c r="M12" s="5" t="str">
        <x:v>t+4:+30, t+5:+30, t+6:+30</x:v>
      </x:c>
      <x:c r="N12" s="5" t="str">
        <x:v>Dump 23-09-2026; registry idéntico en ambas carpetas</x:v>
      </x:c>
    </x:row>
    <x:row r="13" ht="42" customHeight="1">
      <x:c r="A13" s="10" t="str">
        <x:v>aumento_salarial</x:v>
      </x:c>
      <x:c r="B13" s="10" t="str">
        <x:v>Aumento Salarial General</x:v>
      </x:c>
      <x:c r="C13" s="10" t="str">
        <x:v>economia</x:v>
      </x:c>
      <x:c r="D13" s="10" t="n">
        <x:v>-400</x:v>
      </x:c>
      <x:c r="E13" s="10" t="n">
        <x:v>20</x:v>
      </x:c>
      <x:c r="F13" s="10" t="str">
        <x:v>—</x:v>
      </x:c>
      <x:c r="G13" s="10" t="n">
        <x:v>3</x:v>
      </x:c>
      <x:c r="H13" s="10" t="str">
        <x:v>modificar</x:v>
      </x:c>
      <x:c r="I13" s="10" t="str">
        <x:v>aumento_salarial</x:v>
      </x:c>
      <x:c r="J13" s="10" t="str">
        <x:v>Mejora compra con gasto recurrente y presión según contexto.</x:v>
      </x:c>
      <x:c r="K13" s="10" t="str">
        <x:v>Retirar popularidad, voto, antagonismo, mantenimiento genérico y retornos por categoría. Aplicar sólo 05.</x:v>
      </x:c>
      <x:c r="L13" s="10" t="str">
        <x:v>Sin condición adicional declarada</x:v>
      </x:c>
      <x:c r="M13" s="10" t="str">
        <x:v>—</x:v>
      </x:c>
      <x:c r="N13" s="10" t="str">
        <x:v>Dump 23-09-2026; registry idéntico en ambas carpetas</x:v>
      </x:c>
    </x:row>
    <x:row r="14" ht="42" customHeight="1">
      <x:c r="A14" s="5" t="str">
        <x:v>reduccion_gasto</x:v>
      </x:c>
      <x:c r="B14" s="5" t="str">
        <x:v>Reducción del Gasto Público</x:v>
      </x:c>
      <x:c r="C14" s="5" t="str">
        <x:v>economia</x:v>
      </x:c>
      <x:c r="D14" s="5" t="n">
        <x:v>300</x:v>
      </x:c>
      <x:c r="E14" s="5" t="n">
        <x:v>-20</x:v>
      </x:c>
      <x:c r="F14" s="5" t="str">
        <x:v>—</x:v>
      </x:c>
      <x:c r="G14" s="5" t="n">
        <x:v>3</x:v>
      </x:c>
      <x:c r="H14" s="5" t="str">
        <x:v>modificar</x:v>
      </x:c>
      <x:c r="I14" s="5" t="str">
        <x:v>reduccion_gasto</x:v>
      </x:c>
      <x:c r="J14" s="5" t="str">
        <x:v>Recupera margen fiscal con costo social.</x:v>
      </x:c>
      <x:c r="K14" s="5" t="str">
        <x:v>Retirar popularidad, voto, antagonismo, mantenimiento genérico y retornos por categoría. Aplicar sólo 05.</x:v>
      </x:c>
      <x:c r="L14" s="5" t="str">
        <x:v>Sin condición adicional declarada</x:v>
      </x:c>
      <x:c r="M14" s="5" t="str">
        <x:v>—</x:v>
      </x:c>
      <x:c r="N14" s="5" t="str">
        <x:v>Dump 23-09-2026; registry idéntico en ambas carpetas</x:v>
      </x:c>
    </x:row>
    <x:row r="15" ht="42" customHeight="1">
      <x:c r="A15" s="10" t="str">
        <x:v>prestamo_internacional</x:v>
      </x:c>
      <x:c r="B15" s="10" t="str">
        <x:v>Préstamo Internacional</x:v>
      </x:c>
      <x:c r="C15" s="10" t="str">
        <x:v>economia</x:v>
      </x:c>
      <x:c r="D15" s="10" t="n">
        <x:v>800</x:v>
      </x:c>
      <x:c r="E15" s="10" t="n">
        <x:v>-5</x:v>
      </x:c>
      <x:c r="F15" s="10" t="str">
        <x:v>—</x:v>
      </x:c>
      <x:c r="G15" s="10" t="n">
        <x:v>8</x:v>
      </x:c>
      <x:c r="H15" s="10" t="str">
        <x:v>modificar</x:v>
      </x:c>
      <x:c r="I15" s="10" t="str">
        <x:v>prestamo_internacional</x:v>
      </x:c>
      <x:c r="J15" s="10" t="str">
        <x:v>Más caja y vencimiento explícito. No crea margen fiscal.</x:v>
      </x:c>
      <x:c r="K15" s="10" t="str">
        <x:v>Retirar popularidad, voto, antagonismo, mantenimiento genérico y retornos por categoría. Aplicar sólo 05.</x:v>
      </x:c>
      <x:c r="L15" s="10" t="str">
        <x:v>mejorar_recaudacion · solo si dificultad loansAvailable</x:v>
      </x:c>
      <x:c r="M15" s="10" t="str">
        <x:v>t+4:−100 pop−3</x:v>
      </x:c>
      <x:c r="N15" s="10" t="str">
        <x:v>Dump 23-09-2026; registry idéntico en ambas carpetas</x:v>
      </x:c>
    </x:row>
    <x:row r="16" ht="42" customHeight="1">
      <x:c r="A16" s="5" t="str">
        <x:v>prestamo_local</x:v>
      </x:c>
      <x:c r="B16" s="5" t="str">
        <x:v>Préstamo Local</x:v>
      </x:c>
      <x:c r="C16" s="5" t="str">
        <x:v>economia</x:v>
      </x:c>
      <x:c r="D16" s="5" t="n">
        <x:v>500</x:v>
      </x:c>
      <x:c r="E16" s="5" t="n">
        <x:v>-3</x:v>
      </x:c>
      <x:c r="F16" s="5" t="str">
        <x:v>—</x:v>
      </x:c>
      <x:c r="G16" s="5" t="n">
        <x:v>8</x:v>
      </x:c>
      <x:c r="H16" s="5" t="str">
        <x:v>modificar</x:v>
      </x:c>
      <x:c r="I16" s="5" t="str">
        <x:v>prestamo_local</x:v>
      </x:c>
      <x:c r="J16" s="5" t="str">
        <x:v>Menor plazo y desplazamiento temporal de crédito privado.</x:v>
      </x:c>
      <x:c r="K16" s="5" t="str">
        <x:v>Retirar popularidad, voto, antagonismo, mantenimiento genérico y retornos por categoría. Aplicar sólo 05.</x:v>
      </x:c>
      <x:c r="L16" s="5" t="str">
        <x:v>solo si dificultad loansAvailable</x:v>
      </x:c>
      <x:c r="M16" s="5" t="str">
        <x:v>t+3:−75 pop−2</x:v>
      </x:c>
      <x:c r="N16" s="5" t="str">
        <x:v>Dump 23-09-2026; registry idéntico en ambas carpetas</x:v>
      </x:c>
    </x:row>
    <x:row r="17" ht="42" customHeight="1">
      <x:c r="A17" s="10" t="str">
        <x:v>atraccion_inversiones</x:v>
      </x:c>
      <x:c r="B17" s="10" t="str">
        <x:v>Atracción de Inversiones</x:v>
      </x:c>
      <x:c r="C17" s="10" t="str">
        <x:v>economia</x:v>
      </x:c>
      <x:c r="D17" s="10" t="n">
        <x:v>-200</x:v>
      </x:c>
      <x:c r="E17" s="10" t="n">
        <x:v>10</x:v>
      </x:c>
      <x:c r="F17" s="10" t="str">
        <x:v>—</x:v>
      </x:c>
      <x:c r="G17" s="10" t="n">
        <x:v>3</x:v>
      </x:c>
      <x:c r="H17" s="10" t="str">
        <x:v>modificar</x:v>
      </x:c>
      <x:c r="I17" s="10" t="str">
        <x:v>atraccion_inversiones</x:v>
      </x:c>
      <x:c r="J17" s="10" t="str">
        <x:v>Beneficio sólo si hay crédito y garantías públicas suficientes.</x:v>
      </x:c>
      <x:c r="K17" s="10" t="str">
        <x:v>Retirar popularidad, voto, antagonismo, mantenimiento genérico y retornos por categoría. Aplicar sólo 05.</x:v>
      </x:c>
      <x:c r="L17" s="10" t="str">
        <x:v>Sin condición adicional declarada</x:v>
      </x:c>
      <x:c r="M17" s="10" t="str">
        <x:v>—</x:v>
      </x:c>
      <x:c r="N17" s="10" t="str">
        <x:v>Dump 23-09-2026; registry idéntico en ambas carpetas</x:v>
      </x:c>
    </x:row>
    <x:row r="18" ht="42" customHeight="1">
      <x:c r="A18" s="5" t="str">
        <x:v>plan_viviendas</x:v>
      </x:c>
      <x:c r="B18" s="5" t="str">
        <x:v>Plan de Viviendas</x:v>
      </x:c>
      <x:c r="C18" s="5" t="str">
        <x:v>social</x:v>
      </x:c>
      <x:c r="D18" s="5" t="n">
        <x:v>-400</x:v>
      </x:c>
      <x:c r="E18" s="5" t="n">
        <x:v>20</x:v>
      </x:c>
      <x:c r="F18" s="5" t="str">
        <x:v>sectores-populares +12</x:v>
      </x:c>
      <x:c r="G18" s="5" t="n">
        <x:v>3</x:v>
      </x:c>
      <x:c r="H18" s="5" t="str">
        <x:v>modificar</x:v>
      </x:c>
      <x:c r="I18" s="5" t="str">
        <x:v>plan_viviendas</x:v>
      </x:c>
      <x:c r="J18" s="5" t="str">
        <x:v>Beneficio de cobertura demorado; paga operación luego.</x:v>
      </x:c>
      <x:c r="K18" s="5" t="str">
        <x:v>Retirar popularidad, voto, antagonismo, mantenimiento genérico y retornos por categoría. Aplicar sólo 05.</x:v>
      </x:c>
      <x:c r="L18" s="5" t="str">
        <x:v>Sin condición adicional declarada</x:v>
      </x:c>
      <x:c r="M18" s="5" t="str">
        <x:v>t+3:−50 pop+5, t+6:+0 pop+8</x:v>
      </x:c>
      <x:c r="N18" s="5" t="str">
        <x:v>Dump 23-09-2026; registry idéntico en ambas carpetas</x:v>
      </x:c>
    </x:row>
    <x:row r="19" ht="42" customHeight="1">
      <x:c r="A19" s="10" t="str">
        <x:v>programa_educativo</x:v>
      </x:c>
      <x:c r="B19" s="10" t="str">
        <x:v>Programa Educativo</x:v>
      </x:c>
      <x:c r="C19" s="10" t="str">
        <x:v>social</x:v>
      </x:c>
      <x:c r="D19" s="10" t="n">
        <x:v>-300</x:v>
      </x:c>
      <x:c r="E19" s="10" t="n">
        <x:v>15</x:v>
      </x:c>
      <x:c r="F19" s="10" t="str">
        <x:v>—</x:v>
      </x:c>
      <x:c r="G19" s="10" t="n">
        <x:v>3</x:v>
      </x:c>
      <x:c r="H19" s="10" t="str">
        <x:v>modificar</x:v>
      </x:c>
      <x:c r="I19" s="10" t="str">
        <x:v>programa_educativo</x:v>
      </x:c>
      <x:c r="J19" s="10" t="str">
        <x:v>Mejora educativa sostenida con operación permanente.</x:v>
      </x:c>
      <x:c r="K19" s="10" t="str">
        <x:v>Retirar popularidad, voto, antagonismo, mantenimiento genérico y retornos por categoría. Aplicar sólo 05.</x:v>
      </x:c>
      <x:c r="L19" s="10" t="str">
        <x:v>Sin condición adicional declarada</x:v>
      </x:c>
      <x:c r="M19" s="10" t="str">
        <x:v>—</x:v>
      </x:c>
      <x:c r="N19" s="10" t="str">
        <x:v>Dump 23-09-2026; registry idéntico en ambas carpetas</x:v>
      </x:c>
    </x:row>
    <x:row r="20" ht="42" customHeight="1">
      <x:c r="A20" s="5" t="str">
        <x:v>salud_preventiva</x:v>
      </x:c>
      <x:c r="B20" s="5" t="str">
        <x:v>Programa de Salud Preventiva</x:v>
      </x:c>
      <x:c r="C20" s="5" t="str">
        <x:v>social</x:v>
      </x:c>
      <x:c r="D20" s="5" t="n">
        <x:v>-350</x:v>
      </x:c>
      <x:c r="E20" s="5" t="n">
        <x:v>18</x:v>
      </x:c>
      <x:c r="F20" s="5" t="str">
        <x:v>—</x:v>
      </x:c>
      <x:c r="G20" s="5" t="n">
        <x:v>3</x:v>
      </x:c>
      <x:c r="H20" s="5" t="str">
        <x:v>modificar</x:v>
      </x:c>
      <x:c r="I20" s="5" t="str">
        <x:v>salud_preventiva</x:v>
      </x:c>
      <x:c r="J20" s="5" t="str">
        <x:v>Retorno más rápido y pequeño que hospitales.</x:v>
      </x:c>
      <x:c r="K20" s="5" t="str">
        <x:v>Retirar popularidad, voto, antagonismo, mantenimiento genérico y retornos por categoría. Aplicar sólo 05.</x:v>
      </x:c>
      <x:c r="L20" s="5" t="str">
        <x:v>Sin condición adicional declarada</x:v>
      </x:c>
      <x:c r="M20" s="5" t="str">
        <x:v>—</x:v>
      </x:c>
      <x:c r="N20" s="5" t="str">
        <x:v>Dump 23-09-2026; registry idéntico en ambas carpetas</x:v>
      </x:c>
    </x:row>
    <x:row r="21" ht="42" customHeight="1">
      <x:c r="A21" s="10" t="str">
        <x:v>empleo_joven</x:v>
      </x:c>
      <x:c r="B21" s="10" t="str">
        <x:v>Programa de Empleo Joven</x:v>
      </x:c>
      <x:c r="C21" s="10" t="str">
        <x:v>social</x:v>
      </x:c>
      <x:c r="D21" s="10" t="n">
        <x:v>-250</x:v>
      </x:c>
      <x:c r="E21" s="10" t="n">
        <x:v>15</x:v>
      </x:c>
      <x:c r="F21" s="10" t="str">
        <x:v>—</x:v>
      </x:c>
      <x:c r="G21" s="10" t="n">
        <x:v>3</x:v>
      </x:c>
      <x:c r="H21" s="10" t="str">
        <x:v>modificar</x:v>
      </x:c>
      <x:c r="I21" s="10" t="str">
        <x:v>empleo_joven</x:v>
      </x:c>
      <x:c r="J21" s="10" t="str">
        <x:v>Retorno laboral limitado por demanda.</x:v>
      </x:c>
      <x:c r="K21" s="10" t="str">
        <x:v>Retirar popularidad, voto, antagonismo, mantenimiento genérico y retornos por categoría. Aplicar sólo 05.</x:v>
      </x:c>
      <x:c r="L21" s="10" t="str">
        <x:v>Sin condición adicional declarada</x:v>
      </x:c>
      <x:c r="M21" s="10" t="str">
        <x:v>—</x:v>
      </x:c>
      <x:c r="N21" s="10" t="str">
        <x:v>Dump 23-09-2026; registry idéntico en ambas carpetas</x:v>
      </x:c>
    </x:row>
    <x:row r="22" ht="42" customHeight="1">
      <x:c r="A22" s="5" t="str">
        <x:v>cobertura_social</x:v>
      </x:c>
      <x:c r="B22" s="5" t="str">
        <x:v>Ampliación de Cobertura Social</x:v>
      </x:c>
      <x:c r="C22" s="5" t="str">
        <x:v>social</x:v>
      </x:c>
      <x:c r="D22" s="5" t="n">
        <x:v>-400</x:v>
      </x:c>
      <x:c r="E22" s="5" t="n">
        <x:v>20</x:v>
      </x:c>
      <x:c r="F22" s="5" t="str">
        <x:v>sectores-populares +12</x:v>
      </x:c>
      <x:c r="G22" s="5" t="n">
        <x:v>3</x:v>
      </x:c>
      <x:c r="H22" s="5" t="str">
        <x:v>modificar</x:v>
      </x:c>
      <x:c r="I22" s="5" t="str">
        <x:v>cobertura_social</x:v>
      </x:c>
      <x:c r="J22" s="5" t="str">
        <x:v>Contiene vulnerabilidad con obligación recurrente.</x:v>
      </x:c>
      <x:c r="K22" s="5" t="str">
        <x:v>Retirar popularidad, voto, antagonismo, mantenimiento genérico y retornos por categoría. Aplicar sólo 05.</x:v>
      </x:c>
      <x:c r="L22" s="5" t="str">
        <x:v>Sin condición adicional declarada</x:v>
      </x:c>
      <x:c r="M22" s="5" t="str">
        <x:v>—</x:v>
      </x:c>
      <x:c r="N22" s="5" t="str">
        <x:v>Dump 23-09-2026; registry idéntico en ambas carpetas</x:v>
      </x:c>
    </x:row>
    <x:row r="23" ht="42" customHeight="1">
      <x:c r="A23" s="10" t="str">
        <x:v>alfabetizacion</x:v>
      </x:c>
      <x:c r="B23" s="10" t="str">
        <x:v>Campaña de Alfabetización</x:v>
      </x:c>
      <x:c r="C23" s="10" t="str">
        <x:v>social</x:v>
      </x:c>
      <x:c r="D23" s="10" t="n">
        <x:v>-200</x:v>
      </x:c>
      <x:c r="E23" s="10" t="n">
        <x:v>12</x:v>
      </x:c>
      <x:c r="F23" s="10" t="str">
        <x:v>—</x:v>
      </x:c>
      <x:c r="G23" s="10" t="n">
        <x:v>3</x:v>
      </x:c>
      <x:c r="H23" s="10" t="str">
        <x:v>modificar</x:v>
      </x:c>
      <x:c r="I23" s="10" t="str">
        <x:v>alfabetizacion</x:v>
      </x:c>
      <x:c r="J23" s="10" t="str">
        <x:v>Más eficaz con educación baja.</x:v>
      </x:c>
      <x:c r="K23" s="10" t="str">
        <x:v>Retirar popularidad, voto, antagonismo, mantenimiento genérico y retornos por categoría. Aplicar sólo 05.</x:v>
      </x:c>
      <x:c r="L23" s="10" t="str">
        <x:v>Sin condición adicional declarada</x:v>
      </x:c>
      <x:c r="M23" s="10" t="str">
        <x:v>—</x:v>
      </x:c>
      <x:c r="N23" s="10" t="str">
        <x:v>Dump 23-09-2026; registry idéntico en ambas carpetas</x:v>
      </x:c>
    </x:row>
    <x:row r="24" ht="42" customHeight="1">
      <x:c r="A24" s="5" t="str">
        <x:v>inclusion_digital</x:v>
      </x:c>
      <x:c r="B24" s="5" t="str">
        <x:v>Plan de Inclusión Digital</x:v>
      </x:c>
      <x:c r="C24" s="5" t="str">
        <x:v>social</x:v>
      </x:c>
      <x:c r="D24" s="5" t="n">
        <x:v>-300</x:v>
      </x:c>
      <x:c r="E24" s="5" t="n">
        <x:v>15</x:v>
      </x:c>
      <x:c r="F24" s="5" t="str">
        <x:v>—</x:v>
      </x:c>
      <x:c r="G24" s="5" t="n">
        <x:v>3</x:v>
      </x:c>
      <x:c r="H24" s="5" t="str">
        <x:v>fusionar</x:v>
      </x:c>
      <x:c r="I24" s="5" t="str">
        <x:v>plan_conectividad</x:v>
      </x:c>
      <x:c r="J24" s="5" t="str">
        <x:v>Acceso, redes y alfabetización digital en un único programa.</x:v>
      </x:c>
      <x:c r="K24" s="5" t="str">
        <x:v>Retirar popularidad, voto, antagonismo, mantenimiento genérico y retornos por categoría. Aplicar sólo 05.</x:v>
      </x:c>
      <x:c r="L24" s="5" t="str">
        <x:v>Sin condición adicional declarada</x:v>
      </x:c>
      <x:c r="M24" s="5" t="str">
        <x:v>—</x:v>
      </x:c>
      <x:c r="N24" s="5" t="str">
        <x:v>Dump 23-09-2026; registry idéntico en ambas carpetas</x:v>
      </x:c>
    </x:row>
    <x:row r="25" ht="42" customHeight="1">
      <x:c r="A25" s="10" t="str">
        <x:v>programa_alimentario</x:v>
      </x:c>
      <x:c r="B25" s="10" t="str">
        <x:v>Programa Alimentario</x:v>
      </x:c>
      <x:c r="C25" s="10" t="str">
        <x:v>social</x:v>
      </x:c>
      <x:c r="D25" s="10" t="n">
        <x:v>-350</x:v>
      </x:c>
      <x:c r="E25" s="10" t="n">
        <x:v>20</x:v>
      </x:c>
      <x:c r="F25" s="10" t="str">
        <x:v>—</x:v>
      </x:c>
      <x:c r="G25" s="10" t="n">
        <x:v>3</x:v>
      </x:c>
      <x:c r="H25" s="10" t="str">
        <x:v>modificar</x:v>
      </x:c>
      <x:c r="I25" s="10" t="str">
        <x:v>programa_alimentario</x:v>
      </x:c>
      <x:c r="J25" s="10" t="str">
        <x:v>Rápido pero temporal. No reemplaza vivienda o empleo.</x:v>
      </x:c>
      <x:c r="K25" s="10" t="str">
        <x:v>Retirar popularidad, voto, antagonismo, mantenimiento genérico y retornos por categoría. Aplicar sólo 05.</x:v>
      </x:c>
      <x:c r="L25" s="10" t="str">
        <x:v>Sin condición adicional declarada</x:v>
      </x:c>
      <x:c r="M25" s="10" t="str">
        <x:v>—</x:v>
      </x:c>
      <x:c r="N25" s="10" t="str">
        <x:v>Dump 23-09-2026; registry idéntico en ambas carpetas</x:v>
      </x:c>
    </x:row>
    <x:row r="26" ht="42" customHeight="1">
      <x:c r="A26" s="5" t="str">
        <x:v>tercera_edad</x:v>
      </x:c>
      <x:c r="B26" s="5" t="str">
        <x:v>Asistencia a la Tercera Edad</x:v>
      </x:c>
      <x:c r="C26" s="5" t="str">
        <x:v>social</x:v>
      </x:c>
      <x:c r="D26" s="5" t="n">
        <x:v>-250</x:v>
      </x:c>
      <x:c r="E26" s="5" t="n">
        <x:v>15</x:v>
      </x:c>
      <x:c r="F26" s="5" t="str">
        <x:v>sectores-populares +9, clase-media +10.5, ongs +9</x:v>
      </x:c>
      <x:c r="G26" s="5" t="n">
        <x:v>3</x:v>
      </x:c>
      <x:c r="H26" s="5" t="str">
        <x:v>fusionar</x:v>
      </x:c>
      <x:c r="I26" s="5" t="str">
        <x:v>cobertura_social</x:v>
      </x:c>
      <x:c r="J26" s="5" t="str">
        <x:v>Focalización por hogares dependientes sin duplicar el indicador de cobertura.</x:v>
      </x:c>
      <x:c r="K26" s="5" t="str">
        <x:v>Retirar popularidad, voto, antagonismo, mantenimiento genérico y retornos por categoría. Aplicar sólo 05.</x:v>
      </x:c>
      <x:c r="L26" s="5" t="str">
        <x:v>Sin condición adicional declarada</x:v>
      </x:c>
      <x:c r="M26" s="5" t="str">
        <x:v>—</x:v>
      </x:c>
      <x:c r="N26" s="5" t="str">
        <x:v>Dump 23-09-2026; registry idéntico en ambas carpetas</x:v>
      </x:c>
    </x:row>
    <x:row r="27" ht="42" customHeight="1">
      <x:c r="A27" s="10" t="str">
        <x:v>igualdad_genero</x:v>
      </x:c>
      <x:c r="B27" s="10" t="str">
        <x:v>Plan de Igualdad de Género</x:v>
      </x:c>
      <x:c r="C27" s="10" t="str">
        <x:v>social</x:v>
      </x:c>
      <x:c r="D27" s="10" t="n">
        <x:v>-200</x:v>
      </x:c>
      <x:c r="E27" s="10" t="n">
        <x:v>15</x:v>
      </x:c>
      <x:c r="F27" s="10" t="str">
        <x:v>—</x:v>
      </x:c>
      <x:c r="G27" s="10" t="n">
        <x:v>3</x:v>
      </x:c>
      <x:c r="H27" s="10" t="str">
        <x:v>modificar</x:v>
      </x:c>
      <x:c r="I27" s="10" t="str">
        <x:v>igualdad_genero</x:v>
      </x:c>
      <x:c r="J27" s="10" t="str">
        <x:v>Dos resultados verificables, sin bono ideológico.</x:v>
      </x:c>
      <x:c r="K27" s="10" t="str">
        <x:v>Retirar popularidad, voto, antagonismo, mantenimiento genérico y retornos por categoría. Aplicar sólo 05.</x:v>
      </x:c>
      <x:c r="L27" s="10" t="str">
        <x:v>Sin condición adicional declarada</x:v>
      </x:c>
      <x:c r="M27" s="10" t="str">
        <x:v>—</x:v>
      </x:c>
      <x:c r="N27" s="10" t="str">
        <x:v>Dump 23-09-2026; registry idéntico en ambas carpetas</x:v>
      </x:c>
    </x:row>
    <x:row r="28" ht="42" customHeight="1">
      <x:c r="A28" s="5" t="str">
        <x:v>transporte_publico</x:v>
      </x:c>
      <x:c r="B28" s="5" t="str">
        <x:v>Transporte Público</x:v>
      </x:c>
      <x:c r="C28" s="5" t="str">
        <x:v>infraestructura</x:v>
      </x:c>
      <x:c r="D28" s="5" t="n">
        <x:v>-400</x:v>
      </x:c>
      <x:c r="E28" s="5" t="n">
        <x:v>15</x:v>
      </x:c>
      <x:c r="F28" s="5" t="str">
        <x:v>—</x:v>
      </x:c>
      <x:c r="G28" s="5" t="n">
        <x:v>3</x:v>
      </x:c>
      <x:c r="H28" s="5" t="str">
        <x:v>modificar</x:v>
      </x:c>
      <x:c r="I28" s="5" t="str">
        <x:v>transporte_publico</x:v>
      </x:c>
      <x:c r="J28" s="5" t="str">
        <x:v>Reduce barreras de acceso, exige operación.</x:v>
      </x:c>
      <x:c r="K28" s="5" t="str">
        <x:v>Retirar popularidad, voto, antagonismo, mantenimiento genérico y retornos por categoría. Aplicar sólo 05.</x:v>
      </x:c>
      <x:c r="L28" s="5" t="str">
        <x:v>Sin condición adicional declarada</x:v>
      </x:c>
      <x:c r="M28" s="5" t="str">
        <x:v>—</x:v>
      </x:c>
      <x:c r="N28" s="5" t="str">
        <x:v>Dump 23-09-2026; registry idéntico en ambas carpetas</x:v>
      </x:c>
    </x:row>
    <x:row r="29" ht="42" customHeight="1">
      <x:c r="A29" s="10" t="str">
        <x:v>energia_renovable</x:v>
      </x:c>
      <x:c r="B29" s="10" t="str">
        <x:v>Energía Renovable</x:v>
      </x:c>
      <x:c r="C29" s="10" t="str">
        <x:v>infraestructura</x:v>
      </x:c>
      <x:c r="D29" s="10" t="n">
        <x:v>-500</x:v>
      </x:c>
      <x:c r="E29" s="10" t="n">
        <x:v>12</x:v>
      </x:c>
      <x:c r="F29" s="10" t="str">
        <x:v>—</x:v>
      </x:c>
      <x:c r="G29" s="10" t="n">
        <x:v>3</x:v>
      </x:c>
      <x:c r="H29" s="10" t="str">
        <x:v>modificar</x:v>
      </x:c>
      <x:c r="I29" s="10" t="str">
        <x:v>energia_renovable</x:v>
      </x:c>
      <x:c r="J29" s="10" t="str">
        <x:v>Lenta y costosa; mejora ambiente y redes.</x:v>
      </x:c>
      <x:c r="K29" s="10" t="str">
        <x:v>Retirar popularidad, voto, antagonismo, mantenimiento genérico y retornos por categoría. Aplicar sólo 05.</x:v>
      </x:c>
      <x:c r="L29" s="10" t="str">
        <x:v>estudio_factibilidad</x:v>
      </x:c>
      <x:c r="M29" s="10" t="str">
        <x:v>—</x:v>
      </x:c>
      <x:c r="N29" s="10" t="str">
        <x:v>Dump 23-09-2026; registry idéntico en ambas carpetas</x:v>
      </x:c>
    </x:row>
    <x:row r="30" ht="42" customHeight="1">
      <x:c r="A30" s="5" t="str">
        <x:v>construccion_hospitales</x:v>
      </x:c>
      <x:c r="B30" s="5" t="str">
        <x:v>Construcción de Hospitales</x:v>
      </x:c>
      <x:c r="C30" s="5" t="str">
        <x:v>infraestructura</x:v>
      </x:c>
      <x:c r="D30" s="5" t="n">
        <x:v>-600</x:v>
      </x:c>
      <x:c r="E30" s="5" t="n">
        <x:v>20</x:v>
      </x:c>
      <x:c r="F30" s="5" t="str">
        <x:v>—</x:v>
      </x:c>
      <x:c r="G30" s="5" t="n">
        <x:v>6</x:v>
      </x:c>
      <x:c r="H30" s="5" t="str">
        <x:v>modificar</x:v>
      </x:c>
      <x:c r="I30" s="5" t="str">
        <x:v>construccion_hospitales</x:v>
      </x:c>
      <x:c r="J30" s="5" t="str">
        <x:v>Gran beneficio sanitario diferido y gasto recurrente alto.</x:v>
      </x:c>
      <x:c r="K30" s="5" t="str">
        <x:v>Retirar popularidad, voto, antagonismo, mantenimiento genérico y retornos por categoría. Aplicar sólo 05.</x:v>
      </x:c>
      <x:c r="L30" s="5" t="str">
        <x:v>estudio_factibilidad</x:v>
      </x:c>
      <x:c r="M30" s="5" t="str">
        <x:v>—</x:v>
      </x:c>
      <x:c r="N30" s="5" t="str">
        <x:v>Dump 23-09-2026; registry idéntico en ambas carpetas</x:v>
      </x:c>
    </x:row>
    <x:row r="31" ht="42" customHeight="1">
      <x:c r="A31" s="10" t="str">
        <x:v>viviendas_rurales</x:v>
      </x:c>
      <x:c r="B31" s="10" t="str">
        <x:v>Desarrollo de Viviendas Rurales</x:v>
      </x:c>
      <x:c r="C31" s="10" t="str">
        <x:v>infraestructura</x:v>
      </x:c>
      <x:c r="D31" s="10" t="n">
        <x:v>-300</x:v>
      </x:c>
      <x:c r="E31" s="10" t="n">
        <x:v>15</x:v>
      </x:c>
      <x:c r="F31" s="10" t="str">
        <x:v>sectores-populares +9</x:v>
      </x:c>
      <x:c r="G31" s="10" t="n">
        <x:v>3</x:v>
      </x:c>
      <x:c r="H31" s="10" t="str">
        <x:v>fusionar</x:v>
      </x:c>
      <x:c r="I31" s="10" t="str">
        <x:v>plan_viviendas</x:v>
      </x:c>
      <x:c r="J31" s="10" t="str">
        <x:v>Focalización rural como variante de ejecución; no otro paquete idéntico.</x:v>
      </x:c>
      <x:c r="K31" s="10" t="str">
        <x:v>Retirar popularidad, voto, antagonismo, mantenimiento genérico y retornos por categoría. Aplicar sólo 05.</x:v>
      </x:c>
      <x:c r="L31" s="10" t="str">
        <x:v>Sin condición adicional declarada</x:v>
      </x:c>
      <x:c r="M31" s="10" t="str">
        <x:v>—</x:v>
      </x:c>
      <x:c r="N31" s="10" t="str">
        <x:v>Dump 23-09-2026; registry idéntico en ambas carpetas</x:v>
      </x:c>
    </x:row>
    <x:row r="32" ht="42" customHeight="1">
      <x:c r="A32" s="5" t="str">
        <x:v>modernizacion_aeropuertos</x:v>
      </x:c>
      <x:c r="B32" s="5" t="str">
        <x:v>Modernización de Aeropuertos</x:v>
      </x:c>
      <x:c r="C32" s="5" t="str">
        <x:v>infraestructura</x:v>
      </x:c>
      <x:c r="D32" s="5" t="n">
        <x:v>-700</x:v>
      </x:c>
      <x:c r="E32" s="5" t="n">
        <x:v>10</x:v>
      </x:c>
      <x:c r="F32" s="5" t="str">
        <x:v>—</x:v>
      </x:c>
      <x:c r="G32" s="5" t="n">
        <x:v>6</x:v>
      </x:c>
      <x:c r="H32" s="5" t="str">
        <x:v>reemplazar</x:v>
      </x:c>
      <x:c r="I32" s="5" t="str">
        <x:v>infraestructura_vial</x:v>
      </x:c>
      <x:c r="J32" s="5" t="str">
        <x:v>No justifica otro escalón nacional en MVP; corredores concentran conectividad exportadora.</x:v>
      </x:c>
      <x:c r="K32" s="5" t="str">
        <x:v>Retirar popularidad, voto, antagonismo, mantenimiento genérico y retornos por categoría. Aplicar sólo 05.</x:v>
      </x:c>
      <x:c r="L32" s="5" t="str">
        <x:v>estudio_factibilidad + infraestructura_vial</x:v>
      </x:c>
      <x:c r="M32" s="5" t="str">
        <x:v>—</x:v>
      </x:c>
      <x:c r="N32" s="5" t="str">
        <x:v>Dump 23-09-2026; registry idéntico en ambas carpetas</x:v>
      </x:c>
    </x:row>
    <x:row r="33" ht="42" customHeight="1">
      <x:c r="A33" s="10" t="str">
        <x:v>red_comunicaciones</x:v>
      </x:c>
      <x:c r="B33" s="10" t="str">
        <x:v>Red de Comunicaciones</x:v>
      </x:c>
      <x:c r="C33" s="10" t="str">
        <x:v>infraestructura</x:v>
      </x:c>
      <x:c r="D33" s="10" t="n">
        <x:v>-400</x:v>
      </x:c>
      <x:c r="E33" s="10" t="n">
        <x:v>12</x:v>
      </x:c>
      <x:c r="F33" s="10" t="str">
        <x:v>—</x:v>
      </x:c>
      <x:c r="G33" s="10" t="n">
        <x:v>3</x:v>
      </x:c>
      <x:c r="H33" s="10" t="str">
        <x:v>fusionar</x:v>
      </x:c>
      <x:c r="I33" s="10" t="str">
        <x:v>plan_conectividad</x:v>
      </x:c>
      <x:c r="J33" s="10" t="str">
        <x:v>Duplicaba la red y su retorno fiscal automático.</x:v>
      </x:c>
      <x:c r="K33" s="10" t="str">
        <x:v>Retirar popularidad, voto, antagonismo, mantenimiento genérico y retornos por categoría. Aplicar sólo 05.</x:v>
      </x:c>
      <x:c r="L33" s="10" t="str">
        <x:v>Sin condición adicional declarada</x:v>
      </x:c>
      <x:c r="M33" s="10" t="str">
        <x:v>—</x:v>
      </x:c>
      <x:c r="N33" s="10" t="str">
        <x:v>Dump 23-09-2026; registry idéntico en ambas carpetas</x:v>
      </x:c>
    </x:row>
    <x:row r="34" ht="42" customHeight="1">
      <x:c r="A34" s="5" t="str">
        <x:v>reforestacion</x:v>
      </x:c>
      <x:c r="B34" s="5" t="str">
        <x:v>Programa de Reforestación</x:v>
      </x:c>
      <x:c r="C34" s="5" t="str">
        <x:v>infraestructura</x:v>
      </x:c>
      <x:c r="D34" s="5" t="n">
        <x:v>-200</x:v>
      </x:c>
      <x:c r="E34" s="5" t="n">
        <x:v>15</x:v>
      </x:c>
      <x:c r="F34" s="5" t="str">
        <x:v>—</x:v>
      </x:c>
      <x:c r="G34" s="5" t="n">
        <x:v>3</x:v>
      </x:c>
      <x:c r="H34" s="5" t="str">
        <x:v>modificar</x:v>
      </x:c>
      <x:c r="I34" s="5" t="str">
        <x:v>reforestacion</x:v>
      </x:c>
      <x:c r="J34" s="5" t="str">
        <x:v>Retorno ambiental lento, sin ingreso automático.</x:v>
      </x:c>
      <x:c r="K34" s="5" t="str">
        <x:v>Retirar popularidad, voto, antagonismo, mantenimiento genérico y retornos por categoría. Aplicar sólo 05.</x:v>
      </x:c>
      <x:c r="L34" s="5" t="str">
        <x:v>Sin condición adicional declarada</x:v>
      </x:c>
      <x:c r="M34" s="5" t="str">
        <x:v>—</x:v>
      </x:c>
      <x:c r="N34" s="5" t="str">
        <x:v>Dump 23-09-2026; registry idéntico en ambas carpetas</x:v>
      </x:c>
    </x:row>
    <x:row r="35" ht="42" customHeight="1">
      <x:c r="A35" s="10" t="str">
        <x:v>infraestructura_vial</x:v>
      </x:c>
      <x:c r="B35" s="10" t="str">
        <x:v>Mejorar Infraestructura Vial</x:v>
      </x:c>
      <x:c r="C35" s="10" t="str">
        <x:v>infraestructura</x:v>
      </x:c>
      <x:c r="D35" s="10" t="n">
        <x:v>-500</x:v>
      </x:c>
      <x:c r="E35" s="10" t="n">
        <x:v>15</x:v>
      </x:c>
      <x:c r="F35" s="10" t="str">
        <x:v>—</x:v>
      </x:c>
      <x:c r="G35" s="10" t="n">
        <x:v>3</x:v>
      </x:c>
      <x:c r="H35" s="10" t="str">
        <x:v>modificar</x:v>
      </x:c>
      <x:c r="I35" s="10" t="str">
        <x:v>infraestructura_vial</x:v>
      </x:c>
      <x:c r="J35" s="10" t="str">
        <x:v>Obra demorada que luego exige mantenimiento.</x:v>
      </x:c>
      <x:c r="K35" s="10" t="str">
        <x:v>Retirar popularidad, voto, antagonismo, mantenimiento genérico y retornos por categoría. Aplicar sólo 05.</x:v>
      </x:c>
      <x:c r="L35" s="10" t="str">
        <x:v>estudio_factibilidad</x:v>
      </x:c>
      <x:c r="M35" s="10" t="str">
        <x:v>—</x:v>
      </x:c>
      <x:c r="N35" s="10" t="str">
        <x:v>Dump 23-09-2026; registry idéntico en ambas carpetas</x:v>
      </x:c>
    </x:row>
    <x:row r="36" ht="42" customHeight="1">
      <x:c r="A36" s="5" t="str">
        <x:v>tratamiento_agua</x:v>
      </x:c>
      <x:c r="B36" s="5" t="str">
        <x:v>Plantas de Tratamiento de Agua</x:v>
      </x:c>
      <x:c r="C36" s="5" t="str">
        <x:v>infraestructura</x:v>
      </x:c>
      <x:c r="D36" s="5" t="n">
        <x:v>-400</x:v>
      </x:c>
      <x:c r="E36" s="5" t="n">
        <x:v>12</x:v>
      </x:c>
      <x:c r="F36" s="5" t="str">
        <x:v>—</x:v>
      </x:c>
      <x:c r="G36" s="5" t="n">
        <x:v>3</x:v>
      </x:c>
      <x:c r="H36" s="5" t="str">
        <x:v>fusionar</x:v>
      </x:c>
      <x:c r="I36" s="5" t="str">
        <x:v>plan_hidrico</x:v>
      </x:c>
      <x:c r="J36" s="5" t="str">
        <x:v>Unifica agua segura y mantenimiento hídrico.</x:v>
      </x:c>
      <x:c r="K36" s="5" t="str">
        <x:v>Retirar popularidad, voto, antagonismo, mantenimiento genérico y retornos por categoría. Aplicar sólo 05.</x:v>
      </x:c>
      <x:c r="L36" s="5" t="str">
        <x:v>Sin condición adicional declarada</x:v>
      </x:c>
      <x:c r="M36" s="5" t="str">
        <x:v>—</x:v>
      </x:c>
      <x:c r="N36" s="5" t="str">
        <x:v>Dump 23-09-2026; registry idéntico en ambas carpetas</x:v>
      </x:c>
    </x:row>
    <x:row r="37" ht="42" customHeight="1">
      <x:c r="A37" s="10" t="str">
        <x:v>red_gas</x:v>
      </x:c>
      <x:c r="B37" s="10" t="str">
        <x:v>Red de Gas Natural</x:v>
      </x:c>
      <x:c r="C37" s="10" t="str">
        <x:v>infraestructura</x:v>
      </x:c>
      <x:c r="D37" s="10" t="n">
        <x:v>-450</x:v>
      </x:c>
      <x:c r="E37" s="10" t="n">
        <x:v>15</x:v>
      </x:c>
      <x:c r="F37" s="10" t="str">
        <x:v>—</x:v>
      </x:c>
      <x:c r="G37" s="10" t="n">
        <x:v>3</x:v>
      </x:c>
      <x:c r="H37" s="10" t="str">
        <x:v>modificar</x:v>
      </x:c>
      <x:c r="I37" s="10" t="str">
        <x:v>red_gas</x:v>
      </x:c>
      <x:c r="J37" s="10" t="str">
        <x:v>Más rápida que renovables, con costo ambiental explícito.</x:v>
      </x:c>
      <x:c r="K37" s="10" t="str">
        <x:v>Retirar popularidad, voto, antagonismo, mantenimiento genérico y retornos por categoría. Aplicar sólo 05.</x:v>
      </x:c>
      <x:c r="L37" s="10" t="str">
        <x:v>Sin condición adicional declarada</x:v>
      </x:c>
      <x:c r="M37" s="10" t="str">
        <x:v>—</x:v>
      </x:c>
      <x:c r="N37" s="10" t="str">
        <x:v>Dump 23-09-2026; registry idéntico en ambas carpetas</x:v>
      </x:c>
    </x:row>
    <x:row r="38" ht="42" customHeight="1">
      <x:c r="A38" s="5" t="str">
        <x:v>estudio_factibilidad</x:v>
      </x:c>
      <x:c r="B38" s="5" t="str">
        <x:v>Estudio de factibilidad</x:v>
      </x:c>
      <x:c r="C38" s="5" t="str">
        <x:v>infraestructura</x:v>
      </x:c>
      <x:c r="D38" s="5" t="n">
        <x:v>-80</x:v>
      </x:c>
      <x:c r="E38" s="5" t="n">
        <x:v>2</x:v>
      </x:c>
      <x:c r="F38" s="5" t="str">
        <x:v>—</x:v>
      </x:c>
      <x:c r="G38" s="5" t="n">
        <x:v>2</x:v>
      </x:c>
      <x:c r="H38" s="5" t="str">
        <x:v>modificar</x:v>
      </x:c>
      <x:c r="I38" s="5" t="str">
        <x:v>estudio_factibilidad</x:v>
      </x:c>
      <x:c r="J38" s="5" t="str">
        <x:v>Permiso de proyecto específico, consumible y con vencimiento.</x:v>
      </x:c>
      <x:c r="K38" s="5" t="str">
        <x:v>Retirar popularidad, voto, antagonismo, mantenimiento genérico y retornos por categoría. Aplicar sólo 05.</x:v>
      </x:c>
      <x:c r="L38" s="5" t="str">
        <x:v>Sin condición adicional declarada</x:v>
      </x:c>
      <x:c r="M38" s="5" t="str">
        <x:v>t+1:−15 pop+0 (+ motor: −20% costo infra 6 turnos, ver §2)</x:v>
      </x:c>
      <x:c r="N38" s="5" t="str">
        <x:v>Dump 23-09-2026; registry idéntico en ambas carpetas</x:v>
      </x:c>
    </x:row>
    <x:row r="39" ht="42" customHeight="1">
      <x:c r="A39" s="10" t="str">
        <x:v>plan_hidrico</x:v>
      </x:c>
      <x:c r="B39" s="10" t="str">
        <x:v>Plan Hídrico</x:v>
      </x:c>
      <x:c r="C39" s="10" t="str">
        <x:v>infraestructura</x:v>
      </x:c>
      <x:c r="D39" s="10" t="n">
        <x:v>-450</x:v>
      </x:c>
      <x:c r="E39" s="10" t="n">
        <x:v>14</x:v>
      </x:c>
      <x:c r="F39" s="10" t="str">
        <x:v>—</x:v>
      </x:c>
      <x:c r="G39" s="10" t="n">
        <x:v>3</x:v>
      </x:c>
      <x:c r="H39" s="10" t="str">
        <x:v>modificar</x:v>
      </x:c>
      <x:c r="I39" s="10" t="str">
        <x:v>plan_hidrico</x:v>
      </x:c>
      <x:c r="J39" s="10" t="str">
        <x:v>Mejora sanitaria y ambiental; costo de operación.</x:v>
      </x:c>
      <x:c r="K39" s="10" t="str">
        <x:v>Retirar popularidad, voto, antagonismo, mantenimiento genérico y retornos por categoría. Aplicar sólo 05.</x:v>
      </x:c>
      <x:c r="L39" s="10" t="str">
        <x:v>Sin condición adicional declarada</x:v>
      </x:c>
      <x:c r="M39" s="10" t="str">
        <x:v>t+3:−30 pop+4, t+5:−20 pop+3</x:v>
      </x:c>
      <x:c r="N39" s="10" t="str">
        <x:v>Dump 23-09-2026; registry idéntico en ambas carpetas</x:v>
      </x:c>
    </x:row>
    <x:row r="40" ht="42" customHeight="1">
      <x:c r="A40" s="5" t="str">
        <x:v>mantenimiento_urbano</x:v>
      </x:c>
      <x:c r="B40" s="5" t="str">
        <x:v>Mantenimiento Urbano</x:v>
      </x:c>
      <x:c r="C40" s="5" t="str">
        <x:v>infraestructura</x:v>
      </x:c>
      <x:c r="D40" s="5" t="n">
        <x:v>-250</x:v>
      </x:c>
      <x:c r="E40" s="5" t="n">
        <x:v>10</x:v>
      </x:c>
      <x:c r="F40" s="5" t="str">
        <x:v>—</x:v>
      </x:c>
      <x:c r="G40" s="5" t="n">
        <x:v>3</x:v>
      </x:c>
      <x:c r="H40" s="5" t="str">
        <x:v>modificar</x:v>
      </x:c>
      <x:c r="I40" s="5" t="str">
        <x:v>mantenimiento_urbano</x:v>
      </x:c>
      <x:c r="J40" s="5" t="str">
        <x:v>Retorno rápido sin ampliar capacidad exportadora.</x:v>
      </x:c>
      <x:c r="K40" s="5" t="str">
        <x:v>Retirar popularidad, voto, antagonismo, mantenimiento genérico y retornos por categoría. Aplicar sólo 05.</x:v>
      </x:c>
      <x:c r="L40" s="5" t="str">
        <x:v>Sin condición adicional declarada</x:v>
      </x:c>
      <x:c r="M40" s="5" t="str">
        <x:v>t+2:−25 pop+2, t+4:−20 pop+3</x:v>
      </x:c>
      <x:c r="N40" s="5" t="str">
        <x:v>Dump 23-09-2026; registry idéntico en ambas carpetas</x:v>
      </x:c>
    </x:row>
    <x:row r="41" ht="42" customHeight="1">
      <x:c r="A41" s="10" t="str">
        <x:v>plan_conectividad</x:v>
      </x:c>
      <x:c r="B41" s="10" t="str">
        <x:v>Plan de Conectividad</x:v>
      </x:c>
      <x:c r="C41" s="10" t="str">
        <x:v>infraestructura</x:v>
      </x:c>
      <x:c r="D41" s="10" t="n">
        <x:v>-350</x:v>
      </x:c>
      <x:c r="E41" s="10" t="n">
        <x:v>13</x:v>
      </x:c>
      <x:c r="F41" s="10" t="str">
        <x:v>—</x:v>
      </x:c>
      <x:c r="G41" s="10" t="n">
        <x:v>3</x:v>
      </x:c>
      <x:c r="H41" s="10" t="str">
        <x:v>modificar</x:v>
      </x:c>
      <x:c r="I41" s="10" t="str">
        <x:v>plan_conectividad</x:v>
      </x:c>
      <x:c r="J41" s="10" t="str">
        <x:v>Unifica tres acciones redundantes.</x:v>
      </x:c>
      <x:c r="K41" s="10" t="str">
        <x:v>Retirar popularidad, voto, antagonismo, mantenimiento genérico y retornos por categoría. Aplicar sólo 05.</x:v>
      </x:c>
      <x:c r="L41" s="10" t="str">
        <x:v>Sin condición adicional declarada</x:v>
      </x:c>
      <x:c r="M41" s="10" t="str">
        <x:v>t+3:−30 pop+3, t+6:−20 pop+5</x:v>
      </x:c>
      <x:c r="N41" s="10" t="str">
        <x:v>Dump 23-09-2026; registry idéntico en ambas carpetas</x:v>
      </x:c>
    </x:row>
    <x:row r="42" ht="42" customHeight="1">
      <x:c r="A42" s="5" t="str">
        <x:v>acuerdo_sindical</x:v>
      </x:c>
      <x:c r="B42" s="5" t="str">
        <x:v>Acuerdo Sindical</x:v>
      </x:c>
      <x:c r="C42" s="5" t="str">
        <x:v>diplomacia</x:v>
      </x:c>
      <x:c r="D42" s="5" t="n">
        <x:v>-200</x:v>
      </x:c>
      <x:c r="E42" s="5" t="n">
        <x:v>15</x:v>
      </x:c>
      <x:c r="F42" s="5" t="str">
        <x:v>—</x:v>
      </x:c>
      <x:c r="G42" s="5" t="n">
        <x:v>3</x:v>
      </x:c>
      <x:c r="H42" s="5" t="str">
        <x:v>reemplazar</x:v>
      </x:c>
      <x:c r="I42" s="5" t="str">
        <x:v>firmar_acuerdo</x:v>
      </x:c>
      <x:c r="J42" s="5" t="str">
        <x:v>Plantilla pacto_laboral del flujo reunión-negociación-firma. No compra apoyo directo.</x:v>
      </x:c>
      <x:c r="K42" s="5" t="str">
        <x:v>Retirar popularidad, voto, antagonismo, mantenimiento genérico y retornos por categoría. Aplicar sólo 05.</x:v>
      </x:c>
      <x:c r="L42" s="5" t="str">
        <x:v>Sin condición adicional declarada</x:v>
      </x:c>
      <x:c r="M42" s="5" t="str">
        <x:v>—</x:v>
      </x:c>
      <x:c r="N42" s="5" t="str">
        <x:v>Dump 23-09-2026; registry idéntico en ambas carpetas</x:v>
      </x:c>
    </x:row>
    <x:row r="43" ht="42" customHeight="1">
      <x:c r="A43" s="10" t="str">
        <x:v>alianza_politica</x:v>
      </x:c>
      <x:c r="B43" s="10" t="str">
        <x:v>Alianza Política</x:v>
      </x:c>
      <x:c r="C43" s="10" t="str">
        <x:v>diplomacia</x:v>
      </x:c>
      <x:c r="D43" s="10" t="n">
        <x:v>-150</x:v>
      </x:c>
      <x:c r="E43" s="10" t="n">
        <x:v>10</x:v>
      </x:c>
      <x:c r="F43" s="10" t="str">
        <x:v>—</x:v>
      </x:c>
      <x:c r="G43" s="10" t="n">
        <x:v>1</x:v>
      </x:c>
      <x:c r="H43" s="10" t="str">
        <x:v>reemplazar</x:v>
      </x:c>
      <x:c r="I43" s="10" t="str">
        <x:v>firmar_acuerdo</x:v>
      </x:c>
      <x:c r="J43" s="10" t="str">
        <x:v>Plantilla coalicion con aliados: contraprestación legislativa delimitada.</x:v>
      </x:c>
      <x:c r="K43" s="10" t="str">
        <x:v>Retirar popularidad, voto, antagonismo, mantenimiento genérico y retornos por categoría. Aplicar sólo 05.</x:v>
      </x:c>
      <x:c r="L43" s="10" t="str">
        <x:v>Sin condición adicional declarada</x:v>
      </x:c>
      <x:c r="M43" s="10" t="str">
        <x:v>—</x:v>
      </x:c>
      <x:c r="N43" s="10" t="str">
        <x:v>Dump 23-09-2026; registry idéntico en ambas carpetas</x:v>
      </x:c>
    </x:row>
    <x:row r="44" ht="42" customHeight="1">
      <x:c r="A44" s="5" t="str">
        <x:v>tratado_comercio</x:v>
      </x:c>
      <x:c r="B44" s="5" t="str">
        <x:v>Tratado de Libre Comercio</x:v>
      </x:c>
      <x:c r="C44" s="5" t="str">
        <x:v>diplomacia</x:v>
      </x:c>
      <x:c r="D44" s="5" t="n">
        <x:v>-300</x:v>
      </x:c>
      <x:c r="E44" s="5" t="n">
        <x:v>8</x:v>
      </x:c>
      <x:c r="F44" s="5" t="str">
        <x:v>—</x:v>
      </x:c>
      <x:c r="G44" s="5" t="n">
        <x:v>3</x:v>
      </x:c>
      <x:c r="H44" s="5" t="str">
        <x:v>modificar</x:v>
      </x:c>
      <x:c r="I44" s="5" t="str">
        <x:v>tratado_comercio</x:v>
      </x:c>
      <x:c r="J44" s="5" t="str">
        <x:v>Ganancia externa demorada con transición productiva.</x:v>
      </x:c>
      <x:c r="K44" s="5" t="str">
        <x:v>Retirar popularidad, voto, antagonismo, mantenimiento genérico y retornos por categoría. Aplicar sólo 05.</x:v>
      </x:c>
      <x:c r="L44" s="5" t="str">
        <x:v>empresarios≥60 (base 40)</x:v>
      </x:c>
      <x:c r="M44" s="5" t="str">
        <x:v>—</x:v>
      </x:c>
      <x:c r="N44" s="5" t="str">
        <x:v>Dump 23-09-2026; registry idéntico en ambas carpetas</x:v>
      </x:c>
    </x:row>
    <x:row r="45" ht="42" customHeight="1">
      <x:c r="A45" s="10" t="str">
        <x:v>cooperacion_internacional</x:v>
      </x:c>
      <x:c r="B45" s="10" t="str">
        <x:v>Cooperación Internacional</x:v>
      </x:c>
      <x:c r="C45" s="10" t="str">
        <x:v>diplomacia</x:v>
      </x:c>
      <x:c r="D45" s="10" t="n">
        <x:v>-250</x:v>
      </x:c>
      <x:c r="E45" s="10" t="n">
        <x:v>12</x:v>
      </x:c>
      <x:c r="F45" s="10" t="str">
        <x:v>—</x:v>
      </x:c>
      <x:c r="G45" s="10" t="n">
        <x:v>3</x:v>
      </x:c>
      <x:c r="H45" s="10" t="str">
        <x:v>modificar</x:v>
      </x:c>
      <x:c r="I45" s="10" t="str">
        <x:v>cooperacion_internacional</x:v>
      </x:c>
      <x:c r="J45" s="10" t="str">
        <x:v>Capacidad científica con demora y requisitos institucionales.</x:v>
      </x:c>
      <x:c r="K45" s="10" t="str">
        <x:v>Retirar popularidad, voto, antagonismo, mantenimiento genérico y retornos por categoría. Aplicar sólo 05.</x:v>
      </x:c>
      <x:c r="L45" s="10" t="str">
        <x:v>Sin condición adicional declarada</x:v>
      </x:c>
      <x:c r="M45" s="10" t="str">
        <x:v>—</x:v>
      </x:c>
      <x:c r="N45" s="10" t="str">
        <x:v>Dump 23-09-2026; registry idéntico en ambas carpetas</x:v>
      </x:c>
    </x:row>
    <x:row r="46" ht="42" customHeight="1">
      <x:c r="A46" s="5" t="str">
        <x:v>acuerdo_ambiental</x:v>
      </x:c>
      <x:c r="B46" s="5" t="str">
        <x:v>Acuerdo Ambiental</x:v>
      </x:c>
      <x:c r="C46" s="5" t="str">
        <x:v>diplomacia</x:v>
      </x:c>
      <x:c r="D46" s="5" t="n">
        <x:v>-200</x:v>
      </x:c>
      <x:c r="E46" s="5" t="n">
        <x:v>15</x:v>
      </x:c>
      <x:c r="F46" s="5" t="str">
        <x:v>—</x:v>
      </x:c>
      <x:c r="G46" s="5" t="n">
        <x:v>3</x:v>
      </x:c>
      <x:c r="H46" s="5" t="str">
        <x:v>reemplazar</x:v>
      </x:c>
      <x:c r="I46" s="5" t="str">
        <x:v>firmar_acuerdo</x:v>
      </x:c>
      <x:c r="J46" s="5" t="str">
        <x:v>Plantilla pacto_ambiental exige resultado medible; firma sola no mejora ambiente.</x:v>
      </x:c>
      <x:c r="K46" s="5" t="str">
        <x:v>Retirar popularidad, voto, antagonismo, mantenimiento genérico y retornos por categoría. Aplicar sólo 05.</x:v>
      </x:c>
      <x:c r="L46" s="5" t="str">
        <x:v>Sin condición adicional declarada</x:v>
      </x:c>
      <x:c r="M46" s="5" t="str">
        <x:v>—</x:v>
      </x:c>
      <x:c r="N46" s="5" t="str">
        <x:v>Dump 23-09-2026; registry idéntico en ambas carpetas</x:v>
      </x:c>
    </x:row>
    <x:row r="47" ht="42" customHeight="1">
      <x:c r="A47" s="10" t="str">
        <x:v>participacion_cumbres</x:v>
      </x:c>
      <x:c r="B47" s="10" t="str">
        <x:v>Participación en Cumbres</x:v>
      </x:c>
      <x:c r="C47" s="10" t="str">
        <x:v>diplomacia</x:v>
      </x:c>
      <x:c r="D47" s="10" t="n">
        <x:v>-150</x:v>
      </x:c>
      <x:c r="E47" s="10" t="n">
        <x:v>8</x:v>
      </x:c>
      <x:c r="F47" s="10" t="str">
        <x:v>—</x:v>
      </x:c>
      <x:c r="G47" s="10" t="n">
        <x:v>1</x:v>
      </x:c>
      <x:c r="H47" s="10" t="str">
        <x:v>fusionar</x:v>
      </x:c>
      <x:c r="I47" s="10" t="str">
        <x:v>cooperacion_internacional</x:v>
      </x:c>
      <x:c r="J47" s="10" t="str">
        <x:v>Se elimina el viaje vacío: debe perseguir cooperación científica concreta.</x:v>
      </x:c>
      <x:c r="K47" s="10" t="str">
        <x:v>Retirar popularidad, voto, antagonismo, mantenimiento genérico y retornos por categoría. Aplicar sólo 05.</x:v>
      </x:c>
      <x:c r="L47" s="10" t="str">
        <x:v>Sin condición adicional declarada</x:v>
      </x:c>
      <x:c r="M47" s="10" t="str">
        <x:v>—</x:v>
      </x:c>
      <x:c r="N47" s="10" t="str">
        <x:v>Dump 23-09-2026; registry idéntico en ambas carpetas</x:v>
      </x:c>
    </x:row>
    <x:row r="48" ht="42" customHeight="1">
      <x:c r="A48" s="5" t="str">
        <x:v>mediacion_conflictos</x:v>
      </x:c>
      <x:c r="B48" s="5" t="str">
        <x:v>Mediación en Conflictos</x:v>
      </x:c>
      <x:c r="C48" s="5" t="str">
        <x:v>diplomacia</x:v>
      </x:c>
      <x:c r="D48" s="5" t="n">
        <x:v>-200</x:v>
      </x:c>
      <x:c r="E48" s="5" t="n">
        <x:v>10</x:v>
      </x:c>
      <x:c r="F48" s="5" t="str">
        <x:v>—</x:v>
      </x:c>
      <x:c r="G48" s="5" t="n">
        <x:v>3</x:v>
      </x:c>
      <x:c r="H48" s="5" t="str">
        <x:v>reemplazar</x:v>
      </x:c>
      <x:c r="I48" s="5" t="str">
        <x:v>negociar</x:v>
      </x:c>
      <x:c r="J48" s="5" t="str">
        <x:v>Modo mediacion sólo para conflicto activo y luego de reunión.</x:v>
      </x:c>
      <x:c r="K48" s="5" t="str">
        <x:v>Retirar popularidad, voto, antagonismo, mantenimiento genérico y retornos por categoría. Aplicar sólo 05.</x:v>
      </x:c>
      <x:c r="L48" s="5" t="str">
        <x:v>Sin condición adicional declarada</x:v>
      </x:c>
      <x:c r="M48" s="5" t="str">
        <x:v>—</x:v>
      </x:c>
      <x:c r="N48" s="5" t="str">
        <x:v>Dump 23-09-2026; registry idéntico en ambas carpetas</x:v>
      </x:c>
    </x:row>
    <x:row r="49" ht="42" customHeight="1">
      <x:c r="A49" s="10" t="str">
        <x:v>seguridad_ciudadana</x:v>
      </x:c>
      <x:c r="B49" s="10" t="str">
        <x:v>Seguridad Ciudadana</x:v>
      </x:c>
      <x:c r="C49" s="10" t="str">
        <x:v>seguridad</x:v>
      </x:c>
      <x:c r="D49" s="10" t="n">
        <x:v>-400</x:v>
      </x:c>
      <x:c r="E49" s="10" t="n">
        <x:v>20</x:v>
      </x:c>
      <x:c r="F49" s="10" t="str">
        <x:v>clase-media +14</x:v>
      </x:c>
      <x:c r="G49" s="10" t="n">
        <x:v>3</x:v>
      </x:c>
      <x:c r="H49" s="10" t="str">
        <x:v>modificar</x:v>
      </x:c>
      <x:c r="I49" s="10" t="str">
        <x:v>seguridad_ciudadana</x:v>
      </x:c>
      <x:c r="J49" s="10" t="str">
        <x:v>Resultado rápido; daño a derechos si faltan controles.</x:v>
      </x:c>
      <x:c r="K49" s="10" t="str">
        <x:v>Retirar popularidad, voto, antagonismo, mantenimiento genérico y retornos por categoría. Aplicar sólo 05.</x:v>
      </x:c>
      <x:c r="L49" s="10" t="str">
        <x:v>Sin condición adicional declarada</x:v>
      </x:c>
      <x:c r="M49" s="10" t="str">
        <x:v>t+3:−80 pop−2</x:v>
      </x:c>
      <x:c r="N49" s="10" t="str">
        <x:v>Dump 23-09-2026; registry idéntico en ambas carpetas</x:v>
      </x:c>
    </x:row>
    <x:row r="50" ht="42" customHeight="1">
      <x:c r="A50" s="5" t="str">
        <x:v>lucha_narcotrafico</x:v>
      </x:c>
      <x:c r="B50" s="5" t="str">
        <x:v>Lucha contra el Narcotráfico</x:v>
      </x:c>
      <x:c r="C50" s="5" t="str">
        <x:v>seguridad</x:v>
      </x:c>
      <x:c r="D50" s="5" t="n">
        <x:v>-500</x:v>
      </x:c>
      <x:c r="E50" s="5" t="n">
        <x:v>15</x:v>
      </x:c>
      <x:c r="F50" s="5" t="str">
        <x:v>—</x:v>
      </x:c>
      <x:c r="G50" s="5" t="n">
        <x:v>3</x:v>
      </x:c>
      <x:c r="H50" s="5" t="str">
        <x:v>modificar</x:v>
      </x:c>
      <x:c r="I50" s="5" t="str">
        <x:v>lucha_narcotrafico</x:v>
      </x:c>
      <x:c r="J50" s="5" t="str">
        <x:v>Más lenta pero persistente que un operativo.</x:v>
      </x:c>
      <x:c r="K50" s="5" t="str">
        <x:v>Retirar popularidad, voto, antagonismo, mantenimiento genérico y retornos por categoría. Aplicar sólo 05.</x:v>
      </x:c>
      <x:c r="L50" s="5" t="str">
        <x:v>fortalecimiento_justicia</x:v>
      </x:c>
      <x:c r="M50" s="5" t="str">
        <x:v>—</x:v>
      </x:c>
      <x:c r="N50" s="5" t="str">
        <x:v>Dump 23-09-2026; registry idéntico en ambas carpetas</x:v>
      </x:c>
    </x:row>
    <x:row r="51" ht="42" customHeight="1">
      <x:c r="A51" s="10" t="str">
        <x:v>programa_desarme</x:v>
      </x:c>
      <x:c r="B51" s="10" t="str">
        <x:v>Programa de Desarme</x:v>
      </x:c>
      <x:c r="C51" s="10" t="str">
        <x:v>seguridad</x:v>
      </x:c>
      <x:c r="D51" s="10" t="n">
        <x:v>-300</x:v>
      </x:c>
      <x:c r="E51" s="10" t="n">
        <x:v>12</x:v>
      </x:c>
      <x:c r="F51" s="10" t="str">
        <x:v>—</x:v>
      </x:c>
      <x:c r="G51" s="10" t="n">
        <x:v>3</x:v>
      </x:c>
      <x:c r="H51" s="10" t="str">
        <x:v>fusionar</x:v>
      </x:c>
      <x:c r="I51" s="10" t="str">
        <x:v>policia_proximidad</x:v>
      </x:c>
      <x:c r="J51" s="10" t="str">
        <x:v>Subprograma de prevención sin otro botón de seguridad parecido.</x:v>
      </x:c>
      <x:c r="K51" s="10" t="str">
        <x:v>Retirar popularidad, voto, antagonismo, mantenimiento genérico y retornos por categoría. Aplicar sólo 05.</x:v>
      </x:c>
      <x:c r="L51" s="10" t="str">
        <x:v>Sin condición adicional declarada</x:v>
      </x:c>
      <x:c r="M51" s="10" t="str">
        <x:v>—</x:v>
      </x:c>
      <x:c r="N51" s="10" t="str">
        <x:v>Dump 23-09-2026; registry idéntico en ambas carpetas</x:v>
      </x:c>
    </x:row>
    <x:row r="52" ht="42" customHeight="1">
      <x:c r="A52" s="5" t="str">
        <x:v>fortalecimiento_justicia</x:v>
      </x:c>
      <x:c r="B52" s="5" t="str">
        <x:v>Fortalecimiento de la Justicia</x:v>
      </x:c>
      <x:c r="C52" s="5" t="str">
        <x:v>seguridad</x:v>
      </x:c>
      <x:c r="D52" s="5" t="n">
        <x:v>-400</x:v>
      </x:c>
      <x:c r="E52" s="5" t="n">
        <x:v>10</x:v>
      </x:c>
      <x:c r="F52" s="5" t="str">
        <x:v>—</x:v>
      </x:c>
      <x:c r="G52" s="5" t="n">
        <x:v>3</x:v>
      </x:c>
      <x:c r="H52" s="5" t="str">
        <x:v>modificar</x:v>
      </x:c>
      <x:c r="I52" s="5" t="str">
        <x:v>fortalecimiento_justicia</x:v>
      </x:c>
      <x:c r="J52" s="5" t="str">
        <x:v>Abre herramientas de seguridad con salvaguardas.</x:v>
      </x:c>
      <x:c r="K52" s="5" t="str">
        <x:v>Retirar popularidad, voto, antagonismo, mantenimiento genérico y retornos por categoría. Aplicar sólo 05.</x:v>
      </x:c>
      <x:c r="L52" s="5" t="str">
        <x:v>Sin condición adicional declarada</x:v>
      </x:c>
      <x:c r="M52" s="5" t="str">
        <x:v>—</x:v>
      </x:c>
      <x:c r="N52" s="5" t="str">
        <x:v>Dump 23-09-2026; registry idéntico en ambas carpetas</x:v>
      </x:c>
    </x:row>
    <x:row r="53" ht="42" customHeight="1">
      <x:c r="A53" s="10" t="str">
        <x:v>sistema_vigilancia</x:v>
      </x:c>
      <x:c r="B53" s="10" t="str">
        <x:v>Sistema de Vigilancia</x:v>
      </x:c>
      <x:c r="C53" s="10" t="str">
        <x:v>seguridad</x:v>
      </x:c>
      <x:c r="D53" s="10" t="n">
        <x:v>-350</x:v>
      </x:c>
      <x:c r="E53" s="10" t="n">
        <x:v>15</x:v>
      </x:c>
      <x:c r="F53" s="10" t="str">
        <x:v>clase-media +10.5</x:v>
      </x:c>
      <x:c r="G53" s="10" t="n">
        <x:v>3</x:v>
      </x:c>
      <x:c r="H53" s="10" t="str">
        <x:v>modificar</x:v>
      </x:c>
      <x:c r="I53" s="10" t="str">
        <x:v>sistema_vigilancia</x:v>
      </x:c>
      <x:c r="J53" s="10" t="str">
        <x:v>Seguridad diferida; controles reducen, no borran, costo de privacidad.</x:v>
      </x:c>
      <x:c r="K53" s="10" t="str">
        <x:v>Retirar popularidad, voto, antagonismo, mantenimiento genérico y retornos por categoría. Aplicar sólo 05.</x:v>
      </x:c>
      <x:c r="L53" s="10" t="str">
        <x:v>Sin condición adicional declarada</x:v>
      </x:c>
      <x:c r="M53" s="10" t="str">
        <x:v>—</x:v>
      </x:c>
      <x:c r="N53" s="10" t="str">
        <x:v>Dump 23-09-2026; registry idéntico en ambas carpetas</x:v>
      </x:c>
    </x:row>
    <x:row r="54" ht="42" customHeight="1">
      <x:c r="A54" s="5" t="str">
        <x:v>policia_proximidad</x:v>
      </x:c>
      <x:c r="B54" s="5" t="str">
        <x:v>Policía de Proximidad</x:v>
      </x:c>
      <x:c r="C54" s="5" t="str">
        <x:v>seguridad</x:v>
      </x:c>
      <x:c r="D54" s="5" t="n">
        <x:v>-300</x:v>
      </x:c>
      <x:c r="E54" s="5" t="n">
        <x:v>18</x:v>
      </x:c>
      <x:c r="F54" s="5" t="str">
        <x:v>—</x:v>
      </x:c>
      <x:c r="G54" s="5" t="n">
        <x:v>3</x:v>
      </x:c>
      <x:c r="H54" s="5" t="str">
        <x:v>modificar</x:v>
      </x:c>
      <x:c r="I54" s="5" t="str">
        <x:v>policia_proximidad</x:v>
      </x:c>
      <x:c r="J54" s="5" t="str">
        <x:v>Más lento que un operativo, compatible con garantías.</x:v>
      </x:c>
      <x:c r="K54" s="5" t="str">
        <x:v>Retirar popularidad, voto, antagonismo, mantenimiento genérico y retornos por categoría. Aplicar sólo 05.</x:v>
      </x:c>
      <x:c r="L54" s="5" t="str">
        <x:v>Sin condición adicional declarada</x:v>
      </x:c>
      <x:c r="M54" s="5" t="str">
        <x:v>—</x:v>
      </x:c>
      <x:c r="N54" s="5" t="str">
        <x:v>Dump 23-09-2026; registry idéntico en ambas carpetas</x:v>
      </x:c>
    </x:row>
    <x:row r="55" ht="42" customHeight="1">
      <x:c r="A55" s="10" t="str">
        <x:v>prevencion_delito</x:v>
      </x:c>
      <x:c r="B55" s="10" t="str">
        <x:v>Prevención del Delito</x:v>
      </x:c>
      <x:c r="C55" s="10" t="str">
        <x:v>seguridad</x:v>
      </x:c>
      <x:c r="D55" s="10" t="n">
        <x:v>-250</x:v>
      </x:c>
      <x:c r="E55" s="10" t="n">
        <x:v>15</x:v>
      </x:c>
      <x:c r="F55" s="10" t="str">
        <x:v>—</x:v>
      </x:c>
      <x:c r="G55" s="10" t="n">
        <x:v>3</x:v>
      </x:c>
      <x:c r="H55" s="10" t="str">
        <x:v>fusionar</x:v>
      </x:c>
      <x:c r="I55" s="10" t="str">
        <x:v>policia_proximidad</x:v>
      </x:c>
      <x:c r="J55" s="10" t="str">
        <x:v>Mismo resultado y horizonte que prevención de proximidad.</x:v>
      </x:c>
      <x:c r="K55" s="10" t="str">
        <x:v>Retirar popularidad, voto, antagonismo, mantenimiento genérico y retornos por categoría. Aplicar sólo 05.</x:v>
      </x:c>
      <x:c r="L55" s="10" t="str">
        <x:v>Sin condición adicional declarada</x:v>
      </x:c>
      <x:c r="M55" s="10" t="str">
        <x:v>—</x:v>
      </x:c>
      <x:c r="N55" s="10" t="str">
        <x:v>Dump 23-09-2026; registry idéntico en ambas carpetas</x:v>
      </x:c>
    </x:row>
    <x:row r="56" ht="42" customHeight="1">
      <x:c r="A56" s="5" t="str">
        <x:v>programa_cultural</x:v>
      </x:c>
      <x:c r="B56" s="5" t="str">
        <x:v>Programa Cultural</x:v>
      </x:c>
      <x:c r="C56" s="5" t="str">
        <x:v>cultura</x:v>
      </x:c>
      <x:c r="D56" s="5" t="n">
        <x:v>-200</x:v>
      </x:c>
      <x:c r="E56" s="5" t="n">
        <x:v>12</x:v>
      </x:c>
      <x:c r="F56" s="5" t="str">
        <x:v>—</x:v>
      </x:c>
      <x:c r="G56" s="5" t="n">
        <x:v>3</x:v>
      </x:c>
      <x:c r="H56" s="5" t="str">
        <x:v>modificar</x:v>
      </x:c>
      <x:c r="I56" s="5" t="str">
        <x:v>programa_cultural</x:v>
      </x:c>
      <x:c r="J56" s="5" t="str">
        <x:v>Mejora formación y ejercicio de derechos culturales.</x:v>
      </x:c>
      <x:c r="K56" s="5" t="str">
        <x:v>Retirar popularidad, voto, antagonismo, mantenimiento genérico y retornos por categoría. Aplicar sólo 05.</x:v>
      </x:c>
      <x:c r="L56" s="5" t="str">
        <x:v>Sin condición adicional declarada</x:v>
      </x:c>
      <x:c r="M56" s="5" t="str">
        <x:v>—</x:v>
      </x:c>
      <x:c r="N56" s="5" t="str">
        <x:v>Dump 23-09-2026; registry idéntico en ambas carpetas</x:v>
      </x:c>
    </x:row>
    <x:row r="57" ht="42" customHeight="1">
      <x:c r="A57" s="10" t="str">
        <x:v>festival_arte</x:v>
      </x:c>
      <x:c r="B57" s="10" t="str">
        <x:v>Festival Nacional de Arte</x:v>
      </x:c>
      <x:c r="C57" s="10" t="str">
        <x:v>cultura</x:v>
      </x:c>
      <x:c r="D57" s="10" t="n">
        <x:v>-300</x:v>
      </x:c>
      <x:c r="E57" s="10" t="n">
        <x:v>15</x:v>
      </x:c>
      <x:c r="F57" s="10" t="str">
        <x:v>—</x:v>
      </x:c>
      <x:c r="G57" s="10" t="n">
        <x:v>3</x:v>
      </x:c>
      <x:c r="H57" s="10" t="str">
        <x:v>fusionar</x:v>
      </x:c>
      <x:c r="I57" s="10" t="str">
        <x:v>programa_cultural</x:v>
      </x:c>
      <x:c r="J57" s="10" t="str">
        <x:v>Variación temática sin mecánica propia.</x:v>
      </x:c>
      <x:c r="K57" s="10" t="str">
        <x:v>Retirar popularidad, voto, antagonismo, mantenimiento genérico y retornos por categoría. Aplicar sólo 05.</x:v>
      </x:c>
      <x:c r="L57" s="10" t="str">
        <x:v>Sin condición adicional declarada</x:v>
      </x:c>
      <x:c r="M57" s="10" t="str">
        <x:v>—</x:v>
      </x:c>
      <x:c r="N57" s="10" t="str">
        <x:v>Dump 23-09-2026; registry idéntico en ambas carpetas</x:v>
      </x:c>
    </x:row>
    <x:row r="58" ht="42" customHeight="1">
      <x:c r="A58" s="5" t="str">
        <x:v>patrimonio_historico</x:v>
      </x:c>
      <x:c r="B58" s="5" t="str">
        <x:v>Protección del Patrimonio</x:v>
      </x:c>
      <x:c r="C58" s="5" t="str">
        <x:v>cultura</x:v>
      </x:c>
      <x:c r="D58" s="5" t="n">
        <x:v>-250</x:v>
      </x:c>
      <x:c r="E58" s="5" t="n">
        <x:v>10</x:v>
      </x:c>
      <x:c r="F58" s="5" t="str">
        <x:v>—</x:v>
      </x:c>
      <x:c r="G58" s="5" t="n">
        <x:v>3</x:v>
      </x:c>
      <x:c r="H58" s="5" t="str">
        <x:v>modificar</x:v>
      </x:c>
      <x:c r="I58" s="5" t="str">
        <x:v>patrimonio_historico</x:v>
      </x:c>
      <x:c r="J58" s="5" t="str">
        <x:v>Retorno productivo pequeño y tardío.</x:v>
      </x:c>
      <x:c r="K58" s="5" t="str">
        <x:v>Retirar popularidad, voto, antagonismo, mantenimiento genérico y retornos por categoría. Aplicar sólo 05.</x:v>
      </x:c>
      <x:c r="L58" s="5" t="str">
        <x:v>Sin condición adicional declarada</x:v>
      </x:c>
      <x:c r="M58" s="5" t="str">
        <x:v>—</x:v>
      </x:c>
      <x:c r="N58" s="5" t="str">
        <x:v>Dump 23-09-2026; registry idéntico en ambas carpetas</x:v>
      </x:c>
    </x:row>
    <x:row r="59" ht="42" customHeight="1">
      <x:c r="A59" s="10" t="str">
        <x:v>red_bibliotecas</x:v>
      </x:c>
      <x:c r="B59" s="10" t="str">
        <x:v>Red de Bibliotecas</x:v>
      </x:c>
      <x:c r="C59" s="10" t="str">
        <x:v>cultura</x:v>
      </x:c>
      <x:c r="D59" s="10" t="n">
        <x:v>-200</x:v>
      </x:c>
      <x:c r="E59" s="10" t="n">
        <x:v>12</x:v>
      </x:c>
      <x:c r="F59" s="10" t="str">
        <x:v>—</x:v>
      </x:c>
      <x:c r="G59" s="10" t="n">
        <x:v>3</x:v>
      </x:c>
      <x:c r="H59" s="10" t="str">
        <x:v>fusionar</x:v>
      </x:c>
      <x:c r="I59" s="10" t="str">
        <x:v>programa_cultural</x:v>
      </x:c>
      <x:c r="J59" s="10" t="str">
        <x:v>Acceso y formación cultural. El gasto se cuenta una vez.</x:v>
      </x:c>
      <x:c r="K59" s="10" t="str">
        <x:v>Retirar popularidad, voto, antagonismo, mantenimiento genérico y retornos por categoría. Aplicar sólo 05.</x:v>
      </x:c>
      <x:c r="L59" s="10" t="str">
        <x:v>Sin condición adicional declarada</x:v>
      </x:c>
      <x:c r="M59" s="10" t="str">
        <x:v>—</x:v>
      </x:c>
      <x:c r="N59" s="10" t="str">
        <x:v>Dump 23-09-2026; registry idéntico en ambas carpetas</x:v>
      </x:c>
    </x:row>
    <x:row r="60" ht="42" customHeight="1">
      <x:c r="A60" s="5" t="str">
        <x:v>centros_culturales</x:v>
      </x:c>
      <x:c r="B60" s="5" t="str">
        <x:v>Centros Culturales</x:v>
      </x:c>
      <x:c r="C60" s="5" t="str">
        <x:v>cultura</x:v>
      </x:c>
      <x:c r="D60" s="5" t="n">
        <x:v>-350</x:v>
      </x:c>
      <x:c r="E60" s="5" t="n">
        <x:v>15</x:v>
      </x:c>
      <x:c r="F60" s="5" t="str">
        <x:v>—</x:v>
      </x:c>
      <x:c r="G60" s="5" t="n">
        <x:v>3</x:v>
      </x:c>
      <x:c r="H60" s="5" t="str">
        <x:v>fusionar</x:v>
      </x:c>
      <x:c r="I60" s="5" t="str">
        <x:v>programa_cultural</x:v>
      </x:c>
      <x:c r="J60" s="5" t="str">
        <x:v>Acceso cultural incluido; evita proliferar infraestructura con idéntico premio.</x:v>
      </x:c>
      <x:c r="K60" s="5" t="str">
        <x:v>Retirar popularidad, voto, antagonismo, mantenimiento genérico y retornos por categoría. Aplicar sólo 05.</x:v>
      </x:c>
      <x:c r="L60" s="5" t="str">
        <x:v>Sin condición adicional declarada</x:v>
      </x:c>
      <x:c r="M60" s="5" t="str">
        <x:v>—</x:v>
      </x:c>
      <x:c r="N60" s="5" t="str">
        <x:v>Dump 23-09-2026; registry idéntico en ambas carpetas</x:v>
      </x:c>
    </x:row>
    <x:row r="61" ht="42" customHeight="1">
      <x:c r="A61" s="10" t="str">
        <x:v>escuelas_arte</x:v>
      </x:c>
      <x:c r="B61" s="10" t="str">
        <x:v>Escuelas de Arte</x:v>
      </x:c>
      <x:c r="C61" s="10" t="str">
        <x:v>cultura</x:v>
      </x:c>
      <x:c r="D61" s="10" t="n">
        <x:v>-250</x:v>
      </x:c>
      <x:c r="E61" s="10" t="n">
        <x:v>12</x:v>
      </x:c>
      <x:c r="F61" s="10" t="str">
        <x:v>—</x:v>
      </x:c>
      <x:c r="G61" s="10" t="n">
        <x:v>3</x:v>
      </x:c>
      <x:c r="H61" s="10" t="str">
        <x:v>fusionar</x:v>
      </x:c>
      <x:c r="I61" s="10" t="str">
        <x:v>programa_cultural</x:v>
      </x:c>
      <x:c r="J61" s="10" t="str">
        <x:v>Formación cultural integrada.</x:v>
      </x:c>
      <x:c r="K61" s="10" t="str">
        <x:v>Retirar popularidad, voto, antagonismo, mantenimiento genérico y retornos por categoría. Aplicar sólo 05.</x:v>
      </x:c>
      <x:c r="L61" s="10" t="str">
        <x:v>Sin condición adicional declarada</x:v>
      </x:c>
      <x:c r="M61" s="10" t="str">
        <x:v>—</x:v>
      </x:c>
      <x:c r="N61" s="10" t="str">
        <x:v>Dump 23-09-2026; registry idéntico en ambas carpetas</x:v>
      </x:c>
    </x:row>
    <x:row r="62" ht="42" customHeight="1">
      <x:c r="A62" s="5" t="str">
        <x:v>museos_interactivos</x:v>
      </x:c>
      <x:c r="B62" s="5" t="str">
        <x:v>Museos Interactivos</x:v>
      </x:c>
      <x:c r="C62" s="5" t="str">
        <x:v>cultura</x:v>
      </x:c>
      <x:c r="D62" s="5" t="n">
        <x:v>-400</x:v>
      </x:c>
      <x:c r="E62" s="5" t="n">
        <x:v>15</x:v>
      </x:c>
      <x:c r="F62" s="5" t="str">
        <x:v>—</x:v>
      </x:c>
      <x:c r="G62" s="5" t="n">
        <x:v>3</x:v>
      </x:c>
      <x:c r="H62" s="5" t="str">
        <x:v>fusionar</x:v>
      </x:c>
      <x:c r="I62" s="5" t="str">
        <x:v>patrimonio_historico</x:v>
      </x:c>
      <x:c r="J62" s="5" t="str">
        <x:v>Equipamiento patrimonial y turístico como variante.</x:v>
      </x:c>
      <x:c r="K62" s="5" t="str">
        <x:v>Retirar popularidad, voto, antagonismo, mantenimiento genérico y retornos por categoría. Aplicar sólo 05.</x:v>
      </x:c>
      <x:c r="L62" s="5" t="str">
        <x:v>Sin condición adicional declarada</x:v>
      </x:c>
      <x:c r="M62" s="5" t="str">
        <x:v>—</x:v>
      </x:c>
      <x:c r="N62" s="5" t="str">
        <x:v>Dump 23-09-2026; registry idéntico en ambas carpetas</x:v>
      </x:c>
    </x:row>
    <x:row r="63" ht="42" customHeight="1">
      <x:c r="A63" s="10" t="str">
        <x:v>festivales_regionales</x:v>
      </x:c>
      <x:c r="B63" s="10" t="str">
        <x:v>Festivales Regionales</x:v>
      </x:c>
      <x:c r="C63" s="10" t="str">
        <x:v>cultura</x:v>
      </x:c>
      <x:c r="D63" s="10" t="n">
        <x:v>-300</x:v>
      </x:c>
      <x:c r="E63" s="10" t="n">
        <x:v>18</x:v>
      </x:c>
      <x:c r="F63" s="10" t="str">
        <x:v>—</x:v>
      </x:c>
      <x:c r="G63" s="10" t="n">
        <x:v>3</x:v>
      </x:c>
      <x:c r="H63" s="10" t="str">
        <x:v>fusionar</x:v>
      </x:c>
      <x:c r="I63" s="10" t="str">
        <x:v>programa_cultural</x:v>
      </x:c>
      <x:c r="J63" s="10" t="str">
        <x:v>Escala regional como foco del mismo programa.</x:v>
      </x:c>
      <x:c r="K63" s="10" t="str">
        <x:v>Retirar popularidad, voto, antagonismo, mantenimiento genérico y retornos por categoría. Aplicar sólo 05.</x:v>
      </x:c>
      <x:c r="L63" s="10" t="str">
        <x:v>Sin condición adicional declarada</x:v>
      </x:c>
      <x:c r="M63" s="10" t="str">
        <x:v>—</x:v>
      </x:c>
      <x:c r="N63" s="10" t="str">
        <x:v>Dump 23-09-2026; registry idéntico en ambas carpetas</x:v>
      </x:c>
    </x:row>
    <x:row r="64" ht="42" customHeight="1">
      <x:c r="A64" s="5" t="str">
        <x:v>promover_educacion</x:v>
      </x:c>
      <x:c r="B64" s="5" t="str">
        <x:v>Promover Educación</x:v>
      </x:c>
      <x:c r="C64" s="5" t="str">
        <x:v>educacion</x:v>
      </x:c>
      <x:c r="D64" s="5" t="n">
        <x:v>-100</x:v>
      </x:c>
      <x:c r="E64" s="5" t="n">
        <x:v>10</x:v>
      </x:c>
      <x:c r="F64" s="5" t="str">
        <x:v>—</x:v>
      </x:c>
      <x:c r="G64" s="5" t="n">
        <x:v>1</x:v>
      </x:c>
      <x:c r="H64" s="5" t="str">
        <x:v>fusionar</x:v>
      </x:c>
      <x:c r="I64" s="5" t="str">
        <x:v>programa_educativo</x:v>
      </x:c>
      <x:c r="J64" s="5" t="str">
        <x:v>Acción genérica redundante con el programa educativo.</x:v>
      </x:c>
      <x:c r="K64" s="5" t="str">
        <x:v>Retirar popularidad, voto, antagonismo, mantenimiento genérico y retornos por categoría. Aplicar sólo 05.</x:v>
      </x:c>
      <x:c r="L64" s="5" t="str">
        <x:v>Sin condición adicional declarada</x:v>
      </x:c>
      <x:c r="M64" s="5" t="str">
        <x:v>—</x:v>
      </x:c>
      <x:c r="N64" s="5" t="str">
        <x:v>Dump 23-09-2026; registry idéntico en ambas carpetas</x:v>
      </x:c>
    </x:row>
    <x:row r="65" ht="42" customHeight="1">
      <x:c r="A65" s="10" t="str">
        <x:v>fomentar_turismo</x:v>
      </x:c>
      <x:c r="B65" s="10" t="str">
        <x:v>Fomentar Turismo</x:v>
      </x:c>
      <x:c r="C65" s="10" t="str">
        <x:v>turismo</x:v>
      </x:c>
      <x:c r="D65" s="10" t="n">
        <x:v>-50</x:v>
      </x:c>
      <x:c r="E65" s="10" t="n">
        <x:v>8</x:v>
      </x:c>
      <x:c r="F65" s="10" t="str">
        <x:v>—</x:v>
      </x:c>
      <x:c r="G65" s="10" t="n">
        <x:v>1</x:v>
      </x:c>
      <x:c r="H65" s="10" t="str">
        <x:v>fusionar</x:v>
      </x:c>
      <x:c r="I65" s="10" t="str">
        <x:v>patrimonio_historico</x:v>
      </x:c>
      <x:c r="J65" s="10" t="str">
        <x:v>Evita beneficio inmediato barato sin capacidad turística.</x:v>
      </x:c>
      <x:c r="K65" s="10" t="str">
        <x:v>Retirar popularidad, voto, antagonismo, mantenimiento genérico y retornos por categoría. Aplicar sólo 05.</x:v>
      </x:c>
      <x:c r="L65" s="10" t="str">
        <x:v>Sin condición adicional declarada</x:v>
      </x:c>
      <x:c r="M65" s="10" t="str">
        <x:v>—</x:v>
      </x:c>
      <x:c r="N65" s="10" t="str">
        <x:v>Dump 23-09-2026; registry idéntico en ambas carpetas</x:v>
      </x:c>
    </x:row>
    <x:row r="66" ht="42" customHeight="1">
      <x:c r="A66" s="5" t="str">
        <x:v>desarrollar_tecnologia</x:v>
      </x:c>
      <x:c r="B66" s="5" t="str">
        <x:v>Desarrollar Tecnología</x:v>
      </x:c>
      <x:c r="C66" s="5" t="str">
        <x:v>tecnologia</x:v>
      </x:c>
      <x:c r="D66" s="5" t="n">
        <x:v>-200</x:v>
      </x:c>
      <x:c r="E66" s="5" t="n">
        <x:v>12</x:v>
      </x:c>
      <x:c r="F66" s="5" t="str">
        <x:v>—</x:v>
      </x:c>
      <x:c r="G66" s="5" t="n">
        <x:v>3</x:v>
      </x:c>
      <x:c r="H66" s="5" t="str">
        <x:v>modificar</x:v>
      </x:c>
      <x:c r="I66" s="5" t="str">
        <x:v>desarrollar_tecnologia</x:v>
      </x:c>
      <x:c r="J66" s="5" t="str">
        <x:v>Transforma capacidad científica previa en actividad futura.</x:v>
      </x:c>
      <x:c r="K66" s="5" t="str">
        <x:v>Retirar popularidad, voto, antagonismo, mantenimiento genérico y retornos por categoría. Aplicar sólo 05.</x:v>
      </x:c>
      <x:c r="L66" s="5" t="str">
        <x:v>Sin condición adicional declarada</x:v>
      </x:c>
      <x:c r="M66" s="5" t="str">
        <x:v>—</x:v>
      </x:c>
      <x:c r="N66" s="5" t="str">
        <x:v>Dump 23-09-2026; registry idéntico en ambas carpetas</x:v>
      </x:c>
    </x:row>
  </x:sheetData>
  <x:pageMargins left="0.7" right="0.7" top="0.75" bottom="0.75" header="0.3" footer="0.3"/>
  <x:tableParts count="1">
    <x:tablePart xmlns:r="http://schemas.openxmlformats.org/officeDocument/2006/relationships" r:id="Rcedc02c3d03d4a64"/>
  </x:tableParts>
</x:worksheet>
</file>

<file path=xl/worksheets/sheet11.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8" hidden="0" customWidth="1"/>
    <x:col min="2" max="2" width="43" hidden="0" customWidth="1"/>
    <x:col min="3" max="3" width="73" hidden="0" customWidth="1"/>
    <x:col min="4" max="4" width="87" hidden="0" customWidth="1"/>
    <x:col min="5" max="5" width="22" hidden="0" customWidth="1"/>
    <x:col min="6" max="6" width="17" hidden="0" customWidth="1"/>
    <x:col min="7" max="7" width="25" hidden="0" customWidth="1"/>
    <x:col min="8" max="8" width="84" hidden="0" customWidth="1"/>
  </x:cols>
  <x:sheetData>
    <x:row r="2" ht="28" customHeight="1">
      <x:c r="A2" s="1" t="str">
        <x:v>Políticas nuevas</x:v>
      </x:c>
    </x:row>
    <x:row r="3" ht="23" customHeight="1">
      <x:c r="A3" s="11" t="str">
        <x:v>Incorporaciones justificadas por una decisión jugable. La auditoría no conserva 61 botones por inercia.</x:v>
      </x:c>
    </x:row>
    <x:row r="5" ht="42" customHeight="1">
      <x:c r="A5" s="9" t="str">
        <x:v>actionId</x:v>
      </x:c>
      <x:c r="B5" s="9" t="str">
        <x:v>Propuesta</x:v>
      </x:c>
      <x:c r="C5" s="9" t="str">
        <x:v>Hueco sistémico</x:v>
      </x:c>
      <x:c r="D5" s="9" t="str">
        <x:v>Por qué no basta lo actual</x:v>
      </x:c>
      <x:c r="E5" s="9" t="str">
        <x:v>Costo inicial U</x:v>
      </x:c>
      <x:c r="F5" s="9" t="str">
        <x:v>Costo PA</x:v>
      </x:c>
      <x:c r="G5" s="9" t="str">
        <x:v>Prioridad</x:v>
      </x:c>
      <x:c r="H5" s="9" t="str">
        <x:v>Riesgo / límite</x:v>
      </x:c>
    </x:row>
    <x:row r="6" ht="34" customHeight="1">
      <x:c r="A6" s="5" t="str">
        <x:v>credito_pyme</x:v>
      </x:c>
      <x:c r="B6" s="5" t="str">
        <x:v>Garantías de crédito PyME</x:v>
      </x:c>
      <x:c r="C6" s="5" t="str">
        <x:v>Cubre el canal de crédito sin beneficiar por etiqueta.</x:v>
      </x:c>
      <x:c r="D6" s="5" t="str">
        <x:v>Emprendimiento anterior no tenía un canal de crédito concreto.</x:v>
      </x:c>
      <x:c r="E6" s="5" t="n">
        <x:v>-160</x:v>
      </x:c>
      <x:c r="F6" s="5" t="n">
        <x:v>1</x:v>
      </x:c>
      <x:c r="G6" s="5" t="str">
        <x:v>MVP propuesto</x:v>
      </x:c>
      <x:c r="H6" s="5" t="str">
        <x:v>Fondo acotado de garantías para inversión y capital de trabajo.</x:v>
      </x:c>
    </x:row>
    <x:row r="7" ht="34" customHeight="1">
      <x:c r="A7" s="10" t="str">
        <x:v>carrera_cientifica</x:v>
      </x:c>
      <x:c r="B7" s="10" t="str">
        <x:v>Sostener equipos científicos</x:v>
      </x:c>
      <x:c r="C7" s="10" t="str">
        <x:v>Protege capacidades con compromiso recurrente.</x:v>
      </x:c>
      <x:c r="D7" s="10" t="str">
        <x:v>Ninguna acción actual cubre este instrumento con resultados y timing explícitos.</x:v>
      </x:c>
      <x:c r="E7" s="10" t="n">
        <x:v>-100</x:v>
      </x:c>
      <x:c r="F7" s="10" t="n">
        <x:v>1</x:v>
      </x:c>
      <x:c r="G7" s="10" t="str">
        <x:v>MVP propuesto</x:v>
      </x:c>
      <x:c r="H7" s="10" t="str">
        <x:v>Da continuidad presupuestaria a equipos y formación.</x:v>
      </x:c>
    </x:row>
    <x:row r="8" ht="34" customHeight="1">
      <x:c r="A8" s="5" t="str">
        <x:v>transparencia_publica</x:v>
      </x:c>
      <x:c r="B8" s="5" t="str">
        <x:v>Transparencia y compras abiertas</x:v>
      </x:c>
      <x:c r="C8" s="5" t="str">
        <x:v>Garantías tempranas, ahorro fiscal demorado.</x:v>
      </x:c>
      <x:c r="D8" s="5" t="str">
        <x:v>Ninguna acción actual cubre este instrumento con resultados y timing explícitos.</x:v>
      </x:c>
      <x:c r="E8" s="5" t="n">
        <x:v>-100</x:v>
      </x:c>
      <x:c r="F8" s="5" t="n">
        <x:v>1</x:v>
      </x:c>
      <x:c r="G8" s="5" t="str">
        <x:v>MVP propuesto</x:v>
      </x:c>
      <x:c r="H8" s="5" t="str">
        <x:v>Publica contratos y refuerza auditoría operativa.</x:v>
      </x:c>
    </x:row>
    <x:row r="9" ht="34" customHeight="1">
      <x:c r="A9" s="10" t="str">
        <x:v>estabilizacion_monetaria</x:v>
      </x:c>
      <x:c r="B9" s="10" t="str">
        <x:v>Programa de estabilización monetaria</x:v>
      </x:c>
      <x:c r="C9" s="10" t="str">
        <x:v>Baja presión con costo transitorio de crédito y actividad.</x:v>
      </x:c>
      <x:c r="D9" s="10" t="str">
        <x:v>Ninguna acción actual cubre este instrumento con resultados y timing explícitos.</x:v>
      </x:c>
      <x:c r="E9" s="10" t="n">
        <x:v>-50</x:v>
      </x:c>
      <x:c r="F9" s="10" t="n">
        <x:v>1</x:v>
      </x:c>
      <x:c r="G9" s="10" t="str">
        <x:v>MVP propuesto</x:v>
      </x:c>
      <x:c r="H9" s="10" t="str">
        <x:v>Retira estímulo y prioriza anclaje nominal durante tres turnos.</x:v>
      </x:c>
    </x:row>
    <x:row r="10" ht="34" customHeight="1">
      <x:c r="A10" s="5" t="str">
        <x:v>alivio_tributario</x:v>
      </x:c>
      <x:c r="B10" s="5" t="str">
        <x:v>Alivio tributario temporal</x:v>
      </x:c>
      <x:c r="C10" s="5" t="str">
        <x:v>Ingreso disponible y actividad a costa de margen fiscal.</x:v>
      </x:c>
      <x:c r="D10" s="5" t="str">
        <x:v>Ninguna acción actual cubre este instrumento con resultados y timing explícitos.</x:v>
      </x:c>
      <x:c r="E10" s="5" t="n">
        <x:v>-30</x:v>
      </x:c>
      <x:c r="F10" s="5" t="n">
        <x:v>1</x:v>
      </x:c>
      <x:c r="G10" s="5" t="str">
        <x:v>MVP propuesto</x:v>
      </x:c>
      <x:c r="H10" s="5" t="str">
        <x:v>Reduce cargas por cuatro turnos.</x:v>
      </x:c>
    </x:row>
    <x:row r="11" ht="42" customHeight="1">
      <x:c r="A11" s="10" t="str">
        <x:v>reestructurar_deuda</x:v>
      </x:c>
      <x:c r="B11" s="10" t="str">
        <x:v>Reperfilar un vencimiento</x:v>
      </x:c>
      <x:c r="C11" s="10" t="str">
        <x:v>Evita un salto de caja pero encarece el contrato.</x:v>
      </x:c>
      <x:c r="D11" s="10" t="str">
        <x:v>Ninguna acción actual cubre este instrumento con resultados y timing explícitos.</x:v>
      </x:c>
      <x:c r="E11" s="10" t="n">
        <x:v>-80</x:v>
      </x:c>
      <x:c r="F11" s="10" t="n">
        <x:v>1</x:v>
      </x:c>
      <x:c r="G11" s="10" t="str">
        <x:v>MVP propuesto</x:v>
      </x:c>
      <x:c r="H11" s="10" t="str">
        <x:v>Con acreedor informado, difiere un vencimiento por cuatro turnos y aumenta interés.</x:v>
      </x:c>
    </x:row>
    <x:row r="12" ht="34" customHeight="1">
      <x:c r="A12" s="5" t="str">
        <x:v>reunirse</x:v>
      </x:c>
      <x:c r="B12" s="5" t="str">
        <x:v>Reunirse con un actor</x:v>
      </x:c>
      <x:c r="C12" s="5" t="str">
        <x:v>Costo de agenda. No sube S ni R.</x:v>
      </x:c>
      <x:c r="D12" s="5" t="str">
        <x:v>Reemplaza el acceso directo a acuerdos y el incremento comprado de apoyo.</x:v>
      </x:c>
      <x:c r="E12" s="5" t="n">
        <x:v>0</x:v>
      </x:c>
      <x:c r="F12" s="5" t="n">
        <x:v>1</x:v>
      </x:c>
      <x:c r="G12" s="5" t="str">
        <x:v>Núcleo obligatorio</x:v>
      </x:c>
      <x:c r="H12" s="5" t="str">
        <x:v>Revela prioridades y abre acceso a negociación durante cuatro turnos.</x:v>
      </x:c>
    </x:row>
    <x:row r="13" ht="34" customHeight="1">
      <x:c r="A13" s="10" t="str">
        <x:v>negociar</x:v>
      </x:c>
      <x:c r="B13" s="10" t="str">
        <x:v>Negociar una demanda</x:v>
      </x:c>
      <x:c r="C13" s="10" t="str">
        <x:v>Requiere reunión reciente y oferta factible.</x:v>
      </x:c>
      <x:c r="D13" s="10" t="str">
        <x:v>Reemplaza el acceso directo a acuerdos y el incremento comprado de apoyo.</x:v>
      </x:c>
      <x:c r="E13" s="10" t="n">
        <x:v>0</x:v>
      </x:c>
      <x:c r="F13" s="10" t="n">
        <x:v>1</x:v>
      </x:c>
      <x:c r="G13" s="10" t="str">
        <x:v>Núcleo obligatorio</x:v>
      </x:c>
      <x:c r="H13" s="10" t="str">
        <x:v>Selecciona resultado, plazo y contraprestación verificables.</x:v>
      </x:c>
    </x:row>
    <x:row r="14" ht="34" customHeight="1">
      <x:c r="A14" s="5" t="str">
        <x:v>firmar_acuerdo</x:v>
      </x:c>
      <x:c r="B14" s="5" t="str">
        <x:v>Firmar compromiso verificable</x:v>
      </x:c>
      <x:c r="C14" s="5" t="str">
        <x:v>Mejora confianza sólo al cumplir; apoyo acotado al objeto.</x:v>
      </x:c>
      <x:c r="D14" s="5" t="str">
        <x:v>Reemplaza el acceso directo a acuerdos y el incremento comprado de apoyo.</x:v>
      </x:c>
      <x:c r="E14" s="5" t="n">
        <x:v>0</x:v>
      </x:c>
      <x:c r="F14" s="5" t="n">
        <x:v>1</x:v>
      </x:c>
      <x:c r="G14" s="5" t="str">
        <x:v>Núcleo obligatorio</x:v>
      </x:c>
      <x:c r="H14" s="5" t="str">
        <x:v>Registra obligación de resultado o procedimiento y contraprestación.</x:v>
      </x:c>
    </x:row>
  </x:sheetData>
  <x:pageMargins left="0.7" right="0.7" top="0.75" bottom="0.75" header="0.3" footer="0.3"/>
  <x:tableParts count="1">
    <x:tablePart xmlns:r="http://schemas.openxmlformats.org/officeDocument/2006/relationships" r:id="R457f1ba733094bc7"/>
  </x:tableParts>
</x:worksheet>
</file>

<file path=xl/worksheets/sheet12.xml><?xml version="1.0" encoding="utf-8"?>
<x:worksheet xmlns:x="http://schemas.openxmlformats.org/spreadsheetml/2006/main">
  <x:sheetPr>
    <x:tabColor rgb="FF5C82B2"/>
  </x:sheetPr>
  <x:sheetViews>
    <x:sheetView showGridLines="0" workbookViewId="0">
      <x:pane xSplit="2" ySplit="5" topLeftCell="C6" activePane="bottomRight" state="frozen"/>
    </x:sheetView>
  </x:sheetViews>
  <x:sheetFormatPr defaultRowHeight="15"/>
  <x:cols>
    <x:col min="1" max="1" width="23" hidden="0" customWidth="1"/>
    <x:col min="2" max="2" width="20" hidden="0" customWidth="1"/>
    <x:col min="3" max="3" width="65" hidden="0" customWidth="1"/>
    <x:col min="4" max="4" width="24" hidden="0" customWidth="1"/>
    <x:col min="5" max="5" width="27" hidden="0" customWidth="1"/>
    <x:col min="6" max="6" width="27" hidden="0" customWidth="1"/>
    <x:col min="7" max="7" width="27" hidden="0" customWidth="1"/>
    <x:col min="8" max="8" width="28" hidden="0" customWidth="1"/>
    <x:col min="9" max="9" width="56" hidden="0" customWidth="1"/>
    <x:col min="10" max="10" width="31" hidden="0" customWidth="1"/>
    <x:col min="11" max="11" width="25" hidden="0" customWidth="1"/>
    <x:col min="12" max="12" width="108" hidden="0" customWidth="1"/>
    <x:col min="13" max="13" width="24" hidden="0" customWidth="1"/>
    <x:col min="14" max="14" width="28" hidden="0" customWidth="1"/>
    <x:col min="15" max="15" width="26" hidden="0" customWidth="1"/>
    <x:col min="16" max="16" width="25" hidden="0" customWidth="1"/>
    <x:col min="17" max="17" width="18" hidden="0" customWidth="1"/>
    <x:col min="18" max="18" width="108" hidden="0" customWidth="1"/>
  </x:cols>
  <x:sheetData>
    <x:row r="2" ht="28" customHeight="1">
      <x:c r="A2" s="1" t="str">
        <x:v>Pruebas de causalidad</x:v>
      </x:c>
    </x:row>
    <x:row r="3" ht="23" customHeight="1">
      <x:c r="A3" s="11" t="str">
        <x:v>Cinco casos independientes, 10 turnos. Debajo: caja, indicadores, actores y detalle de efectos. E social no es % de votos.</x:v>
      </x:c>
    </x:row>
    <x:row r="5" ht="42" customHeight="1">
      <x:c r="A5" s="9" t="str">
        <x:v>scenarioId</x:v>
      </x:c>
      <x:c r="B5" s="9" t="str">
        <x:v>Cadena</x:v>
      </x:c>
      <x:c r="C5" s="9" t="str">
        <x:v>Qué demuestra</x:v>
      </x:c>
      <x:c r="D5" s="9" t="str">
        <x:v>Indicador clave</x:v>
      </x:c>
      <x:c r="E5" s="9" t="str">
        <x:v>Cierre T10</x:v>
      </x:c>
      <x:c r="F5" s="9" t="str">
        <x:v>Actor clave</x:v>
      </x:c>
      <x:c r="G5" s="9" t="str">
        <x:v>S cierre T10</x:v>
      </x:c>
      <x:c r="H5" s="9" t="str">
        <x:v>E social T10</x:v>
      </x:c>
      <x:c r="I5" s="9" t="str">
        <x:v>Consecuencia política</x:v>
      </x:c>
    </x:row>
    <x:row r="6" ht="100" customHeight="1">
      <x:c r="A6" s="5" t="str">
        <x:v>S1_EMISION</x:v>
      </x:c>
      <x:c r="B6" s="5" t="str">
        <x:v>Emisión repetida</x:v>
      </x:c>
      <x:c r="C6" s="5" t="str">
        <x:v>Cinco usos consecutivos; el tercero agrava y el quinto satura cap. El daño continúa al dejar de emitir.</x:v>
      </x:c>
      <x:c r="D6" s="5" t="str">
        <x:v>inflacion</x:v>
      </x:c>
      <x:c r="E6" s="5" t="n">
        <x:f>$K$195</x:f>
        <x:v>56.55930790000001</x:v>
      </x:c>
      <x:c r="F6" s="5" t="str">
        <x:v>clase_media</x:v>
      </x:c>
      <x:c r="G6" s="5" t="n">
        <x:f>$F$940</x:f>
        <x:v>43.420844224137525</x:v>
      </x:c>
      <x:c r="H6" s="5" t="n">
        <x:f>$K$935</x:f>
        <x:v>46.72784447160291</x:v>
      </x:c>
      <x:c r="I6" s="5" t="str">
        <x:f>IF(I940=1,"Conflicto activo: canal de 07 opera en T11. E social ya incorpora la satisfacción.","Sin canal extremo del actor destacado. Su satisfacción modifica E social; cooperar requiere S&gt;=65, R&gt;=55 y acuerdo.")</x:f>
        <x:v>Sin canal extremo del actor destacado. Su satisfacción modifica E social; cooperar requiere S&gt;=65, R&gt;=55 y acuerdo.</x:v>
      </x:c>
    </x:row>
    <x:row r="7" ht="100" customHeight="1">
      <x:c r="A7" s="10" t="str">
        <x:v>S2_VIAL</x:v>
      </x:c>
      <x:c r="B7" s="10" t="str">
        <x:v>Infraestructura vial</x:v>
      </x:c>
      <x:c r="C7" s="10" t="str">
        <x:v>Estudio T1; obra T2; red T4, exportación y mantenimiento T5. El beneficio temporal de actividad se retira en T4.</x:v>
      </x:c>
      <x:c r="D7" s="10" t="str">
        <x:v>infraestructura</x:v>
      </x:c>
      <x:c r="E7" s="10" t="n">
        <x:f>$K$341</x:f>
        <x:v>51</x:v>
      </x:c>
      <x:c r="F7" s="10" t="str">
        <x:v>agro</x:v>
      </x:c>
      <x:c r="G7" s="10" t="n">
        <x:f>$F$1116</x:f>
        <x:v>48.14847908776865</x:v>
      </x:c>
      <x:c r="H7" s="10" t="n">
        <x:f>$K$1115</x:f>
        <x:v>49.28781034611279</x:v>
      </x:c>
      <x:c r="I7" s="10" t="str">
        <x:f>IF(I1116=1,"Conflicto activo: canal de 07 opera en T11. E social ya incorpora la satisfacción.","Sin canal extremo del actor destacado. Su satisfacción modifica E social; cooperar requiere S&gt;=65, R&gt;=55 y acuerdo.")</x:f>
        <x:v>Sin canal extremo del actor destacado. Su satisfacción modifica E social; cooperar requiere S&gt;=65, R&gt;=55 y acuerdo.</x:v>
      </x:c>
    </x:row>
    <x:row r="8" ht="100" customHeight="1">
      <x:c r="A8" s="5" t="str">
        <x:v>S3_SALARIO</x:v>
      </x:c>
      <x:c r="B8" s="5" t="str">
        <x:v>Aumento salarial</x:v>
      </x:c>
      <x:c r="C8" s="5" t="str">
        <x:v>Reuniones T1/T5 habilitan aumentos T2/T6. Dos compromisos salariales acumulan120 U de gasto/turno desde T7.</x:v>
      </x:c>
      <x:c r="D8" s="5" t="str">
        <x:v>ingreso_real</x:v>
      </x:c>
      <x:c r="E8" s="5" t="n">
        <x:f>$K$477</x:f>
        <x:v>54.985221989559996</x:v>
      </x:c>
      <x:c r="F8" s="5" t="str">
        <x:v>sindicatos</x:v>
      </x:c>
      <x:c r="G8" s="5" t="n">
        <x:f>$F$1298</x:f>
        <x:v>51.11368590390985</x:v>
      </x:c>
      <x:c r="H8" s="5" t="n">
        <x:f>$K$1295</x:f>
        <x:v>49.895230183912034</x:v>
      </x:c>
      <x:c r="I8" s="5" t="str">
        <x:f>IF(I1298=1,"Conflicto activo: canal de 07 opera en T11. E social ya incorpora la satisfacción.","Sin canal extremo del actor destacado. Su satisfacción modifica E social; cooperar requiere S&gt;=65, R&gt;=55 y acuerdo.")</x:f>
        <x:v>Sin canal extremo del actor destacado. Su satisfacción modifica E social; cooperar requiere S&gt;=65, R&gt;=55 y acuerdo.</x:v>
      </x:c>
    </x:row>
    <x:row r="9" ht="100" customHeight="1">
      <x:c r="A9" s="10" t="str">
        <x:v>S4_PRESTAMO</x:v>
      </x:c>
      <x:c r="B9" s="10" t="str">
        <x:v>Préstamo externo</x:v>
      </x:c>
      <x:c r="C9" s="10" t="str">
        <x:v>Recaudación modernizada T1; préstamo T2; ocho intereses T3..T10 y principal800 en T10.</x:v>
      </x:c>
      <x:c r="D9" s="10" t="str">
        <x:v>fiscal</x:v>
      </x:c>
      <x:c r="E9" s="10" t="n">
        <x:f>$K$619</x:f>
        <x:v>62.584028533007995</x:v>
      </x:c>
      <x:c r="F9" s="10" t="str">
        <x:v>financiero</x:v>
      </x:c>
      <x:c r="G9" s="10" t="n">
        <x:f>$F$1477</x:f>
        <x:v>54.98966618975797</x:v>
      </x:c>
      <x:c r="H9" s="10" t="n">
        <x:f>$K$1475</x:f>
        <x:v>48.98551075213971</x:v>
      </x:c>
      <x:c r="I9" s="10" t="str">
        <x:f>IF(I1477=1,"Conflicto activo: canal de 07 opera en T11. E social ya incorpora la satisfacción.","Sin canal extremo del actor destacado. Su satisfacción modifica E social; cooperar requiere S&gt;=65, R&gt;=55 y acuerdo.")</x:f>
        <x:v>Sin canal extremo del actor destacado. Su satisfacción modifica E social; cooperar requiere S&gt;=65, R&gt;=55 y acuerdo.</x:v>
      </x:c>
    </x:row>
    <x:row r="10" ht="100" customHeight="1">
      <x:c r="A10" s="5" t="str">
        <x:v>S5_SEGURIDAD</x:v>
      </x:c>
      <x:c r="B10" s="5" t="str">
        <x:v>Seguridad e instituciones</x:v>
      </x:c>
      <x:c r="C10" s="5" t="str">
        <x:v>Escenario de garantías20 y R derechos30. Operativos dan alivio breve con daño diferido; transparencia mejora controles.</x:v>
      </x:c>
      <x:c r="D10" s="5" t="str">
        <x:v>derechos</x:v>
      </x:c>
      <x:c r="E10" s="5" t="n">
        <x:f>$K$767</x:f>
        <x:v>19</x:v>
      </x:c>
      <x:c r="F10" s="5" t="str">
        <x:v>ddhh</x:v>
      </x:c>
      <x:c r="G10" s="5" t="n">
        <x:f>$F$1666</x:f>
        <x:v>29.94702324099302</x:v>
      </x:c>
      <x:c r="H10" s="5" t="n">
        <x:f>$K$1655</x:f>
        <x:v>43.804943719853114</x:v>
      </x:c>
      <x:c r="I10" s="5" t="str">
        <x:f>IF(I1666=1,"Conflicto activo: canal de 07 opera en T11. E social ya incorpora la satisfacción.","Sin canal extremo del actor destacado. Su satisfacción modifica E social; cooperar requiere S&gt;=65, R&gt;=55 y acuerdo.")</x:f>
        <x:v>Conflicto activo: canal de 07 opera en T11. E social ya incorpora la satisfacción.</x:v>
      </x:c>
    </x:row>
    <x:row r="14" ht="42" customHeight="1">
      <x:c r="A14" s="9" t="str">
        <x:v>scenarioId</x:v>
      </x:c>
      <x:c r="B14" s="9" t="str">
        <x:v>Turno</x:v>
      </x:c>
      <x:c r="C14" s="9" t="str">
        <x:v>Comandos confirmados</x:v>
      </x:c>
      <x:c r="D14" s="9" t="str">
        <x:v>Caja inicial</x:v>
      </x:c>
      <x:c r="E14" s="9" t="str">
        <x:v>Flujos ejecución netos</x:v>
      </x:c>
      <x:c r="F14" s="9" t="str">
        <x:v>Recaudación</x:v>
      </x:c>
      <x:c r="G14" s="9" t="str">
        <x:v>Gasto recurrente</x:v>
      </x:c>
      <x:c r="H14" s="9" t="str">
        <x:v>Intereses</x:v>
      </x:c>
      <x:c r="I14" s="9" t="str">
        <x:v>Principal recibido</x:v>
      </x:c>
      <x:c r="J14" s="9" t="str">
        <x:v>Principal pagado</x:v>
      </x:c>
      <x:c r="K14" s="9" t="str">
        <x:v>Emisión</x:v>
      </x:c>
      <x:c r="L14" s="9" t="str">
        <x:v>Caja final</x:v>
      </x:c>
      <x:c r="M14" s="9" t="str">
        <x:v>Deuda final</x:v>
      </x:c>
      <x:c r="N14" s="9" t="str">
        <x:v>Resultado fiscal U</x:v>
      </x:c>
      <x:c r="O14" s="9" t="str">
        <x:v>Margen fiscal</x:v>
      </x:c>
      <x:c r="P14" s="9" t="str">
        <x:v>Emisiones ventana5</x:v>
      </x:c>
      <x:c r="Q14" s="9" t="str">
        <x:v>PA usados</x:v>
      </x:c>
      <x:c r="R14" s="9" t="str">
        <x:v>Precondiciones</x:v>
      </x:c>
    </x:row>
    <x:row r="15" ht="34" customHeight="1">
      <x:c r="A15" s="5" t="str">
        <x:v>S1_EMISION</x:v>
      </x:c>
      <x:c r="B15" s="5" t="n">
        <x:v>1</x:v>
      </x:c>
      <x:c r="C15" s="5" t="str">
        <x:v>emitir_dinero</x:v>
      </x:c>
      <x:c r="D15" s="5" t="n">
        <x:f>'00_Arquitectura'!$B$91</x:f>
        <x:v>1200</x:v>
      </x:c>
      <x:c r="E15" s="5" t="n">
        <x:f>0-0-(0)</x:f>
        <x:v>0</x:v>
      </x:c>
      <x:c r="F15" s="5" t="n">
        <x:f>'00_Arquitectura'!$B$92+'00_Arquitectura'!$B$94*('01_Indicadores'!$H$7-50)+0</x:f>
        <x:v>500</x:v>
      </x:c>
      <x:c r="G15" s="5" t="n">
        <x:f>MAX(0,'00_Arquitectura'!$B$93+0)</x:f>
        <x:v>420</x:v>
      </x:c>
      <x:c r="H15" s="5" t="n">
        <x:f>0</x:f>
        <x:v>0</x:v>
      </x:c>
      <x:c r="I15" s="5" t="n">
        <x:f>0</x:f>
        <x:v>0</x:v>
      </x:c>
      <x:c r="J15" s="5" t="n">
        <x:f>0</x:f>
        <x:v>0</x:v>
      </x:c>
      <x:c r="K15" s="5" t="n">
        <x:f>SUM($I$1677)</x:f>
        <x:v>300</x:v>
      </x:c>
      <x:c r="L15" s="5" t="n">
        <x:f>D15+E15+F15-G15-H15+I15-J15+K15</x:f>
        <x:v>1580</x:v>
      </x:c>
      <x:c r="M15" s="5" t="n">
        <x:f>0+I15-J15</x:f>
        <x:v>0</x:v>
      </x:c>
      <x:c r="N15" s="5" t="n">
        <x:f>E15+F15-G15-H15</x:f>
        <x:v>80</x:v>
      </x:c>
      <x:c r="O15" s="5" t="n">
        <x:f>MAX(0,MIN(100,'00_Arquitectura'!$B$114+50*(F15-G15-H15)/'00_Arquitectura'!$B$92-MIN('00_Arquitectura'!$B$116,M15/'00_Arquitectura'!$B$115)))</x:f>
        <x:v>58</x:v>
      </x:c>
      <x:c r="P15" s="5" t="n">
        <x:f>1</x:f>
        <x:v>1</x:v>
      </x:c>
      <x:c r="Q15" s="5" t="n">
        <x:f>1</x:f>
        <x:v>1</x:v>
      </x:c>
      <x:c r="R15" s="5" t="str">
        <x:v>Sólo condiciones globales del catálogo; sin acuerdos activos iniciales.</x:v>
      </x:c>
    </x:row>
    <x:row r="16" ht="34" customHeight="1">
      <x:c r="A16" s="10" t="str">
        <x:v>S1_EMISION</x:v>
      </x:c>
      <x:c r="B16" s="10" t="n">
        <x:v>2</x:v>
      </x:c>
      <x:c r="C16" s="10" t="str">
        <x:v>emitir_dinero</x:v>
      </x:c>
      <x:c r="D16" s="10" t="n">
        <x:f>$L$15</x:f>
        <x:v>1580</x:v>
      </x:c>
      <x:c r="E16" s="10" t="n">
        <x:f>0-0-(0)</x:f>
        <x:v>0</x:v>
      </x:c>
      <x:c r="F16" s="10" t="n">
        <x:f>'00_Arquitectura'!$B$92+'00_Arquitectura'!$B$94*($K$70-50)+0</x:f>
        <x:v>504</x:v>
      </x:c>
      <x:c r="G16" s="10" t="n">
        <x:f>MAX(0,'00_Arquitectura'!$B$93+0)</x:f>
        <x:v>420</x:v>
      </x:c>
      <x:c r="H16" s="10" t="n">
        <x:f>0</x:f>
        <x:v>0</x:v>
      </x:c>
      <x:c r="I16" s="10" t="n">
        <x:f>0</x:f>
        <x:v>0</x:v>
      </x:c>
      <x:c r="J16" s="10" t="n">
        <x:f>0</x:f>
        <x:v>0</x:v>
      </x:c>
      <x:c r="K16" s="10" t="n">
        <x:f>SUM($I$1680)</x:f>
        <x:v>300</x:v>
      </x:c>
      <x:c r="L16" s="10" t="n">
        <x:f>D16+E16+F16-G16-H16+I16-J16+K16</x:f>
        <x:v>1964</x:v>
      </x:c>
      <x:c r="M16" s="10" t="n">
        <x:f>$M$15+I16-J16</x:f>
        <x:v>0</x:v>
      </x:c>
      <x:c r="N16" s="10" t="n">
        <x:f>E16+F16-G16-H16</x:f>
        <x:v>84</x:v>
      </x:c>
      <x:c r="O16" s="10" t="n">
        <x:f>MAX(0,MIN(100,'00_Arquitectura'!$B$114+50*(F16-G16-H16)/'00_Arquitectura'!$B$92-MIN('00_Arquitectura'!$B$116,M16/'00_Arquitectura'!$B$115)))</x:f>
        <x:v>58.4</x:v>
      </x:c>
      <x:c r="P16" s="10" t="n">
        <x:f>2</x:f>
        <x:v>2</x:v>
      </x:c>
      <x:c r="Q16" s="10" t="n">
        <x:f>1</x:f>
        <x:v>1</x:v>
      </x:c>
      <x:c r="R16" s="10" t="str">
        <x:v>Sólo condiciones globales del catálogo; sin acuerdos activos iniciales.</x:v>
      </x:c>
    </x:row>
    <x:row r="17" ht="34" customHeight="1">
      <x:c r="A17" s="5" t="str">
        <x:v>S1_EMISION</x:v>
      </x:c>
      <x:c r="B17" s="5" t="n">
        <x:v>3</x:v>
      </x:c>
      <x:c r="C17" s="5" t="str">
        <x:v>emitir_dinero</x:v>
      </x:c>
      <x:c r="D17" s="5" t="n">
        <x:f>$L$16</x:f>
        <x:v>1964</x:v>
      </x:c>
      <x:c r="E17" s="5" t="n">
        <x:f>0-0-(0)</x:f>
        <x:v>0</x:v>
      </x:c>
      <x:c r="F17" s="5" t="n">
        <x:f>'00_Arquitectura'!$B$92+'00_Arquitectura'!$B$94*($K$84-50)+0</x:f>
        <x:v>504</x:v>
      </x:c>
      <x:c r="G17" s="5" t="n">
        <x:f>MAX(0,'00_Arquitectura'!$B$93+0)</x:f>
        <x:v>420</x:v>
      </x:c>
      <x:c r="H17" s="5" t="n">
        <x:f>0</x:f>
        <x:v>0</x:v>
      </x:c>
      <x:c r="I17" s="5" t="n">
        <x:f>0</x:f>
        <x:v>0</x:v>
      </x:c>
      <x:c r="J17" s="5" t="n">
        <x:f>0</x:f>
        <x:v>0</x:v>
      </x:c>
      <x:c r="K17" s="5" t="n">
        <x:f>SUM($I$1683)</x:f>
        <x:v>300</x:v>
      </x:c>
      <x:c r="L17" s="5" t="n">
        <x:f>D17+E17+F17-G17-H17+I17-J17+K17</x:f>
        <x:v>2348</x:v>
      </x:c>
      <x:c r="M17" s="5" t="n">
        <x:f>$M$16+I17-J17</x:f>
        <x:v>0</x:v>
      </x:c>
      <x:c r="N17" s="5" t="n">
        <x:f>E17+F17-G17-H17</x:f>
        <x:v>84</x:v>
      </x:c>
      <x:c r="O17" s="5" t="n">
        <x:f>MAX(0,MIN(100,'00_Arquitectura'!$B$114+50*(F17-G17-H17)/'00_Arquitectura'!$B$92-MIN('00_Arquitectura'!$B$116,M17/'00_Arquitectura'!$B$115)))</x:f>
        <x:v>58.4</x:v>
      </x:c>
      <x:c r="P17" s="5" t="n">
        <x:f>3</x:f>
        <x:v>3</x:v>
      </x:c>
      <x:c r="Q17" s="5" t="n">
        <x:f>1</x:f>
        <x:v>1</x:v>
      </x:c>
      <x:c r="R17" s="5" t="str">
        <x:v>Sólo condiciones globales del catálogo; sin acuerdos activos iniciales.</x:v>
      </x:c>
    </x:row>
    <x:row r="18" ht="34" customHeight="1">
      <x:c r="A18" s="10" t="str">
        <x:v>S1_EMISION</x:v>
      </x:c>
      <x:c r="B18" s="10" t="n">
        <x:v>4</x:v>
      </x:c>
      <x:c r="C18" s="10" t="str">
        <x:v>emitir_dinero</x:v>
      </x:c>
      <x:c r="D18" s="10" t="n">
        <x:f>$L$17</x:f>
        <x:v>2348</x:v>
      </x:c>
      <x:c r="E18" s="10" t="n">
        <x:f>0-0-(0)</x:f>
        <x:v>0</x:v>
      </x:c>
      <x:c r="F18" s="10" t="n">
        <x:f>'00_Arquitectura'!$B$92+'00_Arquitectura'!$B$94*($K$98-50)+0</x:f>
        <x:v>504</x:v>
      </x:c>
      <x:c r="G18" s="10" t="n">
        <x:f>MAX(0,'00_Arquitectura'!$B$93+0)</x:f>
        <x:v>420</x:v>
      </x:c>
      <x:c r="H18" s="10" t="n">
        <x:f>0</x:f>
        <x:v>0</x:v>
      </x:c>
      <x:c r="I18" s="10" t="n">
        <x:f>0</x:f>
        <x:v>0</x:v>
      </x:c>
      <x:c r="J18" s="10" t="n">
        <x:f>0</x:f>
        <x:v>0</x:v>
      </x:c>
      <x:c r="K18" s="10" t="n">
        <x:f>SUM($I$1686)</x:f>
        <x:v>300</x:v>
      </x:c>
      <x:c r="L18" s="10" t="n">
        <x:f>D18+E18+F18-G18-H18+I18-J18+K18</x:f>
        <x:v>2732</x:v>
      </x:c>
      <x:c r="M18" s="10" t="n">
        <x:f>$M$17+I18-J18</x:f>
        <x:v>0</x:v>
      </x:c>
      <x:c r="N18" s="10" t="n">
        <x:f>E18+F18-G18-H18</x:f>
        <x:v>84</x:v>
      </x:c>
      <x:c r="O18" s="10" t="n">
        <x:f>MAX(0,MIN(100,'00_Arquitectura'!$B$114+50*(F18-G18-H18)/'00_Arquitectura'!$B$92-MIN('00_Arquitectura'!$B$116,M18/'00_Arquitectura'!$B$115)))</x:f>
        <x:v>58.4</x:v>
      </x:c>
      <x:c r="P18" s="10" t="n">
        <x:f>4</x:f>
        <x:v>4</x:v>
      </x:c>
      <x:c r="Q18" s="10" t="n">
        <x:f>1</x:f>
        <x:v>1</x:v>
      </x:c>
      <x:c r="R18" s="10" t="str">
        <x:v>Sólo condiciones globales del catálogo; sin acuerdos activos iniciales.</x:v>
      </x:c>
    </x:row>
    <x:row r="19" ht="34" customHeight="1">
      <x:c r="A19" s="5" t="str">
        <x:v>S1_EMISION</x:v>
      </x:c>
      <x:c r="B19" s="5" t="n">
        <x:v>5</x:v>
      </x:c>
      <x:c r="C19" s="5" t="str">
        <x:v>emitir_dinero</x:v>
      </x:c>
      <x:c r="D19" s="5" t="n">
        <x:f>$L$18</x:f>
        <x:v>2732</x:v>
      </x:c>
      <x:c r="E19" s="5" t="n">
        <x:f>0-0-(0)</x:f>
        <x:v>0</x:v>
      </x:c>
      <x:c r="F19" s="5" t="n">
        <x:f>'00_Arquitectura'!$B$92+'00_Arquitectura'!$B$94*($K$112-50)+0</x:f>
        <x:v>503.96928</x:v>
      </x:c>
      <x:c r="G19" s="5" t="n">
        <x:f>MAX(0,'00_Arquitectura'!$B$93+0)</x:f>
        <x:v>420</x:v>
      </x:c>
      <x:c r="H19" s="5" t="n">
        <x:f>0</x:f>
        <x:v>0</x:v>
      </x:c>
      <x:c r="I19" s="5" t="n">
        <x:f>0</x:f>
        <x:v>0</x:v>
      </x:c>
      <x:c r="J19" s="5" t="n">
        <x:f>0</x:f>
        <x:v>0</x:v>
      </x:c>
      <x:c r="K19" s="5" t="n">
        <x:f>SUM($I$1689)</x:f>
        <x:v>300</x:v>
      </x:c>
      <x:c r="L19" s="5" t="n">
        <x:f>D19+E19+F19-G19-H19+I19-J19+K19</x:f>
        <x:v>3115.9692800000003</x:v>
      </x:c>
      <x:c r="M19" s="5" t="n">
        <x:f>$M$18+I19-J19</x:f>
        <x:v>0</x:v>
      </x:c>
      <x:c r="N19" s="5" t="n">
        <x:f>E19+F19-G19-H19</x:f>
        <x:v>83.96928000000003</x:v>
      </x:c>
      <x:c r="O19" s="5" t="n">
        <x:f>MAX(0,MIN(100,'00_Arquitectura'!$B$114+50*(F19-G19-H19)/'00_Arquitectura'!$B$92-MIN('00_Arquitectura'!$B$116,M19/'00_Arquitectura'!$B$115)))</x:f>
        <x:v>58.396928</x:v>
      </x:c>
      <x:c r="P19" s="5" t="n">
        <x:f>5</x:f>
        <x:v>5</x:v>
      </x:c>
      <x:c r="Q19" s="5" t="n">
        <x:f>1</x:f>
        <x:v>1</x:v>
      </x:c>
      <x:c r="R19" s="5" t="str">
        <x:v>Sólo condiciones globales del catálogo; sin acuerdos activos iniciales.</x:v>
      </x:c>
    </x:row>
    <x:row r="20" ht="34" customHeight="1">
      <x:c r="A20" s="10" t="str">
        <x:v>S1_EMISION</x:v>
      </x:c>
      <x:c r="B20" s="10" t="n">
        <x:v>6</x:v>
      </x:c>
      <x:c r="C20" s="10" t="str">
        <x:v>Sin acción</x:v>
      </x:c>
      <x:c r="D20" s="10" t="n">
        <x:f>$L$19</x:f>
        <x:v>3115.9692800000003</x:v>
      </x:c>
      <x:c r="E20" s="10" t="n">
        <x:f>0-0-(0)</x:f>
        <x:v>0</x:v>
      </x:c>
      <x:c r="F20" s="10" t="n">
        <x:f>'00_Arquitectura'!$B$92+'00_Arquitectura'!$B$94*($K$126-50)+0</x:f>
        <x:v>503.921792</x:v>
      </x:c>
      <x:c r="G20" s="10" t="n">
        <x:f>MAX(0,'00_Arquitectura'!$B$93+0)</x:f>
        <x:v>420</x:v>
      </x:c>
      <x:c r="H20" s="10" t="n">
        <x:f>0</x:f>
        <x:v>0</x:v>
      </x:c>
      <x:c r="I20" s="10" t="n">
        <x:f>0</x:f>
        <x:v>0</x:v>
      </x:c>
      <x:c r="J20" s="10" t="n">
        <x:f>0</x:f>
        <x:v>0</x:v>
      </x:c>
      <x:c r="K20" s="10" t="n">
        <x:f>0</x:f>
        <x:v>0</x:v>
      </x:c>
      <x:c r="L20" s="10" t="n">
        <x:f>D20+E20+F20-G20-H20+I20-J20+K20</x:f>
        <x:v>3199.8910720000003</x:v>
      </x:c>
      <x:c r="M20" s="10" t="n">
        <x:f>$M$19+I20-J20</x:f>
        <x:v>0</x:v>
      </x:c>
      <x:c r="N20" s="10" t="n">
        <x:f>E20+F20-G20-H20</x:f>
        <x:v>83.92179199999998</x:v>
      </x:c>
      <x:c r="O20" s="10" t="n">
        <x:f>MAX(0,MIN(100,'00_Arquitectura'!$B$114+50*(F20-G20-H20)/'00_Arquitectura'!$B$92-MIN('00_Arquitectura'!$B$116,M20/'00_Arquitectura'!$B$115)))</x:f>
        <x:v>58.3921792</x:v>
      </x:c>
      <x:c r="P20" s="10" t="n">
        <x:f>4</x:f>
        <x:v>4</x:v>
      </x:c>
      <x:c r="Q20" s="10" t="n">
        <x:f>0</x:f>
        <x:v>0</x:v>
      </x:c>
      <x:c r="R20" s="10" t="str">
        <x:v>Sólo condiciones globales del catálogo; sin acuerdos activos iniciales.</x:v>
      </x:c>
    </x:row>
    <x:row r="21" ht="34" customHeight="1">
      <x:c r="A21" s="5" t="str">
        <x:v>S1_EMISION</x:v>
      </x:c>
      <x:c r="B21" s="5" t="n">
        <x:v>7</x:v>
      </x:c>
      <x:c r="C21" s="5" t="str">
        <x:v>Sin acción</x:v>
      </x:c>
      <x:c r="D21" s="5" t="n">
        <x:f>$L$20</x:f>
        <x:v>3199.8910720000003</x:v>
      </x:c>
      <x:c r="E21" s="5" t="n">
        <x:f>0-0-(0)</x:f>
        <x:v>0</x:v>
      </x:c>
      <x:c r="F21" s="5" t="n">
        <x:f>'00_Arquitectura'!$B$92+'00_Arquitectura'!$B$94*($K$140-50)+0</x:f>
        <x:v>503.8032064</x:v>
      </x:c>
      <x:c r="G21" s="5" t="n">
        <x:f>MAX(0,'00_Arquitectura'!$B$93+0)</x:f>
        <x:v>420</x:v>
      </x:c>
      <x:c r="H21" s="5" t="n">
        <x:f>0</x:f>
        <x:v>0</x:v>
      </x:c>
      <x:c r="I21" s="5" t="n">
        <x:f>0</x:f>
        <x:v>0</x:v>
      </x:c>
      <x:c r="J21" s="5" t="n">
        <x:f>0</x:f>
        <x:v>0</x:v>
      </x:c>
      <x:c r="K21" s="5" t="n">
        <x:f>0</x:f>
        <x:v>0</x:v>
      </x:c>
      <x:c r="L21" s="5" t="n">
        <x:f>D21+E21+F21-G21-H21+I21-J21+K21</x:f>
        <x:v>3283.6942784000003</x:v>
      </x:c>
      <x:c r="M21" s="5" t="n">
        <x:f>$M$20+I21-J21</x:f>
        <x:v>0</x:v>
      </x:c>
      <x:c r="N21" s="5" t="n">
        <x:f>E21+F21-G21-H21</x:f>
        <x:v>83.80320640000002</x:v>
      </x:c>
      <x:c r="O21" s="5" t="n">
        <x:f>MAX(0,MIN(100,'00_Arquitectura'!$B$114+50*(F21-G21-H21)/'00_Arquitectura'!$B$92-MIN('00_Arquitectura'!$B$116,M21/'00_Arquitectura'!$B$115)))</x:f>
        <x:v>58.38032064</x:v>
      </x:c>
      <x:c r="P21" s="5" t="n">
        <x:f>3</x:f>
        <x:v>3</x:v>
      </x:c>
      <x:c r="Q21" s="5" t="n">
        <x:f>0</x:f>
        <x:v>0</x:v>
      </x:c>
      <x:c r="R21" s="5" t="str">
        <x:v>Sólo condiciones globales del catálogo; sin acuerdos activos iniciales.</x:v>
      </x:c>
    </x:row>
    <x:row r="22" ht="34" customHeight="1">
      <x:c r="A22" s="10" t="str">
        <x:v>S1_EMISION</x:v>
      </x:c>
      <x:c r="B22" s="10" t="n">
        <x:v>8</x:v>
      </x:c>
      <x:c r="C22" s="10" t="str">
        <x:v>Sin acción</x:v>
      </x:c>
      <x:c r="D22" s="10" t="n">
        <x:f>$L$21</x:f>
        <x:v>3283.6942784000003</x:v>
      </x:c>
      <x:c r="E22" s="10" t="n">
        <x:f>0-0-(0)</x:f>
        <x:v>0</x:v>
      </x:c>
      <x:c r="F22" s="10" t="n">
        <x:f>'00_Arquitectura'!$B$92+'00_Arquitectura'!$B$94*($K$154-50)+0</x:f>
        <x:v>499.45681416959997</x:v>
      </x:c>
      <x:c r="G22" s="10" t="n">
        <x:f>MAX(0,'00_Arquitectura'!$B$93+0)</x:f>
        <x:v>420</x:v>
      </x:c>
      <x:c r="H22" s="10" t="n">
        <x:f>0</x:f>
        <x:v>0</x:v>
      </x:c>
      <x:c r="I22" s="10" t="n">
        <x:f>0</x:f>
        <x:v>0</x:v>
      </x:c>
      <x:c r="J22" s="10" t="n">
        <x:f>0</x:f>
        <x:v>0</x:v>
      </x:c>
      <x:c r="K22" s="10" t="n">
        <x:f>0</x:f>
        <x:v>0</x:v>
      </x:c>
      <x:c r="L22" s="10" t="n">
        <x:f>D22+E22+F22-G22-H22+I22-J22+K22</x:f>
        <x:v>3363.1510925696</x:v>
      </x:c>
      <x:c r="M22" s="10" t="n">
        <x:f>$M$21+I22-J22</x:f>
        <x:v>0</x:v>
      </x:c>
      <x:c r="N22" s="10" t="n">
        <x:f>E22+F22-G22-H22</x:f>
        <x:v>79.45681416959997</x:v>
      </x:c>
      <x:c r="O22" s="10" t="n">
        <x:f>MAX(0,MIN(100,'00_Arquitectura'!$B$114+50*(F22-G22-H22)/'00_Arquitectura'!$B$92-MIN('00_Arquitectura'!$B$116,M22/'00_Arquitectura'!$B$115)))</x:f>
        <x:v>57.94568141696</x:v>
      </x:c>
      <x:c r="P22" s="10" t="n">
        <x:f>2</x:f>
        <x:v>2</x:v>
      </x:c>
      <x:c r="Q22" s="10" t="n">
        <x:f>0</x:f>
        <x:v>0</x:v>
      </x:c>
      <x:c r="R22" s="10" t="str">
        <x:v>Sólo condiciones globales del catálogo; sin acuerdos activos iniciales.</x:v>
      </x:c>
    </x:row>
    <x:row r="23" ht="34" customHeight="1">
      <x:c r="A23" s="5" t="str">
        <x:v>S1_EMISION</x:v>
      </x:c>
      <x:c r="B23" s="5" t="n">
        <x:v>9</x:v>
      </x:c>
      <x:c r="C23" s="5" t="str">
        <x:v>Sin acción</x:v>
      </x:c>
      <x:c r="D23" s="5" t="n">
        <x:f>$L$22</x:f>
        <x:v>3363.1510925696</x:v>
      </x:c>
      <x:c r="E23" s="5" t="n">
        <x:f>0-0-(0)</x:f>
        <x:v>0</x:v>
      </x:c>
      <x:c r="F23" s="5" t="n">
        <x:f>'00_Arquitectura'!$B$92+'00_Arquitectura'!$B$94*($K$168-50)+0</x:f>
        <x:v>498.85481800128</x:v>
      </x:c>
      <x:c r="G23" s="5" t="n">
        <x:f>MAX(0,'00_Arquitectura'!$B$93+0)</x:f>
        <x:v>420</x:v>
      </x:c>
      <x:c r="H23" s="5" t="n">
        <x:f>0</x:f>
        <x:v>0</x:v>
      </x:c>
      <x:c r="I23" s="5" t="n">
        <x:f>0</x:f>
        <x:v>0</x:v>
      </x:c>
      <x:c r="J23" s="5" t="n">
        <x:f>0</x:f>
        <x:v>0</x:v>
      </x:c>
      <x:c r="K23" s="5" t="n">
        <x:f>0</x:f>
        <x:v>0</x:v>
      </x:c>
      <x:c r="L23" s="5" t="n">
        <x:f>D23+E23+F23-G23-H23+I23-J23+K23</x:f>
        <x:v>3442.00591057088</x:v>
      </x:c>
      <x:c r="M23" s="5" t="n">
        <x:f>$M$22+I23-J23</x:f>
        <x:v>0</x:v>
      </x:c>
      <x:c r="N23" s="5" t="n">
        <x:f>E23+F23-G23-H23</x:f>
        <x:v>78.85481800128002</x:v>
      </x:c>
      <x:c r="O23" s="5" t="n">
        <x:f>MAX(0,MIN(100,'00_Arquitectura'!$B$114+50*(F23-G23-H23)/'00_Arquitectura'!$B$92-MIN('00_Arquitectura'!$B$116,M23/'00_Arquitectura'!$B$115)))</x:f>
        <x:v>57.885481800128005</x:v>
      </x:c>
      <x:c r="P23" s="5" t="n">
        <x:f>1</x:f>
        <x:v>1</x:v>
      </x:c>
      <x:c r="Q23" s="5" t="n">
        <x:f>0</x:f>
        <x:v>0</x:v>
      </x:c>
      <x:c r="R23" s="5" t="str">
        <x:v>Sólo condiciones globales del catálogo; sin acuerdos activos iniciales.</x:v>
      </x:c>
    </x:row>
    <x:row r="24" ht="34" customHeight="1">
      <x:c r="A24" s="10" t="str">
        <x:v>S1_EMISION</x:v>
      </x:c>
      <x:c r="B24" s="10" t="n">
        <x:v>10</x:v>
      </x:c>
      <x:c r="C24" s="10" t="str">
        <x:v>Sin acción</x:v>
      </x:c>
      <x:c r="D24" s="10" t="n">
        <x:f>$L$23</x:f>
        <x:v>3442.00591057088</x:v>
      </x:c>
      <x:c r="E24" s="10" t="n">
        <x:f>0-0-(0)</x:f>
        <x:v>0</x:v>
      </x:c>
      <x:c r="F24" s="10" t="n">
        <x:f>'00_Arquitectura'!$B$92+'00_Arquitectura'!$B$94*($K$182-50)+0</x:f>
        <x:v>498.561797892832</x:v>
      </x:c>
      <x:c r="G24" s="10" t="n">
        <x:f>MAX(0,'00_Arquitectura'!$B$93+0)</x:f>
        <x:v>420</x:v>
      </x:c>
      <x:c r="H24" s="10" t="n">
        <x:f>0</x:f>
        <x:v>0</x:v>
      </x:c>
      <x:c r="I24" s="10" t="n">
        <x:f>0</x:f>
        <x:v>0</x:v>
      </x:c>
      <x:c r="J24" s="10" t="n">
        <x:f>0</x:f>
        <x:v>0</x:v>
      </x:c>
      <x:c r="K24" s="10" t="n">
        <x:f>0</x:f>
        <x:v>0</x:v>
      </x:c>
      <x:c r="L24" s="10" t="n">
        <x:f>D24+E24+F24-G24-H24+I24-J24+K24</x:f>
        <x:v>3520.5677084637123</x:v>
      </x:c>
      <x:c r="M24" s="10" t="n">
        <x:f>$M$23+I24-J24</x:f>
        <x:v>0</x:v>
      </x:c>
      <x:c r="N24" s="10" t="n">
        <x:f>E24+F24-G24-H24</x:f>
        <x:v>78.56179789283198</x:v>
      </x:c>
      <x:c r="O24" s="10" t="n">
        <x:f>MAX(0,MIN(100,'00_Arquitectura'!$B$114+50*(F24-G24-H24)/'00_Arquitectura'!$B$92-MIN('00_Arquitectura'!$B$116,M24/'00_Arquitectura'!$B$115)))</x:f>
        <x:v>57.856179789283196</x:v>
      </x:c>
      <x:c r="P24" s="10" t="n">
        <x:f>0</x:f>
        <x:v>0</x:v>
      </x:c>
      <x:c r="Q24" s="10" t="n">
        <x:f>0</x:f>
        <x:v>0</x:v>
      </x:c>
      <x:c r="R24" s="10" t="str">
        <x:v>Sólo condiciones globales del catálogo; sin acuerdos activos iniciales.</x:v>
      </x:c>
    </x:row>
    <x:row r="25" ht="34" customHeight="1">
      <x:c r="A25" s="5" t="str">
        <x:v>S2_VIAL</x:v>
      </x:c>
      <x:c r="B25" s="5" t="n">
        <x:v>1</x:v>
      </x:c>
      <x:c r="C25" s="5" t="str">
        <x:v>estudio_factibilidad</x:v>
      </x:c>
      <x:c r="D25" s="5" t="n">
        <x:f>'00_Arquitectura'!$B$91</x:f>
        <x:v>1200</x:v>
      </x:c>
      <x:c r="E25" s="5" t="n">
        <x:f>0-SUM($I$1692)-(0)</x:f>
        <x:v>-60</x:v>
      </x:c>
      <x:c r="F25" s="5" t="n">
        <x:f>'00_Arquitectura'!$B$92+'00_Arquitectura'!$B$94*('01_Indicadores'!$H$7-50)+0</x:f>
        <x:v>500</x:v>
      </x:c>
      <x:c r="G25" s="5" t="n">
        <x:f>MAX(0,'00_Arquitectura'!$B$93+0)</x:f>
        <x:v>420</x:v>
      </x:c>
      <x:c r="H25" s="5" t="n">
        <x:f>0</x:f>
        <x:v>0</x:v>
      </x:c>
      <x:c r="I25" s="5" t="n">
        <x:f>0</x:f>
        <x:v>0</x:v>
      </x:c>
      <x:c r="J25" s="5" t="n">
        <x:f>0</x:f>
        <x:v>0</x:v>
      </x:c>
      <x:c r="K25" s="5" t="n">
        <x:f>0</x:f>
        <x:v>0</x:v>
      </x:c>
      <x:c r="L25" s="5" t="n">
        <x:f>D25+E25+F25-G25-H25+I25-J25+K25</x:f>
        <x:v>1220</x:v>
      </x:c>
      <x:c r="M25" s="5" t="n">
        <x:f>0+I25-J25</x:f>
        <x:v>0</x:v>
      </x:c>
      <x:c r="N25" s="5" t="n">
        <x:f>E25+F25-G25-H25</x:f>
        <x:v>20</x:v>
      </x:c>
      <x:c r="O25" s="5" t="n">
        <x:f>MAX(0,MIN(100,'00_Arquitectura'!$B$114+50*(F25-G25-H25)/'00_Arquitectura'!$B$92-MIN('00_Arquitectura'!$B$116,M25/'00_Arquitectura'!$B$115)))</x:f>
        <x:v>58</x:v>
      </x:c>
      <x:c r="P25" s="5" t="n">
        <x:f>0</x:f>
        <x:v>0</x:v>
      </x:c>
      <x:c r="Q25" s="5" t="n">
        <x:f>1</x:f>
        <x:v>1</x:v>
      </x:c>
      <x:c r="R25" s="5" t="str">
        <x:v>Sólo condiciones globales del catálogo; sin acuerdos activos iniciales.</x:v>
      </x:c>
    </x:row>
    <x:row r="26" ht="34" customHeight="1">
      <x:c r="A26" s="10" t="str">
        <x:v>S2_VIAL</x:v>
      </x:c>
      <x:c r="B26" s="10" t="n">
        <x:v>2</x:v>
      </x:c>
      <x:c r="C26" s="10" t="str">
        <x:v>infraestructura_vial</x:v>
      </x:c>
      <x:c r="D26" s="10" t="n">
        <x:f>$L$25</x:f>
        <x:v>1220</x:v>
      </x:c>
      <x:c r="E26" s="10" t="n">
        <x:f>0-SUM($I$1693)-(0)</x:f>
        <x:v>-400</x:v>
      </x:c>
      <x:c r="F26" s="10" t="n">
        <x:f>'00_Arquitectura'!$B$92+'00_Arquitectura'!$B$94*($K$210-50)+0</x:f>
        <x:v>500</x:v>
      </x:c>
      <x:c r="G26" s="10" t="n">
        <x:f>MAX(0,'00_Arquitectura'!$B$93+0)</x:f>
        <x:v>420</x:v>
      </x:c>
      <x:c r="H26" s="10" t="n">
        <x:f>0</x:f>
        <x:v>0</x:v>
      </x:c>
      <x:c r="I26" s="10" t="n">
        <x:f>0</x:f>
        <x:v>0</x:v>
      </x:c>
      <x:c r="J26" s="10" t="n">
        <x:f>0</x:f>
        <x:v>0</x:v>
      </x:c>
      <x:c r="K26" s="10" t="n">
        <x:f>0</x:f>
        <x:v>0</x:v>
      </x:c>
      <x:c r="L26" s="10" t="n">
        <x:f>D26+E26+F26-G26-H26+I26-J26+K26</x:f>
        <x:v>900</x:v>
      </x:c>
      <x:c r="M26" s="10" t="n">
        <x:f>$M$25+I26-J26</x:f>
        <x:v>0</x:v>
      </x:c>
      <x:c r="N26" s="10" t="n">
        <x:f>E26+F26-G26-H26</x:f>
        <x:v>-320</x:v>
      </x:c>
      <x:c r="O26" s="10" t="n">
        <x:f>MAX(0,MIN(100,'00_Arquitectura'!$B$114+50*(F26-G26-H26)/'00_Arquitectura'!$B$92-MIN('00_Arquitectura'!$B$116,M26/'00_Arquitectura'!$B$115)))</x:f>
        <x:v>58</x:v>
      </x:c>
      <x:c r="P26" s="10" t="n">
        <x:f>0</x:f>
        <x:v>0</x:v>
      </x:c>
      <x:c r="Q26" s="10" t="n">
        <x:f>1</x:f>
        <x:v>1</x:v>
      </x:c>
      <x:c r="R26" s="10" t="str">
        <x:v>Estudio de T1 vigente y consumido; caja&gt;=400; sin bonus federal.</x:v>
      </x:c>
    </x:row>
    <x:row r="27" ht="34" customHeight="1">
      <x:c r="A27" s="5" t="str">
        <x:v>S2_VIAL</x:v>
      </x:c>
      <x:c r="B27" s="5" t="n">
        <x:v>3</x:v>
      </x:c>
      <x:c r="C27" s="5" t="str">
        <x:v>Sin acción</x:v>
      </x:c>
      <x:c r="D27" s="5" t="n">
        <x:f>$L$26</x:f>
        <x:v>900</x:v>
      </x:c>
      <x:c r="E27" s="5" t="n">
        <x:f>0-0-(0)</x:f>
        <x:v>0</x:v>
      </x:c>
      <x:c r="F27" s="5" t="n">
        <x:f>'00_Arquitectura'!$B$92+'00_Arquitectura'!$B$94*($K$224-50)+0</x:f>
        <x:v>504</x:v>
      </x:c>
      <x:c r="G27" s="5" t="n">
        <x:f>MAX(0,'00_Arquitectura'!$B$93+0)</x:f>
        <x:v>420</x:v>
      </x:c>
      <x:c r="H27" s="5" t="n">
        <x:f>0</x:f>
        <x:v>0</x:v>
      </x:c>
      <x:c r="I27" s="5" t="n">
        <x:f>0</x:f>
        <x:v>0</x:v>
      </x:c>
      <x:c r="J27" s="5" t="n">
        <x:f>0</x:f>
        <x:v>0</x:v>
      </x:c>
      <x:c r="K27" s="5" t="n">
        <x:f>0</x:f>
        <x:v>0</x:v>
      </x:c>
      <x:c r="L27" s="5" t="n">
        <x:f>D27+E27+F27-G27-H27+I27-J27+K27</x:f>
        <x:v>984</x:v>
      </x:c>
      <x:c r="M27" s="5" t="n">
        <x:f>$M$26+I27-J27</x:f>
        <x:v>0</x:v>
      </x:c>
      <x:c r="N27" s="5" t="n">
        <x:f>E27+F27-G27-H27</x:f>
        <x:v>84</x:v>
      </x:c>
      <x:c r="O27" s="5" t="n">
        <x:f>MAX(0,MIN(100,'00_Arquitectura'!$B$114+50*(F27-G27-H27)/'00_Arquitectura'!$B$92-MIN('00_Arquitectura'!$B$116,M27/'00_Arquitectura'!$B$115)))</x:f>
        <x:v>58.4</x:v>
      </x:c>
      <x:c r="P27" s="5" t="n">
        <x:f>0</x:f>
        <x:v>0</x:v>
      </x:c>
      <x:c r="Q27" s="5" t="n">
        <x:f>0</x:f>
        <x:v>0</x:v>
      </x:c>
      <x:c r="R27" s="5" t="str">
        <x:v>Sólo condiciones globales del catálogo; sin acuerdos activos iniciales.</x:v>
      </x:c>
    </x:row>
    <x:row r="28" ht="34" customHeight="1">
      <x:c r="A28" s="10" t="str">
        <x:v>S2_VIAL</x:v>
      </x:c>
      <x:c r="B28" s="10" t="n">
        <x:v>4</x:v>
      </x:c>
      <x:c r="C28" s="10" t="str">
        <x:v>Sin acción</x:v>
      </x:c>
      <x:c r="D28" s="10" t="n">
        <x:f>$L$27</x:f>
        <x:v>984</x:v>
      </x:c>
      <x:c r="E28" s="10" t="n">
        <x:f>0-0-(0)</x:f>
        <x:v>0</x:v>
      </x:c>
      <x:c r="F28" s="10" t="n">
        <x:f>'00_Arquitectura'!$B$92+'00_Arquitectura'!$B$94*($K$238-50)+0</x:f>
        <x:v>504</x:v>
      </x:c>
      <x:c r="G28" s="10" t="n">
        <x:f>MAX(0,'00_Arquitectura'!$B$93+0)</x:f>
        <x:v>420</x:v>
      </x:c>
      <x:c r="H28" s="10" t="n">
        <x:f>0</x:f>
        <x:v>0</x:v>
      </x:c>
      <x:c r="I28" s="10" t="n">
        <x:f>0</x:f>
        <x:v>0</x:v>
      </x:c>
      <x:c r="J28" s="10" t="n">
        <x:f>0</x:f>
        <x:v>0</x:v>
      </x:c>
      <x:c r="K28" s="10" t="n">
        <x:f>0</x:f>
        <x:v>0</x:v>
      </x:c>
      <x:c r="L28" s="10" t="n">
        <x:f>D28+E28+F28-G28-H28+I28-J28+K28</x:f>
        <x:v>1068</x:v>
      </x:c>
      <x:c r="M28" s="10" t="n">
        <x:f>$M$27+I28-J28</x:f>
        <x:v>0</x:v>
      </x:c>
      <x:c r="N28" s="10" t="n">
        <x:f>E28+F28-G28-H28</x:f>
        <x:v>84</x:v>
      </x:c>
      <x:c r="O28" s="10" t="n">
        <x:f>MAX(0,MIN(100,'00_Arquitectura'!$B$114+50*(F28-G28-H28)/'00_Arquitectura'!$B$92-MIN('00_Arquitectura'!$B$116,M28/'00_Arquitectura'!$B$115)))</x:f>
        <x:v>58.4</x:v>
      </x:c>
      <x:c r="P28" s="10" t="n">
        <x:f>0</x:f>
        <x:v>0</x:v>
      </x:c>
      <x:c r="Q28" s="10" t="n">
        <x:f>0</x:f>
        <x:v>0</x:v>
      </x:c>
      <x:c r="R28" s="10" t="str">
        <x:v>Sólo condiciones globales del catálogo; sin acuerdos activos iniciales.</x:v>
      </x:c>
    </x:row>
    <x:row r="29" ht="34" customHeight="1">
      <x:c r="A29" s="5" t="str">
        <x:v>S2_VIAL</x:v>
      </x:c>
      <x:c r="B29" s="5" t="n">
        <x:v>5</x:v>
      </x:c>
      <x:c r="C29" s="5" t="str">
        <x:v>Sin acción</x:v>
      </x:c>
      <x:c r="D29" s="5" t="n">
        <x:f>$L$28</x:f>
        <x:v>1068</x:v>
      </x:c>
      <x:c r="E29" s="5" t="n">
        <x:f>0-0-(0)</x:f>
        <x:v>0</x:v>
      </x:c>
      <x:c r="F29" s="5" t="n">
        <x:f>'00_Arquitectura'!$B$92+'00_Arquitectura'!$B$94*($K$252-50)+0</x:f>
        <x:v>500</x:v>
      </x:c>
      <x:c r="G29" s="5" t="n">
        <x:f>MAX(0,'00_Arquitectura'!$B$93+SUM($I$1699))</x:f>
        <x:v>450</x:v>
      </x:c>
      <x:c r="H29" s="5" t="n">
        <x:f>0</x:f>
        <x:v>0</x:v>
      </x:c>
      <x:c r="I29" s="5" t="n">
        <x:f>0</x:f>
        <x:v>0</x:v>
      </x:c>
      <x:c r="J29" s="5" t="n">
        <x:f>0</x:f>
        <x:v>0</x:v>
      </x:c>
      <x:c r="K29" s="5" t="n">
        <x:f>0</x:f>
        <x:v>0</x:v>
      </x:c>
      <x:c r="L29" s="5" t="n">
        <x:f>D29+E29+F29-G29-H29+I29-J29+K29</x:f>
        <x:v>1118</x:v>
      </x:c>
      <x:c r="M29" s="5" t="n">
        <x:f>$M$28+I29-J29</x:f>
        <x:v>0</x:v>
      </x:c>
      <x:c r="N29" s="5" t="n">
        <x:f>E29+F29-G29-H29</x:f>
        <x:v>50</x:v>
      </x:c>
      <x:c r="O29" s="5" t="n">
        <x:f>MAX(0,MIN(100,'00_Arquitectura'!$B$114+50*(F29-G29-H29)/'00_Arquitectura'!$B$92-MIN('00_Arquitectura'!$B$116,M29/'00_Arquitectura'!$B$115)))</x:f>
        <x:v>55</x:v>
      </x:c>
      <x:c r="P29" s="5" t="n">
        <x:f>0</x:f>
        <x:v>0</x:v>
      </x:c>
      <x:c r="Q29" s="5" t="n">
        <x:f>0</x:f>
        <x:v>0</x:v>
      </x:c>
      <x:c r="R29" s="5" t="str">
        <x:v>Sólo condiciones globales del catálogo; sin acuerdos activos iniciales.</x:v>
      </x:c>
    </x:row>
    <x:row r="30" ht="34" customHeight="1">
      <x:c r="A30" s="10" t="str">
        <x:v>S2_VIAL</x:v>
      </x:c>
      <x:c r="B30" s="10" t="n">
        <x:v>6</x:v>
      </x:c>
      <x:c r="C30" s="10" t="str">
        <x:v>Sin acción</x:v>
      </x:c>
      <x:c r="D30" s="10" t="n">
        <x:f>$L$29</x:f>
        <x:v>1118</x:v>
      </x:c>
      <x:c r="E30" s="10" t="n">
        <x:f>0-0-(0)</x:f>
        <x:v>0</x:v>
      </x:c>
      <x:c r="F30" s="10" t="n">
        <x:f>'00_Arquitectura'!$B$92+'00_Arquitectura'!$B$94*($K$266-50)+0</x:f>
        <x:v>500.72128</x:v>
      </x:c>
      <x:c r="G30" s="10" t="n">
        <x:f>MAX(0,'00_Arquitectura'!$B$93+SUM($I$1700))</x:f>
        <x:v>450</x:v>
      </x:c>
      <x:c r="H30" s="10" t="n">
        <x:f>0</x:f>
        <x:v>0</x:v>
      </x:c>
      <x:c r="I30" s="10" t="n">
        <x:f>0</x:f>
        <x:v>0</x:v>
      </x:c>
      <x:c r="J30" s="10" t="n">
        <x:f>0</x:f>
        <x:v>0</x:v>
      </x:c>
      <x:c r="K30" s="10" t="n">
        <x:f>0</x:f>
        <x:v>0</x:v>
      </x:c>
      <x:c r="L30" s="10" t="n">
        <x:f>D30+E30+F30-G30-H30+I30-J30+K30</x:f>
        <x:v>1168.72128</x:v>
      </x:c>
      <x:c r="M30" s="10" t="n">
        <x:f>$M$29+I30-J30</x:f>
        <x:v>0</x:v>
      </x:c>
      <x:c r="N30" s="10" t="n">
        <x:f>E30+F30-G30-H30</x:f>
        <x:v>50.72127999999998</x:v>
      </x:c>
      <x:c r="O30" s="10" t="n">
        <x:f>MAX(0,MIN(100,'00_Arquitectura'!$B$114+50*(F30-G30-H30)/'00_Arquitectura'!$B$92-MIN('00_Arquitectura'!$B$116,M30/'00_Arquitectura'!$B$115)))</x:f>
        <x:v>55.072128</x:v>
      </x:c>
      <x:c r="P30" s="10" t="n">
        <x:f>0</x:f>
        <x:v>0</x:v>
      </x:c>
      <x:c r="Q30" s="10" t="n">
        <x:f>0</x:f>
        <x:v>0</x:v>
      </x:c>
      <x:c r="R30" s="10" t="str">
        <x:v>Sólo condiciones globales del catálogo; sin acuerdos activos iniciales.</x:v>
      </x:c>
    </x:row>
    <x:row r="31" ht="34" customHeight="1">
      <x:c r="A31" s="5" t="str">
        <x:v>S2_VIAL</x:v>
      </x:c>
      <x:c r="B31" s="5" t="n">
        <x:v>7</x:v>
      </x:c>
      <x:c r="C31" s="5" t="str">
        <x:v>Sin acción</x:v>
      </x:c>
      <x:c r="D31" s="5" t="n">
        <x:f>$L$30</x:f>
        <x:v>1168.72128</x:v>
      </x:c>
      <x:c r="E31" s="5" t="n">
        <x:f>0-0-(0)</x:f>
        <x:v>0</x:v>
      </x:c>
      <x:c r="F31" s="5" t="n">
        <x:f>'00_Arquitectura'!$B$92+'00_Arquitectura'!$B$94*($K$280-50)+0</x:f>
        <x:v>501.599392</x:v>
      </x:c>
      <x:c r="G31" s="5" t="n">
        <x:f>MAX(0,'00_Arquitectura'!$B$93+SUM($I$1701))</x:f>
        <x:v>450</x:v>
      </x:c>
      <x:c r="H31" s="5" t="n">
        <x:f>0</x:f>
        <x:v>0</x:v>
      </x:c>
      <x:c r="I31" s="5" t="n">
        <x:f>0</x:f>
        <x:v>0</x:v>
      </x:c>
      <x:c r="J31" s="5" t="n">
        <x:f>0</x:f>
        <x:v>0</x:v>
      </x:c>
      <x:c r="K31" s="5" t="n">
        <x:f>0</x:f>
        <x:v>0</x:v>
      </x:c>
      <x:c r="L31" s="5" t="n">
        <x:f>D31+E31+F31-G31-H31+I31-J31+K31</x:f>
        <x:v>1220.320672</x:v>
      </x:c>
      <x:c r="M31" s="5" t="n">
        <x:f>$M$30+I31-J31</x:f>
        <x:v>0</x:v>
      </x:c>
      <x:c r="N31" s="5" t="n">
        <x:f>E31+F31-G31-H31</x:f>
        <x:v>51.59939200000002</x:v>
      </x:c>
      <x:c r="O31" s="5" t="n">
        <x:f>MAX(0,MIN(100,'00_Arquitectura'!$B$114+50*(F31-G31-H31)/'00_Arquitectura'!$B$92-MIN('00_Arquitectura'!$B$116,M31/'00_Arquitectura'!$B$115)))</x:f>
        <x:v>55.159939200000004</x:v>
      </x:c>
      <x:c r="P31" s="5" t="n">
        <x:f>0</x:f>
        <x:v>0</x:v>
      </x:c>
      <x:c r="Q31" s="5" t="n">
        <x:f>0</x:f>
        <x:v>0</x:v>
      </x:c>
      <x:c r="R31" s="5" t="str">
        <x:v>Sólo condiciones globales del catálogo; sin acuerdos activos iniciales.</x:v>
      </x:c>
    </x:row>
    <x:row r="32" ht="34" customHeight="1">
      <x:c r="A32" s="10" t="str">
        <x:v>S2_VIAL</x:v>
      </x:c>
      <x:c r="B32" s="10" t="n">
        <x:v>8</x:v>
      </x:c>
      <x:c r="C32" s="10" t="str">
        <x:v>Sin acción</x:v>
      </x:c>
      <x:c r="D32" s="10" t="n">
        <x:f>$L$31</x:f>
        <x:v>1220.320672</x:v>
      </x:c>
      <x:c r="E32" s="10" t="n">
        <x:f>0-0-(0)</x:f>
        <x:v>0</x:v>
      </x:c>
      <x:c r="F32" s="10" t="n">
        <x:f>'00_Arquitectura'!$B$92+'00_Arquitectura'!$B$94*($K$294-50)+0</x:f>
        <x:v>502.2919264</x:v>
      </x:c>
      <x:c r="G32" s="10" t="n">
        <x:f>MAX(0,'00_Arquitectura'!$B$93+SUM($I$1702))</x:f>
        <x:v>450</x:v>
      </x:c>
      <x:c r="H32" s="10" t="n">
        <x:f>0</x:f>
        <x:v>0</x:v>
      </x:c>
      <x:c r="I32" s="10" t="n">
        <x:f>0</x:f>
        <x:v>0</x:v>
      </x:c>
      <x:c r="J32" s="10" t="n">
        <x:f>0</x:f>
        <x:v>0</x:v>
      </x:c>
      <x:c r="K32" s="10" t="n">
        <x:f>0</x:f>
        <x:v>0</x:v>
      </x:c>
      <x:c r="L32" s="10" t="n">
        <x:f>D32+E32+F32-G32-H32+I32-J32+K32</x:f>
        <x:v>1272.6125984</x:v>
      </x:c>
      <x:c r="M32" s="10" t="n">
        <x:f>$M$31+I32-J32</x:f>
        <x:v>0</x:v>
      </x:c>
      <x:c r="N32" s="10" t="n">
        <x:f>E32+F32-G32-H32</x:f>
        <x:v>52.29192640000002</x:v>
      </x:c>
      <x:c r="O32" s="10" t="n">
        <x:f>MAX(0,MIN(100,'00_Arquitectura'!$B$114+50*(F32-G32-H32)/'00_Arquitectura'!$B$92-MIN('00_Arquitectura'!$B$116,M32/'00_Arquitectura'!$B$115)))</x:f>
        <x:v>55.22919264</x:v>
      </x:c>
      <x:c r="P32" s="10" t="n">
        <x:f>0</x:f>
        <x:v>0</x:v>
      </x:c>
      <x:c r="Q32" s="10" t="n">
        <x:f>0</x:f>
        <x:v>0</x:v>
      </x:c>
      <x:c r="R32" s="10" t="str">
        <x:v>Sólo condiciones globales del catálogo; sin acuerdos activos iniciales.</x:v>
      </x:c>
    </x:row>
    <x:row r="33" ht="34" customHeight="1">
      <x:c r="A33" s="5" t="str">
        <x:v>S2_VIAL</x:v>
      </x:c>
      <x:c r="B33" s="5" t="n">
        <x:v>9</x:v>
      </x:c>
      <x:c r="C33" s="5" t="str">
        <x:v>Sin acción</x:v>
      </x:c>
      <x:c r="D33" s="5" t="n">
        <x:f>$L$32</x:f>
        <x:v>1272.6125984</x:v>
      </x:c>
      <x:c r="E33" s="5" t="n">
        <x:f>0-0-(0)</x:f>
        <x:v>0</x:v>
      </x:c>
      <x:c r="F33" s="5" t="n">
        <x:f>'00_Arquitectura'!$B$92+'00_Arquitectura'!$B$94*($K$308-50)+0</x:f>
        <x:v>502.8377228096</x:v>
      </x:c>
      <x:c r="G33" s="5" t="n">
        <x:f>MAX(0,'00_Arquitectura'!$B$93+SUM($I$1703))</x:f>
        <x:v>450</x:v>
      </x:c>
      <x:c r="H33" s="5" t="n">
        <x:f>0</x:f>
        <x:v>0</x:v>
      </x:c>
      <x:c r="I33" s="5" t="n">
        <x:f>0</x:f>
        <x:v>0</x:v>
      </x:c>
      <x:c r="J33" s="5" t="n">
        <x:f>0</x:f>
        <x:v>0</x:v>
      </x:c>
      <x:c r="K33" s="5" t="n">
        <x:f>0</x:f>
        <x:v>0</x:v>
      </x:c>
      <x:c r="L33" s="5" t="n">
        <x:f>D33+E33+F33-G33-H33+I33-J33+K33</x:f>
        <x:v>1325.4503212096001</x:v>
      </x:c>
      <x:c r="M33" s="5" t="n">
        <x:f>$M$32+I33-J33</x:f>
        <x:v>0</x:v>
      </x:c>
      <x:c r="N33" s="5" t="n">
        <x:f>E33+F33-G33-H33</x:f>
        <x:v>52.837722809599995</x:v>
      </x:c>
      <x:c r="O33" s="5" t="n">
        <x:f>MAX(0,MIN(100,'00_Arquitectura'!$B$114+50*(F33-G33-H33)/'00_Arquitectura'!$B$92-MIN('00_Arquitectura'!$B$116,M33/'00_Arquitectura'!$B$115)))</x:f>
        <x:v>55.28377228096</x:v>
      </x:c>
      <x:c r="P33" s="5" t="n">
        <x:f>0</x:f>
        <x:v>0</x:v>
      </x:c>
      <x:c r="Q33" s="5" t="n">
        <x:f>0</x:f>
        <x:v>0</x:v>
      </x:c>
      <x:c r="R33" s="5" t="str">
        <x:v>Sólo condiciones globales del catálogo; sin acuerdos activos iniciales.</x:v>
      </x:c>
    </x:row>
    <x:row r="34" ht="34" customHeight="1">
      <x:c r="A34" s="10" t="str">
        <x:v>S2_VIAL</x:v>
      </x:c>
      <x:c r="B34" s="10" t="n">
        <x:v>10</x:v>
      </x:c>
      <x:c r="C34" s="10" t="str">
        <x:v>Sin acción</x:v>
      </x:c>
      <x:c r="D34" s="10" t="n">
        <x:f>$L$33</x:f>
        <x:v>1325.4503212096001</x:v>
      </x:c>
      <x:c r="E34" s="10" t="n">
        <x:f>0-0-(0)</x:f>
        <x:v>0</x:v>
      </x:c>
      <x:c r="F34" s="10" t="n">
        <x:f>'00_Arquitectura'!$B$92+'00_Arquitectura'!$B$94*($K$322-50)+0</x:f>
        <x:v>503.26764448928</x:v>
      </x:c>
      <x:c r="G34" s="10" t="n">
        <x:f>MAX(0,'00_Arquitectura'!$B$93+SUM($I$1704))</x:f>
        <x:v>450</x:v>
      </x:c>
      <x:c r="H34" s="10" t="n">
        <x:f>0</x:f>
        <x:v>0</x:v>
      </x:c>
      <x:c r="I34" s="10" t="n">
        <x:f>0</x:f>
        <x:v>0</x:v>
      </x:c>
      <x:c r="J34" s="10" t="n">
        <x:f>0</x:f>
        <x:v>0</x:v>
      </x:c>
      <x:c r="K34" s="10" t="n">
        <x:f>0</x:f>
        <x:v>0</x:v>
      </x:c>
      <x:c r="L34" s="10" t="n">
        <x:f>D34+E34+F34-G34-H34+I34-J34+K34</x:f>
        <x:v>1378.71796569888</x:v>
      </x:c>
      <x:c r="M34" s="10" t="n">
        <x:f>$M$33+I34-J34</x:f>
        <x:v>0</x:v>
      </x:c>
      <x:c r="N34" s="10" t="n">
        <x:f>E34+F34-G34-H34</x:f>
        <x:v>53.267644489279974</x:v>
      </x:c>
      <x:c r="O34" s="10" t="n">
        <x:f>MAX(0,MIN(100,'00_Arquitectura'!$B$114+50*(F34-G34-H34)/'00_Arquitectura'!$B$92-MIN('00_Arquitectura'!$B$116,M34/'00_Arquitectura'!$B$115)))</x:f>
        <x:v>55.326764448927996</x:v>
      </x:c>
      <x:c r="P34" s="10" t="n">
        <x:f>0</x:f>
        <x:v>0</x:v>
      </x:c>
      <x:c r="Q34" s="10" t="n">
        <x:f>0</x:f>
        <x:v>0</x:v>
      </x:c>
      <x:c r="R34" s="10" t="str">
        <x:v>Sólo condiciones globales del catálogo; sin acuerdos activos iniciales.</x:v>
      </x:c>
    </x:row>
    <x:row r="35" ht="34" customHeight="1">
      <x:c r="A35" s="5" t="str">
        <x:v>S3_SALARIO</x:v>
      </x:c>
      <x:c r="B35" s="5" t="n">
        <x:v>1</x:v>
      </x:c>
      <x:c r="C35" s="5" t="str">
        <x:v>reunirse</x:v>
      </x:c>
      <x:c r="D35" s="5" t="n">
        <x:f>'00_Arquitectura'!$B$91</x:f>
        <x:v>1200</x:v>
      </x:c>
      <x:c r="E35" s="5" t="n">
        <x:f>0-0-('00_Arquitectura'!$B$124+'00_Arquitectura'!$B$125*'02_Actores'!$G$9)</x:f>
        <x:v>-45</x:v>
      </x:c>
      <x:c r="F35" s="5" t="n">
        <x:f>'00_Arquitectura'!$B$92+'00_Arquitectura'!$B$94*('01_Indicadores'!$H$7-50)+0</x:f>
        <x:v>500</x:v>
      </x:c>
      <x:c r="G35" s="5" t="n">
        <x:f>MAX(0,'00_Arquitectura'!$B$93+0)</x:f>
        <x:v>420</x:v>
      </x:c>
      <x:c r="H35" s="5" t="n">
        <x:f>0</x:f>
        <x:v>0</x:v>
      </x:c>
      <x:c r="I35" s="5" t="n">
        <x:f>0</x:f>
        <x:v>0</x:v>
      </x:c>
      <x:c r="J35" s="5" t="n">
        <x:f>0</x:f>
        <x:v>0</x:v>
      </x:c>
      <x:c r="K35" s="5" t="n">
        <x:f>0</x:f>
        <x:v>0</x:v>
      </x:c>
      <x:c r="L35" s="5" t="n">
        <x:f>D35+E35+F35-G35-H35+I35-J35+K35</x:f>
        <x:v>1235</x:v>
      </x:c>
      <x:c r="M35" s="5" t="n">
        <x:f>0+I35-J35</x:f>
        <x:v>0</x:v>
      </x:c>
      <x:c r="N35" s="5" t="n">
        <x:f>E35+F35-G35-H35</x:f>
        <x:v>35</x:v>
      </x:c>
      <x:c r="O35" s="5" t="n">
        <x:f>MAX(0,MIN(100,'00_Arquitectura'!$B$114+50*(F35-G35-H35)/'00_Arquitectura'!$B$92-MIN('00_Arquitectura'!$B$116,M35/'00_Arquitectura'!$B$115)))</x:f>
        <x:v>58</x:v>
      </x:c>
      <x:c r="P35" s="5" t="n">
        <x:f>0</x:f>
        <x:v>0</x:v>
      </x:c>
      <x:c r="Q35" s="5" t="n">
        <x:f>1</x:f>
        <x:v>1</x:v>
      </x:c>
      <x:c r="R35" s="5" t="str">
        <x:v>Sólo condiciones globales del catálogo; sin acuerdos activos iniciales.</x:v>
      </x:c>
    </x:row>
    <x:row r="36" ht="34" customHeight="1">
      <x:c r="A36" s="10" t="str">
        <x:v>S3_SALARIO</x:v>
      </x:c>
      <x:c r="B36" s="10" t="n">
        <x:v>2</x:v>
      </x:c>
      <x:c r="C36" s="10" t="str">
        <x:v>aumento_salarial</x:v>
      </x:c>
      <x:c r="D36" s="10" t="n">
        <x:f>$L$35</x:f>
        <x:v>1235</x:v>
      </x:c>
      <x:c r="E36" s="10" t="n">
        <x:f>0-SUM($I$1705)-(0)</x:f>
        <x:v>-80</x:v>
      </x:c>
      <x:c r="F36" s="10" t="n">
        <x:f>'00_Arquitectura'!$B$92+'00_Arquitectura'!$B$94*($K$350-50)+0</x:f>
        <x:v>500</x:v>
      </x:c>
      <x:c r="G36" s="10" t="n">
        <x:f>MAX(0,'00_Arquitectura'!$B$93+0)</x:f>
        <x:v>420</x:v>
      </x:c>
      <x:c r="H36" s="10" t="n">
        <x:f>0</x:f>
        <x:v>0</x:v>
      </x:c>
      <x:c r="I36" s="10" t="n">
        <x:f>0</x:f>
        <x:v>0</x:v>
      </x:c>
      <x:c r="J36" s="10" t="n">
        <x:f>0</x:f>
        <x:v>0</x:v>
      </x:c>
      <x:c r="K36" s="10" t="n">
        <x:f>0</x:f>
        <x:v>0</x:v>
      </x:c>
      <x:c r="L36" s="10" t="n">
        <x:f>D36+E36+F36-G36-H36+I36-J36+K36</x:f>
        <x:v>1235</x:v>
      </x:c>
      <x:c r="M36" s="10" t="n">
        <x:f>$M$35+I36-J36</x:f>
        <x:v>0</x:v>
      </x:c>
      <x:c r="N36" s="10" t="n">
        <x:f>E36+F36-G36-H36</x:f>
        <x:v>0</x:v>
      </x:c>
      <x:c r="O36" s="10" t="n">
        <x:f>MAX(0,MIN(100,'00_Arquitectura'!$B$114+50*(F36-G36-H36)/'00_Arquitectura'!$B$92-MIN('00_Arquitectura'!$B$116,M36/'00_Arquitectura'!$B$115)))</x:f>
        <x:v>58</x:v>
      </x:c>
      <x:c r="P36" s="10" t="n">
        <x:f>0</x:f>
        <x:v>0</x:v>
      </x:c>
      <x:c r="Q36" s="10" t="n">
        <x:f>1</x:f>
        <x:v>1</x:v>
      </x:c>
      <x:c r="R36" s="10" t="str">
        <x:v>Reunión sindical del turno anterior; caja&gt;=80; cooldown4.</x:v>
      </x:c>
    </x:row>
    <x:row r="37" ht="34" customHeight="1">
      <x:c r="A37" s="5" t="str">
        <x:v>S3_SALARIO</x:v>
      </x:c>
      <x:c r="B37" s="5" t="n">
        <x:v>3</x:v>
      </x:c>
      <x:c r="C37" s="5" t="str">
        <x:v>Sin acción</x:v>
      </x:c>
      <x:c r="D37" s="5" t="n">
        <x:f>$L$36</x:f>
        <x:v>1235</x:v>
      </x:c>
      <x:c r="E37" s="5" t="n">
        <x:f>0-0-(0)</x:f>
        <x:v>0</x:v>
      </x:c>
      <x:c r="F37" s="5" t="n">
        <x:f>'00_Arquitectura'!$B$92+'00_Arquitectura'!$B$94*($K$364-50)+0</x:f>
        <x:v>500</x:v>
      </x:c>
      <x:c r="G37" s="5" t="n">
        <x:f>MAX(0,'00_Arquitectura'!$B$93+SUM($I$1707))</x:f>
        <x:v>480</x:v>
      </x:c>
      <x:c r="H37" s="5" t="n">
        <x:f>0</x:f>
        <x:v>0</x:v>
      </x:c>
      <x:c r="I37" s="5" t="n">
        <x:f>0</x:f>
        <x:v>0</x:v>
      </x:c>
      <x:c r="J37" s="5" t="n">
        <x:f>0</x:f>
        <x:v>0</x:v>
      </x:c>
      <x:c r="K37" s="5" t="n">
        <x:f>0</x:f>
        <x:v>0</x:v>
      </x:c>
      <x:c r="L37" s="5" t="n">
        <x:f>D37+E37+F37-G37-H37+I37-J37+K37</x:f>
        <x:v>1255</x:v>
      </x:c>
      <x:c r="M37" s="5" t="n">
        <x:f>$M$36+I37-J37</x:f>
        <x:v>0</x:v>
      </x:c>
      <x:c r="N37" s="5" t="n">
        <x:f>E37+F37-G37-H37</x:f>
        <x:v>20</x:v>
      </x:c>
      <x:c r="O37" s="5" t="n">
        <x:f>MAX(0,MIN(100,'00_Arquitectura'!$B$114+50*(F37-G37-H37)/'00_Arquitectura'!$B$92-MIN('00_Arquitectura'!$B$116,M37/'00_Arquitectura'!$B$115)))</x:f>
        <x:v>52</x:v>
      </x:c>
      <x:c r="P37" s="5" t="n">
        <x:f>0</x:f>
        <x:v>0</x:v>
      </x:c>
      <x:c r="Q37" s="5" t="n">
        <x:f>0</x:f>
        <x:v>0</x:v>
      </x:c>
      <x:c r="R37" s="5" t="str">
        <x:v>Sólo condiciones globales del catálogo; sin acuerdos activos iniciales.</x:v>
      </x:c>
    </x:row>
    <x:row r="38" ht="34" customHeight="1">
      <x:c r="A38" s="10" t="str">
        <x:v>S3_SALARIO</x:v>
      </x:c>
      <x:c r="B38" s="10" t="n">
        <x:v>4</x:v>
      </x:c>
      <x:c r="C38" s="10" t="str">
        <x:v>Sin acción</x:v>
      </x:c>
      <x:c r="D38" s="10" t="n">
        <x:f>$L$37</x:f>
        <x:v>1255</x:v>
      </x:c>
      <x:c r="E38" s="10" t="n">
        <x:f>0-0-(0)</x:f>
        <x:v>0</x:v>
      </x:c>
      <x:c r="F38" s="10" t="n">
        <x:f>'00_Arquitectura'!$B$92+'00_Arquitectura'!$B$94*($K$378-50)+0</x:f>
        <x:v>500</x:v>
      </x:c>
      <x:c r="G38" s="10" t="n">
        <x:f>MAX(0,'00_Arquitectura'!$B$93+SUM($I$1708))</x:f>
        <x:v>480</x:v>
      </x:c>
      <x:c r="H38" s="10" t="n">
        <x:f>0</x:f>
        <x:v>0</x:v>
      </x:c>
      <x:c r="I38" s="10" t="n">
        <x:f>0</x:f>
        <x:v>0</x:v>
      </x:c>
      <x:c r="J38" s="10" t="n">
        <x:f>0</x:f>
        <x:v>0</x:v>
      </x:c>
      <x:c r="K38" s="10" t="n">
        <x:f>0</x:f>
        <x:v>0</x:v>
      </x:c>
      <x:c r="L38" s="10" t="n">
        <x:f>D38+E38+F38-G38-H38+I38-J38+K38</x:f>
        <x:v>1275</x:v>
      </x:c>
      <x:c r="M38" s="10" t="n">
        <x:f>$M$37+I38-J38</x:f>
        <x:v>0</x:v>
      </x:c>
      <x:c r="N38" s="10" t="n">
        <x:f>E38+F38-G38-H38</x:f>
        <x:v>20</x:v>
      </x:c>
      <x:c r="O38" s="10" t="n">
        <x:f>MAX(0,MIN(100,'00_Arquitectura'!$B$114+50*(F38-G38-H38)/'00_Arquitectura'!$B$92-MIN('00_Arquitectura'!$B$116,M38/'00_Arquitectura'!$B$115)))</x:f>
        <x:v>52</x:v>
      </x:c>
      <x:c r="P38" s="10" t="n">
        <x:f>0</x:f>
        <x:v>0</x:v>
      </x:c>
      <x:c r="Q38" s="10" t="n">
        <x:f>0</x:f>
        <x:v>0</x:v>
      </x:c>
      <x:c r="R38" s="10" t="str">
        <x:v>Sólo condiciones globales del catálogo; sin acuerdos activos iniciales.</x:v>
      </x:c>
    </x:row>
    <x:row r="39" ht="34" customHeight="1">
      <x:c r="A39" s="5" t="str">
        <x:v>S3_SALARIO</x:v>
      </x:c>
      <x:c r="B39" s="5" t="n">
        <x:v>5</x:v>
      </x:c>
      <x:c r="C39" s="5" t="str">
        <x:v>reunirse</x:v>
      </x:c>
      <x:c r="D39" s="5" t="n">
        <x:f>$L$38</x:f>
        <x:v>1275</x:v>
      </x:c>
      <x:c r="E39" s="5" t="n">
        <x:f>0-0-('00_Arquitectura'!$B$124+'00_Arquitectura'!$B$125*'02_Actores'!$G$9)</x:f>
        <x:v>-45</x:v>
      </x:c>
      <x:c r="F39" s="5" t="n">
        <x:f>'00_Arquitectura'!$B$92+'00_Arquitectura'!$B$94*($K$392-50)+0</x:f>
        <x:v>500</x:v>
      </x:c>
      <x:c r="G39" s="5" t="n">
        <x:f>MAX(0,'00_Arquitectura'!$B$93+SUM($I$1709))</x:f>
        <x:v>480</x:v>
      </x:c>
      <x:c r="H39" s="5" t="n">
        <x:f>0</x:f>
        <x:v>0</x:v>
      </x:c>
      <x:c r="I39" s="5" t="n">
        <x:f>0</x:f>
        <x:v>0</x:v>
      </x:c>
      <x:c r="J39" s="5" t="n">
        <x:f>0</x:f>
        <x:v>0</x:v>
      </x:c>
      <x:c r="K39" s="5" t="n">
        <x:f>0</x:f>
        <x:v>0</x:v>
      </x:c>
      <x:c r="L39" s="5" t="n">
        <x:f>D39+E39+F39-G39-H39+I39-J39+K39</x:f>
        <x:v>1250</x:v>
      </x:c>
      <x:c r="M39" s="5" t="n">
        <x:f>$M$38+I39-J39</x:f>
        <x:v>0</x:v>
      </x:c>
      <x:c r="N39" s="5" t="n">
        <x:f>E39+F39-G39-H39</x:f>
        <x:v>-25</x:v>
      </x:c>
      <x:c r="O39" s="5" t="n">
        <x:f>MAX(0,MIN(100,'00_Arquitectura'!$B$114+50*(F39-G39-H39)/'00_Arquitectura'!$B$92-MIN('00_Arquitectura'!$B$116,M39/'00_Arquitectura'!$B$115)))</x:f>
        <x:v>52</x:v>
      </x:c>
      <x:c r="P39" s="5" t="n">
        <x:f>0</x:f>
        <x:v>0</x:v>
      </x:c>
      <x:c r="Q39" s="5" t="n">
        <x:f>1</x:f>
        <x:v>1</x:v>
      </x:c>
      <x:c r="R39" s="5" t="str">
        <x:v>Sólo condiciones globales del catálogo; sin acuerdos activos iniciales.</x:v>
      </x:c>
    </x:row>
    <x:row r="40" ht="34" customHeight="1">
      <x:c r="A40" s="10" t="str">
        <x:v>S3_SALARIO</x:v>
      </x:c>
      <x:c r="B40" s="10" t="n">
        <x:v>6</x:v>
      </x:c>
      <x:c r="C40" s="10" t="str">
        <x:v>aumento_salarial</x:v>
      </x:c>
      <x:c r="D40" s="10" t="n">
        <x:f>$L$39</x:f>
        <x:v>1250</x:v>
      </x:c>
      <x:c r="E40" s="10" t="n">
        <x:f>0-SUM($I$1716)-(0)</x:f>
        <x:v>-80</x:v>
      </x:c>
      <x:c r="F40" s="10" t="n">
        <x:f>'00_Arquitectura'!$B$92+'00_Arquitectura'!$B$94*($K$406-50)+0</x:f>
        <x:v>499.9808</x:v>
      </x:c>
      <x:c r="G40" s="10" t="n">
        <x:f>MAX(0,'00_Arquitectura'!$B$93+SUM($I$1710))</x:f>
        <x:v>480</x:v>
      </x:c>
      <x:c r="H40" s="10" t="n">
        <x:f>0</x:f>
        <x:v>0</x:v>
      </x:c>
      <x:c r="I40" s="10" t="n">
        <x:f>0</x:f>
        <x:v>0</x:v>
      </x:c>
      <x:c r="J40" s="10" t="n">
        <x:f>0</x:f>
        <x:v>0</x:v>
      </x:c>
      <x:c r="K40" s="10" t="n">
        <x:f>0</x:f>
        <x:v>0</x:v>
      </x:c>
      <x:c r="L40" s="10" t="n">
        <x:f>D40+E40+F40-G40-H40+I40-J40+K40</x:f>
        <x:v>1189.9808</x:v>
      </x:c>
      <x:c r="M40" s="10" t="n">
        <x:f>$M$39+I40-J40</x:f>
        <x:v>0</x:v>
      </x:c>
      <x:c r="N40" s="10" t="n">
        <x:f>E40+F40-G40-H40</x:f>
        <x:v>-60.01920000000001</x:v>
      </x:c>
      <x:c r="O40" s="10" t="n">
        <x:f>MAX(0,MIN(100,'00_Arquitectura'!$B$114+50*(F40-G40-H40)/'00_Arquitectura'!$B$92-MIN('00_Arquitectura'!$B$116,M40/'00_Arquitectura'!$B$115)))</x:f>
        <x:v>51.99808</x:v>
      </x:c>
      <x:c r="P40" s="10" t="n">
        <x:f>0</x:f>
        <x:v>0</x:v>
      </x:c>
      <x:c r="Q40" s="10" t="n">
        <x:f>1</x:f>
        <x:v>1</x:v>
      </x:c>
      <x:c r="R40" s="10" t="str">
        <x:v>Reunión sindical del turno anterior; caja&gt;=80; cooldown4.</x:v>
      </x:c>
    </x:row>
    <x:row r="41" ht="34" customHeight="1">
      <x:c r="A41" s="5" t="str">
        <x:v>S3_SALARIO</x:v>
      </x:c>
      <x:c r="B41" s="5" t="n">
        <x:v>7</x:v>
      </x:c>
      <x:c r="C41" s="5" t="str">
        <x:v>Sin acción</x:v>
      </x:c>
      <x:c r="D41" s="5" t="n">
        <x:f>$L$40</x:f>
        <x:v>1189.9808</x:v>
      </x:c>
      <x:c r="E41" s="5" t="n">
        <x:f>0-0-(0)</x:f>
        <x:v>0</x:v>
      </x:c>
      <x:c r="F41" s="5" t="n">
        <x:f>'00_Arquitectura'!$B$92+'00_Arquitectura'!$B$94*($K$420-50)+0</x:f>
        <x:v>499.94912</x:v>
      </x:c>
      <x:c r="G41" s="5" t="n">
        <x:f>MAX(0,'00_Arquitectura'!$B$93+SUM($I$1711,$I$1718))</x:f>
        <x:v>540</x:v>
      </x:c>
      <x:c r="H41" s="5" t="n">
        <x:f>0</x:f>
        <x:v>0</x:v>
      </x:c>
      <x:c r="I41" s="5" t="n">
        <x:f>0</x:f>
        <x:v>0</x:v>
      </x:c>
      <x:c r="J41" s="5" t="n">
        <x:f>0</x:f>
        <x:v>0</x:v>
      </x:c>
      <x:c r="K41" s="5" t="n">
        <x:f>0</x:f>
        <x:v>0</x:v>
      </x:c>
      <x:c r="L41" s="5" t="n">
        <x:f>D41+E41+F41-G41-H41+I41-J41+K41</x:f>
        <x:v>1149.92992</x:v>
      </x:c>
      <x:c r="M41" s="5" t="n">
        <x:f>$M$40+I41-J41</x:f>
        <x:v>0</x:v>
      </x:c>
      <x:c r="N41" s="5" t="n">
        <x:f>E41+F41-G41-H41</x:f>
        <x:v>-40.05088000000001</x:v>
      </x:c>
      <x:c r="O41" s="5" t="n">
        <x:f>MAX(0,MIN(100,'00_Arquitectura'!$B$114+50*(F41-G41-H41)/'00_Arquitectura'!$B$92-MIN('00_Arquitectura'!$B$116,M41/'00_Arquitectura'!$B$115)))</x:f>
        <x:v>45.994912</x:v>
      </x:c>
      <x:c r="P41" s="5" t="n">
        <x:f>0</x:f>
        <x:v>0</x:v>
      </x:c>
      <x:c r="Q41" s="5" t="n">
        <x:f>0</x:f>
        <x:v>0</x:v>
      </x:c>
      <x:c r="R41" s="5" t="str">
        <x:v>Sólo condiciones globales del catálogo; sin acuerdos activos iniciales.</x:v>
      </x:c>
    </x:row>
    <x:row r="42" ht="34" customHeight="1">
      <x:c r="A42" s="10" t="str">
        <x:v>S3_SALARIO</x:v>
      </x:c>
      <x:c r="B42" s="10" t="n">
        <x:v>8</x:v>
      </x:c>
      <x:c r="C42" s="10" t="str">
        <x:v>Sin acción</x:v>
      </x:c>
      <x:c r="D42" s="10" t="n">
        <x:f>$L$41</x:f>
        <x:v>1149.92992</x:v>
      </x:c>
      <x:c r="E42" s="10" t="n">
        <x:f>0-0-(0)</x:f>
        <x:v>0</x:v>
      </x:c>
      <x:c r="F42" s="10" t="n">
        <x:f>'00_Arquitectura'!$B$92+'00_Arquitectura'!$B$94*($K$434-50)+0</x:f>
        <x:v>499.909904</x:v>
      </x:c>
      <x:c r="G42" s="10" t="n">
        <x:f>MAX(0,'00_Arquitectura'!$B$93+SUM($I$1712,$I$1719))</x:f>
        <x:v>540</x:v>
      </x:c>
      <x:c r="H42" s="10" t="n">
        <x:f>0</x:f>
        <x:v>0</x:v>
      </x:c>
      <x:c r="I42" s="10" t="n">
        <x:f>0</x:f>
        <x:v>0</x:v>
      </x:c>
      <x:c r="J42" s="10" t="n">
        <x:f>0</x:f>
        <x:v>0</x:v>
      </x:c>
      <x:c r="K42" s="10" t="n">
        <x:f>0</x:f>
        <x:v>0</x:v>
      </x:c>
      <x:c r="L42" s="10" t="n">
        <x:f>D42+E42+F42-G42-H42+I42-J42+K42</x:f>
        <x:v>1109.8398240000001</x:v>
      </x:c>
      <x:c r="M42" s="10" t="n">
        <x:f>$M$41+I42-J42</x:f>
        <x:v>0</x:v>
      </x:c>
      <x:c r="N42" s="10" t="n">
        <x:f>E42+F42-G42-H42</x:f>
        <x:v>-40.09009600000002</x:v>
      </x:c>
      <x:c r="O42" s="10" t="n">
        <x:f>MAX(0,MIN(100,'00_Arquitectura'!$B$114+50*(F42-G42-H42)/'00_Arquitectura'!$B$92-MIN('00_Arquitectura'!$B$116,M42/'00_Arquitectura'!$B$115)))</x:f>
        <x:v>45.9909904</x:v>
      </x:c>
      <x:c r="P42" s="10" t="n">
        <x:f>0</x:f>
        <x:v>0</x:v>
      </x:c>
      <x:c r="Q42" s="10" t="n">
        <x:f>0</x:f>
        <x:v>0</x:v>
      </x:c>
      <x:c r="R42" s="10" t="str">
        <x:v>Sólo condiciones globales del catálogo; sin acuerdos activos iniciales.</x:v>
      </x:c>
    </x:row>
    <x:row r="43" ht="34" customHeight="1">
      <x:c r="A43" s="5" t="str">
        <x:v>S3_SALARIO</x:v>
      </x:c>
      <x:c r="B43" s="5" t="n">
        <x:v>9</x:v>
      </x:c>
      <x:c r="C43" s="5" t="str">
        <x:v>Sin acción</x:v>
      </x:c>
      <x:c r="D43" s="5" t="n">
        <x:f>$L$42</x:f>
        <x:v>1109.8398240000001</x:v>
      </x:c>
      <x:c r="E43" s="5" t="n">
        <x:f>0-0-(0)</x:f>
        <x:v>0</x:v>
      </x:c>
      <x:c r="F43" s="5" t="n">
        <x:f>'00_Arquitectura'!$B$92+'00_Arquitectura'!$B$94*($K$448-50)+0</x:f>
        <x:v>499.866733856</x:v>
      </x:c>
      <x:c r="G43" s="5" t="n">
        <x:f>MAX(0,'00_Arquitectura'!$B$93+SUM($I$1713,$I$1720))</x:f>
        <x:v>540</x:v>
      </x:c>
      <x:c r="H43" s="5" t="n">
        <x:f>0</x:f>
        <x:v>0</x:v>
      </x:c>
      <x:c r="I43" s="5" t="n">
        <x:f>0</x:f>
        <x:v>0</x:v>
      </x:c>
      <x:c r="J43" s="5" t="n">
        <x:f>0</x:f>
        <x:v>0</x:v>
      </x:c>
      <x:c r="K43" s="5" t="n">
        <x:f>0</x:f>
        <x:v>0</x:v>
      </x:c>
      <x:c r="L43" s="5" t="n">
        <x:f>D43+E43+F43-G43-H43+I43-J43+K43</x:f>
        <x:v>1069.706557856</x:v>
      </x:c>
      <x:c r="M43" s="5" t="n">
        <x:f>$M$42+I43-J43</x:f>
        <x:v>0</x:v>
      </x:c>
      <x:c r="N43" s="5" t="n">
        <x:f>E43+F43-G43-H43</x:f>
        <x:v>-40.133266144000004</x:v>
      </x:c>
      <x:c r="O43" s="5" t="n">
        <x:f>MAX(0,MIN(100,'00_Arquitectura'!$B$114+50*(F43-G43-H43)/'00_Arquitectura'!$B$92-MIN('00_Arquitectura'!$B$116,M43/'00_Arquitectura'!$B$115)))</x:f>
        <x:v>45.9866733856</x:v>
      </x:c>
      <x:c r="P43" s="5" t="n">
        <x:f>0</x:f>
        <x:v>0</x:v>
      </x:c>
      <x:c r="Q43" s="5" t="n">
        <x:f>0</x:f>
        <x:v>0</x:v>
      </x:c>
      <x:c r="R43" s="5" t="str">
        <x:v>Sólo condiciones globales del catálogo; sin acuerdos activos iniciales.</x:v>
      </x:c>
    </x:row>
    <x:row r="44" ht="34" customHeight="1">
      <x:c r="A44" s="10" t="str">
        <x:v>S3_SALARIO</x:v>
      </x:c>
      <x:c r="B44" s="10" t="n">
        <x:v>10</x:v>
      </x:c>
      <x:c r="C44" s="10" t="str">
        <x:v>Sin acción</x:v>
      </x:c>
      <x:c r="D44" s="10" t="n">
        <x:f>$L$43</x:f>
        <x:v>1069.706557856</x:v>
      </x:c>
      <x:c r="E44" s="10" t="n">
        <x:f>0-0-(0)</x:f>
        <x:v>0</x:v>
      </x:c>
      <x:c r="F44" s="10" t="n">
        <x:f>'00_Arquitectura'!$B$92+'00_Arquitectura'!$B$94*($K$462-50)+0</x:f>
        <x:v>499.8029598608</x:v>
      </x:c>
      <x:c r="G44" s="10" t="n">
        <x:f>MAX(0,'00_Arquitectura'!$B$93+SUM($I$1714,$I$1721))</x:f>
        <x:v>540</x:v>
      </x:c>
      <x:c r="H44" s="10" t="n">
        <x:f>0</x:f>
        <x:v>0</x:v>
      </x:c>
      <x:c r="I44" s="10" t="n">
        <x:f>0</x:f>
        <x:v>0</x:v>
      </x:c>
      <x:c r="J44" s="10" t="n">
        <x:f>0</x:f>
        <x:v>0</x:v>
      </x:c>
      <x:c r="K44" s="10" t="n">
        <x:f>0</x:f>
        <x:v>0</x:v>
      </x:c>
      <x:c r="L44" s="10" t="n">
        <x:f>D44+E44+F44-G44-H44+I44-J44+K44</x:f>
        <x:v>1029.5095177168</x:v>
      </x:c>
      <x:c r="M44" s="10" t="n">
        <x:f>$M$43+I44-J44</x:f>
        <x:v>0</x:v>
      </x:c>
      <x:c r="N44" s="10" t="n">
        <x:f>E44+F44-G44-H44</x:f>
        <x:v>-40.1970401392</x:v>
      </x:c>
      <x:c r="O44" s="10" t="n">
        <x:f>MAX(0,MIN(100,'00_Arquitectura'!$B$114+50*(F44-G44-H44)/'00_Arquitectura'!$B$92-MIN('00_Arquitectura'!$B$116,M44/'00_Arquitectura'!$B$115)))</x:f>
        <x:v>45.98029598608</x:v>
      </x:c>
      <x:c r="P44" s="10" t="n">
        <x:f>0</x:f>
        <x:v>0</x:v>
      </x:c>
      <x:c r="Q44" s="10" t="n">
        <x:f>0</x:f>
        <x:v>0</x:v>
      </x:c>
      <x:c r="R44" s="10" t="str">
        <x:v>Sólo condiciones globales del catálogo; sin acuerdos activos iniciales.</x:v>
      </x:c>
    </x:row>
    <x:row r="45" ht="34" customHeight="1">
      <x:c r="A45" s="5" t="str">
        <x:v>S4_PRESTAMO</x:v>
      </x:c>
      <x:c r="B45" s="5" t="n">
        <x:v>1</x:v>
      </x:c>
      <x:c r="C45" s="5" t="str">
        <x:v>mejorar_recaudacion</x:v>
      </x:c>
      <x:c r="D45" s="5" t="n">
        <x:f>'00_Arquitectura'!$B$91</x:f>
        <x:v>1200</x:v>
      </x:c>
      <x:c r="E45" s="5" t="n">
        <x:f>0-SUM($I$1723)-(0)</x:f>
        <x:v>-100</x:v>
      </x:c>
      <x:c r="F45" s="5" t="n">
        <x:f>'00_Arquitectura'!$B$92+'00_Arquitectura'!$B$94*('01_Indicadores'!$H$7-50)+0</x:f>
        <x:v>500</x:v>
      </x:c>
      <x:c r="G45" s="5" t="n">
        <x:f>MAX(0,'00_Arquitectura'!$B$93+0)</x:f>
        <x:v>420</x:v>
      </x:c>
      <x:c r="H45" s="5" t="n">
        <x:f>0</x:f>
        <x:v>0</x:v>
      </x:c>
      <x:c r="I45" s="5" t="n">
        <x:f>0</x:f>
        <x:v>0</x:v>
      </x:c>
      <x:c r="J45" s="5" t="n">
        <x:f>0</x:f>
        <x:v>0</x:v>
      </x:c>
      <x:c r="K45" s="5" t="n">
        <x:f>0</x:f>
        <x:v>0</x:v>
      </x:c>
      <x:c r="L45" s="5" t="n">
        <x:f>D45+E45+F45-G45-H45+I45-J45+K45</x:f>
        <x:v>1180</x:v>
      </x:c>
      <x:c r="M45" s="5" t="n">
        <x:f>0+I45-J45</x:f>
        <x:v>0</x:v>
      </x:c>
      <x:c r="N45" s="5" t="n">
        <x:f>E45+F45-G45-H45</x:f>
        <x:v>-20</x:v>
      </x:c>
      <x:c r="O45" s="5" t="n">
        <x:f>MAX(0,MIN(100,'00_Arquitectura'!$B$114+50*(F45-G45-H45)/'00_Arquitectura'!$B$92-MIN('00_Arquitectura'!$B$116,M45/'00_Arquitectura'!$B$115)))</x:f>
        <x:v>58</x:v>
      </x:c>
      <x:c r="P45" s="5" t="n">
        <x:f>0</x:f>
        <x:v>0</x:v>
      </x:c>
      <x:c r="Q45" s="5" t="n">
        <x:f>1</x:f>
        <x:v>1</x:v>
      </x:c>
      <x:c r="R45" s="5" t="str">
        <x:v>Sólo condiciones globales del catálogo; sin acuerdos activos iniciales.</x:v>
      </x:c>
    </x:row>
    <x:row r="46" ht="34" customHeight="1">
      <x:c r="A46" s="10" t="str">
        <x:v>S4_PRESTAMO</x:v>
      </x:c>
      <x:c r="B46" s="10" t="n">
        <x:v>2</x:v>
      </x:c>
      <x:c r="C46" s="10" t="str">
        <x:v>prestamo_internacional</x:v>
      </x:c>
      <x:c r="D46" s="10" t="n">
        <x:f>$L$45</x:f>
        <x:v>1180</x:v>
      </x:c>
      <x:c r="E46" s="10" t="n">
        <x:f>0-0-(0)</x:f>
        <x:v>0</x:v>
      </x:c>
      <x:c r="F46" s="10" t="n">
        <x:f>'00_Arquitectura'!$B$92+'00_Arquitectura'!$B$94*($K$490-50)+0</x:f>
        <x:v>500</x:v>
      </x:c>
      <x:c r="G46" s="10" t="n">
        <x:f>MAX(0,'00_Arquitectura'!$B$93+0)</x:f>
        <x:v>420</x:v>
      </x:c>
      <x:c r="H46" s="10" t="n">
        <x:f>0</x:f>
        <x:v>0</x:v>
      </x:c>
      <x:c r="I46" s="10" t="n">
        <x:f>'05_Efectos'!$E$36</x:f>
        <x:v>800</x:v>
      </x:c>
      <x:c r="J46" s="10" t="n">
        <x:f>0</x:f>
        <x:v>0</x:v>
      </x:c>
      <x:c r="K46" s="10" t="n">
        <x:f>0</x:f>
        <x:v>0</x:v>
      </x:c>
      <x:c r="L46" s="10" t="n">
        <x:f>D46+E46+F46-G46-H46+I46-J46+K46</x:f>
        <x:v>2060</x:v>
      </x:c>
      <x:c r="M46" s="10" t="n">
        <x:f>$M$45+I46-J46</x:f>
        <x:v>800</x:v>
      </x:c>
      <x:c r="N46" s="10" t="n">
        <x:f>E46+F46-G46-H46</x:f>
        <x:v>80</x:v>
      </x:c>
      <x:c r="O46" s="10" t="n">
        <x:f>MAX(0,MIN(100,'00_Arquitectura'!$B$114+50*(F46-G46-H46)/'00_Arquitectura'!$B$92-MIN('00_Arquitectura'!$B$116,M46/'00_Arquitectura'!$B$115)))</x:f>
        <x:v>50</x:v>
      </x:c>
      <x:c r="P46" s="10" t="n">
        <x:f>0</x:f>
        <x:v>0</x:v>
      </x:c>
      <x:c r="Q46" s="10" t="n">
        <x:f>1</x:f>
        <x:v>1</x:v>
      </x:c>
      <x:c r="R46" s="10" t="str">
        <x:v>Recaudación ejecutada T1; fiscal&gt;=35; externo&gt;=35; deuda tras préstamo&lt;=1600.</x:v>
      </x:c>
    </x:row>
    <x:row r="47" ht="34" customHeight="1">
      <x:c r="A47" s="5" t="str">
        <x:v>S4_PRESTAMO</x:v>
      </x:c>
      <x:c r="B47" s="5" t="n">
        <x:v>3</x:v>
      </x:c>
      <x:c r="C47" s="5" t="str">
        <x:v>Sin acción</x:v>
      </x:c>
      <x:c r="D47" s="5" t="n">
        <x:f>$L$46</x:f>
        <x:v>2060</x:v>
      </x:c>
      <x:c r="E47" s="5" t="n">
        <x:f>0-0-(0)</x:f>
        <x:v>0</x:v>
      </x:c>
      <x:c r="F47" s="5" t="n">
        <x:f>'00_Arquitectura'!$B$92+'00_Arquitectura'!$B$94*($K$504-50)+SUM($I$1724)</x:f>
        <x:v>570</x:v>
      </x:c>
      <x:c r="G47" s="5" t="n">
        <x:f>MAX(0,'00_Arquitectura'!$B$93+0)</x:f>
        <x:v>420</x:v>
      </x:c>
      <x:c r="H47" s="5" t="n">
        <x:f>'00_Arquitectura'!$B$112</x:f>
        <x:v>24</x:v>
      </x:c>
      <x:c r="I47" s="5" t="n">
        <x:f>0</x:f>
        <x:v>0</x:v>
      </x:c>
      <x:c r="J47" s="5" t="n">
        <x:f>0</x:f>
        <x:v>0</x:v>
      </x:c>
      <x:c r="K47" s="5" t="n">
        <x:f>0</x:f>
        <x:v>0</x:v>
      </x:c>
      <x:c r="L47" s="5" t="n">
        <x:f>D47+E47+F47-G47-H47+I47-J47+K47</x:f>
        <x:v>2186</x:v>
      </x:c>
      <x:c r="M47" s="5" t="n">
        <x:f>$M$46+I47-J47</x:f>
        <x:v>800</x:v>
      </x:c>
      <x:c r="N47" s="5" t="n">
        <x:f>E47+F47-G47-H47</x:f>
        <x:v>126</x:v>
      </x:c>
      <x:c r="O47" s="5" t="n">
        <x:f>MAX(0,MIN(100,'00_Arquitectura'!$B$114+50*(F47-G47-H47)/'00_Arquitectura'!$B$92-MIN('00_Arquitectura'!$B$116,M47/'00_Arquitectura'!$B$115)))</x:f>
        <x:v>54.6</x:v>
      </x:c>
      <x:c r="P47" s="5" t="n">
        <x:f>0</x:f>
        <x:v>0</x:v>
      </x:c>
      <x:c r="Q47" s="5" t="n">
        <x:f>0</x:f>
        <x:v>0</x:v>
      </x:c>
      <x:c r="R47" s="5" t="str">
        <x:v>Sólo condiciones globales del catálogo; sin acuerdos activos iniciales.</x:v>
      </x:c>
    </x:row>
    <x:row r="48" ht="34" customHeight="1">
      <x:c r="A48" s="10" t="str">
        <x:v>S4_PRESTAMO</x:v>
      </x:c>
      <x:c r="B48" s="10" t="n">
        <x:v>4</x:v>
      </x:c>
      <x:c r="C48" s="10" t="str">
        <x:v>Sin acción</x:v>
      </x:c>
      <x:c r="D48" s="10" t="n">
        <x:f>$L$47</x:f>
        <x:v>2186</x:v>
      </x:c>
      <x:c r="E48" s="10" t="n">
        <x:f>0-0-(0)</x:f>
        <x:v>0</x:v>
      </x:c>
      <x:c r="F48" s="10" t="n">
        <x:f>'00_Arquitectura'!$B$92+'00_Arquitectura'!$B$94*($K$518-50)+SUM($I$1725)</x:f>
        <x:v>570</x:v>
      </x:c>
      <x:c r="G48" s="10" t="n">
        <x:f>MAX(0,'00_Arquitectura'!$B$93+0)</x:f>
        <x:v>420</x:v>
      </x:c>
      <x:c r="H48" s="10" t="n">
        <x:f>'00_Arquitectura'!$B$112</x:f>
        <x:v>24</x:v>
      </x:c>
      <x:c r="I48" s="10" t="n">
        <x:f>0</x:f>
        <x:v>0</x:v>
      </x:c>
      <x:c r="J48" s="10" t="n">
        <x:f>0</x:f>
        <x:v>0</x:v>
      </x:c>
      <x:c r="K48" s="10" t="n">
        <x:f>0</x:f>
        <x:v>0</x:v>
      </x:c>
      <x:c r="L48" s="10" t="n">
        <x:f>D48+E48+F48-G48-H48+I48-J48+K48</x:f>
        <x:v>2312</x:v>
      </x:c>
      <x:c r="M48" s="10" t="n">
        <x:f>$M$47+I48-J48</x:f>
        <x:v>800</x:v>
      </x:c>
      <x:c r="N48" s="10" t="n">
        <x:f>E48+F48-G48-H48</x:f>
        <x:v>126</x:v>
      </x:c>
      <x:c r="O48" s="10" t="n">
        <x:f>MAX(0,MIN(100,'00_Arquitectura'!$B$114+50*(F48-G48-H48)/'00_Arquitectura'!$B$92-MIN('00_Arquitectura'!$B$116,M48/'00_Arquitectura'!$B$115)))</x:f>
        <x:v>54.6</x:v>
      </x:c>
      <x:c r="P48" s="10" t="n">
        <x:f>0</x:f>
        <x:v>0</x:v>
      </x:c>
      <x:c r="Q48" s="10" t="n">
        <x:f>0</x:f>
        <x:v>0</x:v>
      </x:c>
      <x:c r="R48" s="10" t="str">
        <x:v>Sólo condiciones globales del catálogo; sin acuerdos activos iniciales.</x:v>
      </x:c>
    </x:row>
    <x:row r="49" ht="34" customHeight="1">
      <x:c r="A49" s="5" t="str">
        <x:v>S4_PRESTAMO</x:v>
      </x:c>
      <x:c r="B49" s="5" t="n">
        <x:v>5</x:v>
      </x:c>
      <x:c r="C49" s="5" t="str">
        <x:v>Sin acción</x:v>
      </x:c>
      <x:c r="D49" s="5" t="n">
        <x:f>$L$48</x:f>
        <x:v>2312</x:v>
      </x:c>
      <x:c r="E49" s="5" t="n">
        <x:f>0-0-(0)</x:f>
        <x:v>0</x:v>
      </x:c>
      <x:c r="F49" s="5" t="n">
        <x:f>'00_Arquitectura'!$B$92+'00_Arquitectura'!$B$94*($K$532-50)+SUM($I$1726)</x:f>
        <x:v>569.9744000000001</x:v>
      </x:c>
      <x:c r="G49" s="5" t="n">
        <x:f>MAX(0,'00_Arquitectura'!$B$93+0)</x:f>
        <x:v>420</x:v>
      </x:c>
      <x:c r="H49" s="5" t="n">
        <x:f>'00_Arquitectura'!$B$112</x:f>
        <x:v>24</x:v>
      </x:c>
      <x:c r="I49" s="5" t="n">
        <x:f>0</x:f>
        <x:v>0</x:v>
      </x:c>
      <x:c r="J49" s="5" t="n">
        <x:f>0</x:f>
        <x:v>0</x:v>
      </x:c>
      <x:c r="K49" s="5" t="n">
        <x:f>0</x:f>
        <x:v>0</x:v>
      </x:c>
      <x:c r="L49" s="5" t="n">
        <x:f>D49+E49+F49-G49-H49+I49-J49+K49</x:f>
        <x:v>2437.9744</x:v>
      </x:c>
      <x:c r="M49" s="5" t="n">
        <x:f>$M$48+I49-J49</x:f>
        <x:v>800</x:v>
      </x:c>
      <x:c r="N49" s="5" t="n">
        <x:f>E49+F49-G49-H49</x:f>
        <x:v>125.97440000000006</x:v>
      </x:c>
      <x:c r="O49" s="5" t="n">
        <x:f>MAX(0,MIN(100,'00_Arquitectura'!$B$114+50*(F49-G49-H49)/'00_Arquitectura'!$B$92-MIN('00_Arquitectura'!$B$116,M49/'00_Arquitectura'!$B$115)))</x:f>
        <x:v>54.597440000000006</x:v>
      </x:c>
      <x:c r="P49" s="5" t="n">
        <x:f>0</x:f>
        <x:v>0</x:v>
      </x:c>
      <x:c r="Q49" s="5" t="n">
        <x:f>0</x:f>
        <x:v>0</x:v>
      </x:c>
      <x:c r="R49" s="5" t="str">
        <x:v>Sólo condiciones globales del catálogo; sin acuerdos activos iniciales.</x:v>
      </x:c>
    </x:row>
    <x:row r="50" ht="34" customHeight="1">
      <x:c r="A50" s="10" t="str">
        <x:v>S4_PRESTAMO</x:v>
      </x:c>
      <x:c r="B50" s="10" t="n">
        <x:v>6</x:v>
      </x:c>
      <x:c r="C50" s="10" t="str">
        <x:v>Sin acción</x:v>
      </x:c>
      <x:c r="D50" s="10" t="n">
        <x:f>$L$49</x:f>
        <x:v>2437.9744</x:v>
      </x:c>
      <x:c r="E50" s="10" t="n">
        <x:f>0-0-(0)</x:f>
        <x:v>0</x:v>
      </x:c>
      <x:c r="F50" s="10" t="n">
        <x:f>'00_Arquitectura'!$B$92+'00_Arquitectura'!$B$94*($K$546-50)+SUM($I$1727)</x:f>
        <x:v>569.94688</x:v>
      </x:c>
      <x:c r="G50" s="10" t="n">
        <x:f>MAX(0,'00_Arquitectura'!$B$93+0)</x:f>
        <x:v>420</x:v>
      </x:c>
      <x:c r="H50" s="10" t="n">
        <x:f>'00_Arquitectura'!$B$112</x:f>
        <x:v>24</x:v>
      </x:c>
      <x:c r="I50" s="10" t="n">
        <x:f>0</x:f>
        <x:v>0</x:v>
      </x:c>
      <x:c r="J50" s="10" t="n">
        <x:f>0</x:f>
        <x:v>0</x:v>
      </x:c>
      <x:c r="K50" s="10" t="n">
        <x:f>0</x:f>
        <x:v>0</x:v>
      </x:c>
      <x:c r="L50" s="10" t="n">
        <x:f>D50+E50+F50-G50-H50+I50-J50+K50</x:f>
        <x:v>2563.92128</x:v>
      </x:c>
      <x:c r="M50" s="10" t="n">
        <x:f>$M$49+I50-J50</x:f>
        <x:v>800</x:v>
      </x:c>
      <x:c r="N50" s="10" t="n">
        <x:f>E50+F50-G50-H50</x:f>
        <x:v>125.94687999999996</x:v>
      </x:c>
      <x:c r="O50" s="10" t="n">
        <x:f>MAX(0,MIN(100,'00_Arquitectura'!$B$114+50*(F50-G50-H50)/'00_Arquitectura'!$B$92-MIN('00_Arquitectura'!$B$116,M50/'00_Arquitectura'!$B$115)))</x:f>
        <x:v>54.594688</x:v>
      </x:c>
      <x:c r="P50" s="10" t="n">
        <x:f>0</x:f>
        <x:v>0</x:v>
      </x:c>
      <x:c r="Q50" s="10" t="n">
        <x:f>0</x:f>
        <x:v>0</x:v>
      </x:c>
      <x:c r="R50" s="10" t="str">
        <x:v>Sólo condiciones globales del catálogo; sin acuerdos activos iniciales.</x:v>
      </x:c>
    </x:row>
    <x:row r="51" ht="34" customHeight="1">
      <x:c r="A51" s="5" t="str">
        <x:v>S4_PRESTAMO</x:v>
      </x:c>
      <x:c r="B51" s="5" t="n">
        <x:v>7</x:v>
      </x:c>
      <x:c r="C51" s="5" t="str">
        <x:v>Sin acción</x:v>
      </x:c>
      <x:c r="D51" s="5" t="n">
        <x:f>$L$50</x:f>
        <x:v>2563.92128</x:v>
      </x:c>
      <x:c r="E51" s="5" t="n">
        <x:f>0-0-(0)</x:f>
        <x:v>0</x:v>
      </x:c>
      <x:c r="F51" s="5" t="n">
        <x:f>'00_Arquitectura'!$B$92+'00_Arquitectura'!$B$94*($K$560-50)+SUM($I$1728)</x:f>
        <x:v>569.91888</x:v>
      </x:c>
      <x:c r="G51" s="5" t="n">
        <x:f>MAX(0,'00_Arquitectura'!$B$93+0)</x:f>
        <x:v>420</x:v>
      </x:c>
      <x:c r="H51" s="5" t="n">
        <x:f>'00_Arquitectura'!$B$112</x:f>
        <x:v>24</x:v>
      </x:c>
      <x:c r="I51" s="5" t="n">
        <x:f>0</x:f>
        <x:v>0</x:v>
      </x:c>
      <x:c r="J51" s="5" t="n">
        <x:f>0</x:f>
        <x:v>0</x:v>
      </x:c>
      <x:c r="K51" s="5" t="n">
        <x:f>0</x:f>
        <x:v>0</x:v>
      </x:c>
      <x:c r="L51" s="5" t="n">
        <x:f>D51+E51+F51-G51-H51+I51-J51+K51</x:f>
        <x:v>2689.8401599999997</x:v>
      </x:c>
      <x:c r="M51" s="5" t="n">
        <x:f>$M$50+I51-J51</x:f>
        <x:v>800</x:v>
      </x:c>
      <x:c r="N51" s="5" t="n">
        <x:f>E51+F51-G51-H51</x:f>
        <x:v>125.91887999999994</x:v>
      </x:c>
      <x:c r="O51" s="5" t="n">
        <x:f>MAX(0,MIN(100,'00_Arquitectura'!$B$114+50*(F51-G51-H51)/'00_Arquitectura'!$B$92-MIN('00_Arquitectura'!$B$116,M51/'00_Arquitectura'!$B$115)))</x:f>
        <x:v>54.591888</x:v>
      </x:c>
      <x:c r="P51" s="5" t="n">
        <x:f>0</x:f>
        <x:v>0</x:v>
      </x:c>
      <x:c r="Q51" s="5" t="n">
        <x:f>0</x:f>
        <x:v>0</x:v>
      </x:c>
      <x:c r="R51" s="5" t="str">
        <x:v>Sólo condiciones globales del catálogo; sin acuerdos activos iniciales.</x:v>
      </x:c>
    </x:row>
    <x:row r="52" ht="34" customHeight="1">
      <x:c r="A52" s="10" t="str">
        <x:v>S4_PRESTAMO</x:v>
      </x:c>
      <x:c r="B52" s="10" t="n">
        <x:v>8</x:v>
      </x:c>
      <x:c r="C52" s="10" t="str">
        <x:v>Sin acción</x:v>
      </x:c>
      <x:c r="D52" s="10" t="n">
        <x:f>$L$51</x:f>
        <x:v>2689.8401599999997</x:v>
      </x:c>
      <x:c r="E52" s="10" t="n">
        <x:f>0-0-(0)</x:f>
        <x:v>0</x:v>
      </x:c>
      <x:c r="F52" s="10" t="n">
        <x:f>'00_Arquitectura'!$B$92+'00_Arquitectura'!$B$94*($K$574-50)+SUM($I$1729)</x:f>
        <x:v>569.891385408</x:v>
      </x:c>
      <x:c r="G52" s="10" t="n">
        <x:f>MAX(0,'00_Arquitectura'!$B$93+0)</x:f>
        <x:v>420</x:v>
      </x:c>
      <x:c r="H52" s="10" t="n">
        <x:f>'00_Arquitectura'!$B$112</x:f>
        <x:v>24</x:v>
      </x:c>
      <x:c r="I52" s="10" t="n">
        <x:f>0</x:f>
        <x:v>0</x:v>
      </x:c>
      <x:c r="J52" s="10" t="n">
        <x:f>0</x:f>
        <x:v>0</x:v>
      </x:c>
      <x:c r="K52" s="10" t="n">
        <x:f>0</x:f>
        <x:v>0</x:v>
      </x:c>
      <x:c r="L52" s="10" t="n">
        <x:f>D52+E52+F52-G52-H52+I52-J52+K52</x:f>
        <x:v>2815.731545408</x:v>
      </x:c>
      <x:c r="M52" s="10" t="n">
        <x:f>$M$51+I52-J52</x:f>
        <x:v>800</x:v>
      </x:c>
      <x:c r="N52" s="10" t="n">
        <x:f>E52+F52-G52-H52</x:f>
        <x:v>125.89138540800002</x:v>
      </x:c>
      <x:c r="O52" s="10" t="n">
        <x:f>MAX(0,MIN(100,'00_Arquitectura'!$B$114+50*(F52-G52-H52)/'00_Arquitectura'!$B$92-MIN('00_Arquitectura'!$B$116,M52/'00_Arquitectura'!$B$115)))</x:f>
        <x:v>54.5891385408</x:v>
      </x:c>
      <x:c r="P52" s="10" t="n">
        <x:f>0</x:f>
        <x:v>0</x:v>
      </x:c>
      <x:c r="Q52" s="10" t="n">
        <x:f>0</x:f>
        <x:v>0</x:v>
      </x:c>
      <x:c r="R52" s="10" t="str">
        <x:v>Sólo condiciones globales del catálogo; sin acuerdos activos iniciales.</x:v>
      </x:c>
    </x:row>
    <x:row r="53" ht="34" customHeight="1">
      <x:c r="A53" s="5" t="str">
        <x:v>S4_PRESTAMO</x:v>
      </x:c>
      <x:c r="B53" s="5" t="n">
        <x:v>9</x:v>
      </x:c>
      <x:c r="C53" s="5" t="str">
        <x:v>Sin acción</x:v>
      </x:c>
      <x:c r="D53" s="5" t="n">
        <x:f>$L$52</x:f>
        <x:v>2815.731545408</x:v>
      </x:c>
      <x:c r="E53" s="5" t="n">
        <x:f>0-0-(0)</x:f>
        <x:v>0</x:v>
      </x:c>
      <x:c r="F53" s="5" t="n">
        <x:f>'00_Arquitectura'!$B$92+'00_Arquitectura'!$B$94*($K$588-50)+SUM($I$1730)</x:f>
        <x:v>569.8650505247999</x:v>
      </x:c>
      <x:c r="G53" s="5" t="n">
        <x:f>MAX(0,'00_Arquitectura'!$B$93+0)</x:f>
        <x:v>420</x:v>
      </x:c>
      <x:c r="H53" s="5" t="n">
        <x:f>'00_Arquitectura'!$B$112</x:f>
        <x:v>24</x:v>
      </x:c>
      <x:c r="I53" s="5" t="n">
        <x:f>0</x:f>
        <x:v>0</x:v>
      </x:c>
      <x:c r="J53" s="5" t="n">
        <x:f>0</x:f>
        <x:v>0</x:v>
      </x:c>
      <x:c r="K53" s="5" t="n">
        <x:f>0</x:f>
        <x:v>0</x:v>
      </x:c>
      <x:c r="L53" s="5" t="n">
        <x:f>D53+E53+F53-G53-H53+I53-J53+K53</x:f>
        <x:v>2941.5965959327996</x:v>
      </x:c>
      <x:c r="M53" s="5" t="n">
        <x:f>$M$52+I53-J53</x:f>
        <x:v>800</x:v>
      </x:c>
      <x:c r="N53" s="5" t="n">
        <x:f>E53+F53-G53-H53</x:f>
        <x:v>125.86505052479993</x:v>
      </x:c>
      <x:c r="O53" s="5" t="n">
        <x:f>MAX(0,MIN(100,'00_Arquitectura'!$B$114+50*(F53-G53-H53)/'00_Arquitectura'!$B$92-MIN('00_Arquitectura'!$B$116,M53/'00_Arquitectura'!$B$115)))</x:f>
        <x:v>54.58650505247999</x:v>
      </x:c>
      <x:c r="P53" s="5" t="n">
        <x:f>0</x:f>
        <x:v>0</x:v>
      </x:c>
      <x:c r="Q53" s="5" t="n">
        <x:f>0</x:f>
        <x:v>0</x:v>
      </x:c>
      <x:c r="R53" s="5" t="str">
        <x:v>Sólo condiciones globales del catálogo; sin acuerdos activos iniciales.</x:v>
      </x:c>
    </x:row>
    <x:row r="54" ht="34" customHeight="1">
      <x:c r="A54" s="10" t="str">
        <x:v>S4_PRESTAMO</x:v>
      </x:c>
      <x:c r="B54" s="10" t="n">
        <x:v>10</x:v>
      </x:c>
      <x:c r="C54" s="10" t="str">
        <x:v>Sin acción</x:v>
      </x:c>
      <x:c r="D54" s="10" t="n">
        <x:f>$L$53</x:f>
        <x:v>2941.5965959327996</x:v>
      </x:c>
      <x:c r="E54" s="10" t="n">
        <x:f>0-0-(0)</x:f>
        <x:v>0</x:v>
      </x:c>
      <x:c r="F54" s="10" t="n">
        <x:f>'00_Arquitectura'!$B$92+'00_Arquitectura'!$B$94*($K$602-50)+SUM($I$1731)</x:f>
        <x:v>569.84028533008</x:v>
      </x:c>
      <x:c r="G54" s="10" t="n">
        <x:f>MAX(0,'00_Arquitectura'!$B$93+0)</x:f>
        <x:v>420</x:v>
      </x:c>
      <x:c r="H54" s="10" t="n">
        <x:f>'00_Arquitectura'!$B$112</x:f>
        <x:v>24</x:v>
      </x:c>
      <x:c r="I54" s="10" t="n">
        <x:f>0</x:f>
        <x:v>0</x:v>
      </x:c>
      <x:c r="J54" s="10" t="n">
        <x:f>'05_Efectos'!$E$36</x:f>
        <x:v>800</x:v>
      </x:c>
      <x:c r="K54" s="10" t="n">
        <x:f>0</x:f>
        <x:v>0</x:v>
      </x:c>
      <x:c r="L54" s="10" t="n">
        <x:f>D54+E54+F54-G54-H54+I54-J54+K54</x:f>
        <x:v>2267.4368812628795</x:v>
      </x:c>
      <x:c r="M54" s="10" t="n">
        <x:f>$M$53+I54-J54</x:f>
        <x:v>0</x:v>
      </x:c>
      <x:c r="N54" s="10" t="n">
        <x:f>E54+F54-G54-H54</x:f>
        <x:v>125.84028533007995</x:v>
      </x:c>
      <x:c r="O54" s="10" t="n">
        <x:f>MAX(0,MIN(100,'00_Arquitectura'!$B$114+50*(F54-G54-H54)/'00_Arquitectura'!$B$92-MIN('00_Arquitectura'!$B$116,M54/'00_Arquitectura'!$B$115)))</x:f>
        <x:v>62.584028533007995</x:v>
      </x:c>
      <x:c r="P54" s="10" t="n">
        <x:f>0</x:f>
        <x:v>0</x:v>
      </x:c>
      <x:c r="Q54" s="10" t="n">
        <x:f>0</x:f>
        <x:v>0</x:v>
      </x:c>
      <x:c r="R54" s="10" t="str">
        <x:v>Sólo condiciones globales del catálogo; sin acuerdos activos iniciales.</x:v>
      </x:c>
    </x:row>
    <x:row r="55" ht="34" customHeight="1">
      <x:c r="A55" s="5" t="str">
        <x:v>S5_SEGURIDAD</x:v>
      </x:c>
      <x:c r="B55" s="5" t="n">
        <x:v>1</x:v>
      </x:c>
      <x:c r="C55" s="5" t="str">
        <x:v>seguridad_ciudadana</x:v>
      </x:c>
      <x:c r="D55" s="5" t="n">
        <x:f>'00_Arquitectura'!$B$91</x:f>
        <x:v>1200</x:v>
      </x:c>
      <x:c r="E55" s="5" t="n">
        <x:f>0-SUM($I$1733)-(0)</x:f>
        <x:v>-180</x:v>
      </x:c>
      <x:c r="F55" s="5" t="n">
        <x:f>'00_Arquitectura'!$B$92+'00_Arquitectura'!$B$94*('01_Indicadores'!$H$7-50)+0</x:f>
        <x:v>500</x:v>
      </x:c>
      <x:c r="G55" s="5" t="n">
        <x:f>MAX(0,'00_Arquitectura'!$B$93+0)</x:f>
        <x:v>420</x:v>
      </x:c>
      <x:c r="H55" s="5" t="n">
        <x:f>0</x:f>
        <x:v>0</x:v>
      </x:c>
      <x:c r="I55" s="5" t="n">
        <x:f>0</x:f>
        <x:v>0</x:v>
      </x:c>
      <x:c r="J55" s="5" t="n">
        <x:f>0</x:f>
        <x:v>0</x:v>
      </x:c>
      <x:c r="K55" s="5" t="n">
        <x:f>0</x:f>
        <x:v>0</x:v>
      </x:c>
      <x:c r="L55" s="5" t="n">
        <x:f>D55+E55+F55-G55-H55+I55-J55+K55</x:f>
        <x:v>1100</x:v>
      </x:c>
      <x:c r="M55" s="5" t="n">
        <x:f>0+I55-J55</x:f>
        <x:v>0</x:v>
      </x:c>
      <x:c r="N55" s="5" t="n">
        <x:f>E55+F55-G55-H55</x:f>
        <x:v>-100</x:v>
      </x:c>
      <x:c r="O55" s="5" t="n">
        <x:f>MAX(0,MIN(100,'00_Arquitectura'!$B$114+50*(F55-G55-H55)/'00_Arquitectura'!$B$92-MIN('00_Arquitectura'!$B$116,M55/'00_Arquitectura'!$B$115)))</x:f>
        <x:v>58</x:v>
      </x:c>
      <x:c r="P55" s="5" t="n">
        <x:f>0</x:f>
        <x:v>0</x:v>
      </x:c>
      <x:c r="Q55" s="5" t="n">
        <x:f>1</x:f>
        <x:v>1</x:v>
      </x:c>
      <x:c r="R55" s="5" t="str">
        <x:v>Seguridad&lt;50 al abrir; la condición de derechos se captura antes del operativo.</x:v>
      </x:c>
    </x:row>
    <x:row r="56" ht="34" customHeight="1">
      <x:c r="A56" s="10" t="str">
        <x:v>S5_SEGURIDAD</x:v>
      </x:c>
      <x:c r="B56" s="10" t="n">
        <x:v>2</x:v>
      </x:c>
      <x:c r="C56" s="10" t="str">
        <x:v>transparencia_publica</x:v>
      </x:c>
      <x:c r="D56" s="10" t="n">
        <x:f>$L$55</x:f>
        <x:v>1100</x:v>
      </x:c>
      <x:c r="E56" s="10" t="n">
        <x:f>0-SUM($I$1738)-(0)</x:f>
        <x:v>-100</x:v>
      </x:c>
      <x:c r="F56" s="10" t="n">
        <x:f>'00_Arquitectura'!$B$92+'00_Arquitectura'!$B$94*($K$630-50)+0</x:f>
        <x:v>500</x:v>
      </x:c>
      <x:c r="G56" s="10" t="n">
        <x:f>MAX(0,'00_Arquitectura'!$B$93+SUM($I$1737))</x:f>
        <x:v>450</x:v>
      </x:c>
      <x:c r="H56" s="10" t="n">
        <x:f>0</x:f>
        <x:v>0</x:v>
      </x:c>
      <x:c r="I56" s="10" t="n">
        <x:f>0</x:f>
        <x:v>0</x:v>
      </x:c>
      <x:c r="J56" s="10" t="n">
        <x:f>0</x:f>
        <x:v>0</x:v>
      </x:c>
      <x:c r="K56" s="10" t="n">
        <x:f>0</x:f>
        <x:v>0</x:v>
      </x:c>
      <x:c r="L56" s="10" t="n">
        <x:f>D56+E56+F56-G56-H56+I56-J56+K56</x:f>
        <x:v>1050</x:v>
      </x:c>
      <x:c r="M56" s="10" t="n">
        <x:f>$M$55+I56-J56</x:f>
        <x:v>0</x:v>
      </x:c>
      <x:c r="N56" s="10" t="n">
        <x:f>E56+F56-G56-H56</x:f>
        <x:v>-50</x:v>
      </x:c>
      <x:c r="O56" s="10" t="n">
        <x:f>MAX(0,MIN(100,'00_Arquitectura'!$B$114+50*(F56-G56-H56)/'00_Arquitectura'!$B$92-MIN('00_Arquitectura'!$B$116,M56/'00_Arquitectura'!$B$115)))</x:f>
        <x:v>55</x:v>
      </x:c>
      <x:c r="P56" s="10" t="n">
        <x:f>0</x:f>
        <x:v>0</x:v>
      </x:c>
      <x:c r="Q56" s="10" t="n">
        <x:f>1</x:f>
        <x:v>1</x:v>
      </x:c>
      <x:c r="R56" s="10" t="str">
        <x:v>Sólo condiciones globales del catálogo; sin acuerdos activos iniciales.</x:v>
      </x:c>
    </x:row>
    <x:row r="57" ht="34" customHeight="1">
      <x:c r="A57" s="5" t="str">
        <x:v>S5_SEGURIDAD</x:v>
      </x:c>
      <x:c r="B57" s="5" t="n">
        <x:v>3</x:v>
      </x:c>
      <x:c r="C57" s="5" t="str">
        <x:v>Sin acción</x:v>
      </x:c>
      <x:c r="D57" s="5" t="n">
        <x:f>$L$56</x:f>
        <x:v>1050</x:v>
      </x:c>
      <x:c r="E57" s="5" t="n">
        <x:f>0-0-(0)</x:f>
        <x:v>0</x:v>
      </x:c>
      <x:c r="F57" s="5" t="n">
        <x:f>'00_Arquitectura'!$B$92+'00_Arquitectura'!$B$94*($K$644-50)+0</x:f>
        <x:v>500</x:v>
      </x:c>
      <x:c r="G57" s="5" t="n">
        <x:f>MAX(0,'00_Arquitectura'!$B$93+0)</x:f>
        <x:v>420</x:v>
      </x:c>
      <x:c r="H57" s="5" t="n">
        <x:f>0</x:f>
        <x:v>0</x:v>
      </x:c>
      <x:c r="I57" s="5" t="n">
        <x:f>0</x:f>
        <x:v>0</x:v>
      </x:c>
      <x:c r="J57" s="5" t="n">
        <x:f>0</x:f>
        <x:v>0</x:v>
      </x:c>
      <x:c r="K57" s="5" t="n">
        <x:f>0</x:f>
        <x:v>0</x:v>
      </x:c>
      <x:c r="L57" s="5" t="n">
        <x:f>D57+E57+F57-G57-H57+I57-J57+K57</x:f>
        <x:v>1130</x:v>
      </x:c>
      <x:c r="M57" s="5" t="n">
        <x:f>$M$56+I57-J57</x:f>
        <x:v>0</x:v>
      </x:c>
      <x:c r="N57" s="5" t="n">
        <x:f>E57+F57-G57-H57</x:f>
        <x:v>80</x:v>
      </x:c>
      <x:c r="O57" s="5" t="n">
        <x:f>MAX(0,MIN(100,'00_Arquitectura'!$B$114+50*(F57-G57-H57)/'00_Arquitectura'!$B$92-MIN('00_Arquitectura'!$B$116,M57/'00_Arquitectura'!$B$115)))</x:f>
        <x:v>58</x:v>
      </x:c>
      <x:c r="P57" s="5" t="n">
        <x:f>0</x:f>
        <x:v>0</x:v>
      </x:c>
      <x:c r="Q57" s="5" t="n">
        <x:f>0</x:f>
        <x:v>0</x:v>
      </x:c>
      <x:c r="R57" s="5" t="str">
        <x:v>Sólo condiciones globales del catálogo; sin acuerdos activos iniciales.</x:v>
      </x:c>
    </x:row>
    <x:row r="58" ht="34" customHeight="1">
      <x:c r="A58" s="10" t="str">
        <x:v>S5_SEGURIDAD</x:v>
      </x:c>
      <x:c r="B58" s="10" t="n">
        <x:v>4</x:v>
      </x:c>
      <x:c r="C58" s="10" t="str">
        <x:v>Sin acción</x:v>
      </x:c>
      <x:c r="D58" s="10" t="n">
        <x:f>$L$57</x:f>
        <x:v>1130</x:v>
      </x:c>
      <x:c r="E58" s="10" t="n">
        <x:f>0-0-(0)</x:f>
        <x:v>0</x:v>
      </x:c>
      <x:c r="F58" s="10" t="n">
        <x:f>'00_Arquitectura'!$B$92+'00_Arquitectura'!$B$94*($K$658-50)+0</x:f>
        <x:v>500</x:v>
      </x:c>
      <x:c r="G58" s="10" t="n">
        <x:f>MAX(0,'00_Arquitectura'!$B$93+0)</x:f>
        <x:v>420</x:v>
      </x:c>
      <x:c r="H58" s="10" t="n">
        <x:f>0</x:f>
        <x:v>0</x:v>
      </x:c>
      <x:c r="I58" s="10" t="n">
        <x:f>0</x:f>
        <x:v>0</x:v>
      </x:c>
      <x:c r="J58" s="10" t="n">
        <x:f>0</x:f>
        <x:v>0</x:v>
      </x:c>
      <x:c r="K58" s="10" t="n">
        <x:f>0</x:f>
        <x:v>0</x:v>
      </x:c>
      <x:c r="L58" s="10" t="n">
        <x:f>D58+E58+F58-G58-H58+I58-J58+K58</x:f>
        <x:v>1210</x:v>
      </x:c>
      <x:c r="M58" s="10" t="n">
        <x:f>$M$57+I58-J58</x:f>
        <x:v>0</x:v>
      </x:c>
      <x:c r="N58" s="10" t="n">
        <x:f>E58+F58-G58-H58</x:f>
        <x:v>80</x:v>
      </x:c>
      <x:c r="O58" s="10" t="n">
        <x:f>MAX(0,MIN(100,'00_Arquitectura'!$B$114+50*(F58-G58-H58)/'00_Arquitectura'!$B$92-MIN('00_Arquitectura'!$B$116,M58/'00_Arquitectura'!$B$115)))</x:f>
        <x:v>58</x:v>
      </x:c>
      <x:c r="P58" s="10" t="n">
        <x:f>0</x:f>
        <x:v>0</x:v>
      </x:c>
      <x:c r="Q58" s="10" t="n">
        <x:f>0</x:f>
        <x:v>0</x:v>
      </x:c>
      <x:c r="R58" s="10" t="str">
        <x:v>Sólo condiciones globales del catálogo; sin acuerdos activos iniciales.</x:v>
      </x:c>
    </x:row>
    <x:row r="59" ht="34" customHeight="1">
      <x:c r="A59" s="5" t="str">
        <x:v>S5_SEGURIDAD</x:v>
      </x:c>
      <x:c r="B59" s="5" t="n">
        <x:v>5</x:v>
      </x:c>
      <x:c r="C59" s="5" t="str">
        <x:v>seguridad_ciudadana</x:v>
      </x:c>
      <x:c r="D59" s="5" t="n">
        <x:f>$L$58</x:f>
        <x:v>1210</x:v>
      </x:c>
      <x:c r="E59" s="5" t="n">
        <x:f>0-SUM($I$1746)-(0)</x:f>
        <x:v>-180</x:v>
      </x:c>
      <x:c r="F59" s="5" t="n">
        <x:f>'00_Arquitectura'!$B$92+'00_Arquitectura'!$B$94*($K$672-50)+0</x:f>
        <x:v>499.9904</x:v>
      </x:c>
      <x:c r="G59" s="5" t="n">
        <x:f>MAX(0,'00_Arquitectura'!$B$93+SUM($I$1740))</x:f>
        <x:v>400</x:v>
      </x:c>
      <x:c r="H59" s="5" t="n">
        <x:f>0</x:f>
        <x:v>0</x:v>
      </x:c>
      <x:c r="I59" s="5" t="n">
        <x:f>0</x:f>
        <x:v>0</x:v>
      </x:c>
      <x:c r="J59" s="5" t="n">
        <x:f>0</x:f>
        <x:v>0</x:v>
      </x:c>
      <x:c r="K59" s="5" t="n">
        <x:f>0</x:f>
        <x:v>0</x:v>
      </x:c>
      <x:c r="L59" s="5" t="n">
        <x:f>D59+E59+F59-G59-H59+I59-J59+K59</x:f>
        <x:v>1129.9904000000001</x:v>
      </x:c>
      <x:c r="M59" s="5" t="n">
        <x:f>$M$58+I59-J59</x:f>
        <x:v>0</x:v>
      </x:c>
      <x:c r="N59" s="5" t="n">
        <x:f>E59+F59-G59-H59</x:f>
        <x:v>-80.00959999999998</x:v>
      </x:c>
      <x:c r="O59" s="5" t="n">
        <x:f>MAX(0,MIN(100,'00_Arquitectura'!$B$114+50*(F59-G59-H59)/'00_Arquitectura'!$B$92-MIN('00_Arquitectura'!$B$116,M59/'00_Arquitectura'!$B$115)))</x:f>
        <x:v>59.99904</x:v>
      </x:c>
      <x:c r="P59" s="5" t="n">
        <x:f>0</x:f>
        <x:v>0</x:v>
      </x:c>
      <x:c r="Q59" s="5" t="n">
        <x:f>1</x:f>
        <x:v>1</x:v>
      </x:c>
      <x:c r="R59" s="5" t="str">
        <x:v>Seguridad&lt;50 al abrir; la condición de derechos se captura antes del operativo.</x:v>
      </x:c>
    </x:row>
    <x:row r="60" ht="34" customHeight="1">
      <x:c r="A60" s="10" t="str">
        <x:v>S5_SEGURIDAD</x:v>
      </x:c>
      <x:c r="B60" s="10" t="n">
        <x:v>6</x:v>
      </x:c>
      <x:c r="C60" s="10" t="str">
        <x:v>Sin acción</x:v>
      </x:c>
      <x:c r="D60" s="10" t="n">
        <x:f>$L$59</x:f>
        <x:v>1129.9904000000001</x:v>
      </x:c>
      <x:c r="E60" s="10" t="n">
        <x:f>0-0-(0)</x:f>
        <x:v>0</x:v>
      </x:c>
      <x:c r="F60" s="10" t="n">
        <x:f>'00_Arquitectura'!$B$92+'00_Arquitectura'!$B$94*($K$686-50)+0</x:f>
        <x:v>499.98416</x:v>
      </x:c>
      <x:c r="G60" s="10" t="n">
        <x:f>MAX(0,'00_Arquitectura'!$B$93+SUM($I$1741,$I$1750))</x:f>
        <x:v>430</x:v>
      </x:c>
      <x:c r="H60" s="10" t="n">
        <x:f>0</x:f>
        <x:v>0</x:v>
      </x:c>
      <x:c r="I60" s="10" t="n">
        <x:f>0</x:f>
        <x:v>0</x:v>
      </x:c>
      <x:c r="J60" s="10" t="n">
        <x:f>0</x:f>
        <x:v>0</x:v>
      </x:c>
      <x:c r="K60" s="10" t="n">
        <x:f>0</x:f>
        <x:v>0</x:v>
      </x:c>
      <x:c r="L60" s="10" t="n">
        <x:f>D60+E60+F60-G60-H60+I60-J60+K60</x:f>
        <x:v>1199.97456</x:v>
      </x:c>
      <x:c r="M60" s="10" t="n">
        <x:f>$M$59+I60-J60</x:f>
        <x:v>0</x:v>
      </x:c>
      <x:c r="N60" s="10" t="n">
        <x:f>E60+F60-G60-H60</x:f>
        <x:v>69.98415999999997</x:v>
      </x:c>
      <x:c r="O60" s="10" t="n">
        <x:f>MAX(0,MIN(100,'00_Arquitectura'!$B$114+50*(F60-G60-H60)/'00_Arquitectura'!$B$92-MIN('00_Arquitectura'!$B$116,M60/'00_Arquitectura'!$B$115)))</x:f>
        <x:v>56.998416</x:v>
      </x:c>
      <x:c r="P60" s="10" t="n">
        <x:f>0</x:f>
        <x:v>0</x:v>
      </x:c>
      <x:c r="Q60" s="10" t="n">
        <x:f>0</x:f>
        <x:v>0</x:v>
      </x:c>
      <x:c r="R60" s="10" t="str">
        <x:v>Sólo condiciones globales del catálogo; sin acuerdos activos iniciales.</x:v>
      </x:c>
    </x:row>
    <x:row r="61" ht="34" customHeight="1">
      <x:c r="A61" s="5" t="str">
        <x:v>S5_SEGURIDAD</x:v>
      </x:c>
      <x:c r="B61" s="5" t="n">
        <x:v>7</x:v>
      </x:c>
      <x:c r="C61" s="5" t="str">
        <x:v>Sin acción</x:v>
      </x:c>
      <x:c r="D61" s="5" t="n">
        <x:f>$L$60</x:f>
        <x:v>1199.97456</x:v>
      </x:c>
      <x:c r="E61" s="5" t="n">
        <x:f>0-0-(0)</x:f>
        <x:v>0</x:v>
      </x:c>
      <x:c r="F61" s="5" t="n">
        <x:f>'00_Arquitectura'!$B$92+'00_Arquitectura'!$B$94*($K$700-50)+0</x:f>
        <x:v>499.980392</x:v>
      </x:c>
      <x:c r="G61" s="5" t="n">
        <x:f>MAX(0,'00_Arquitectura'!$B$93+SUM($I$1742))</x:f>
        <x:v>400</x:v>
      </x:c>
      <x:c r="H61" s="5" t="n">
        <x:f>0</x:f>
        <x:v>0</x:v>
      </x:c>
      <x:c r="I61" s="5" t="n">
        <x:f>0</x:f>
        <x:v>0</x:v>
      </x:c>
      <x:c r="J61" s="5" t="n">
        <x:f>0</x:f>
        <x:v>0</x:v>
      </x:c>
      <x:c r="K61" s="5" t="n">
        <x:f>0</x:f>
        <x:v>0</x:v>
      </x:c>
      <x:c r="L61" s="5" t="n">
        <x:f>D61+E61+F61-G61-H61+I61-J61+K61</x:f>
        <x:v>1299.954952</x:v>
      </x:c>
      <x:c r="M61" s="5" t="n">
        <x:f>$M$60+I61-J61</x:f>
        <x:v>0</x:v>
      </x:c>
      <x:c r="N61" s="5" t="n">
        <x:f>E61+F61-G61-H61</x:f>
        <x:v>99.980392</x:v>
      </x:c>
      <x:c r="O61" s="5" t="n">
        <x:f>MAX(0,MIN(100,'00_Arquitectura'!$B$114+50*(F61-G61-H61)/'00_Arquitectura'!$B$92-MIN('00_Arquitectura'!$B$116,M61/'00_Arquitectura'!$B$115)))</x:f>
        <x:v>59.9980392</x:v>
      </x:c>
      <x:c r="P61" s="5" t="n">
        <x:f>0</x:f>
        <x:v>0</x:v>
      </x:c>
      <x:c r="Q61" s="5" t="n">
        <x:f>0</x:f>
        <x:v>0</x:v>
      </x:c>
      <x:c r="R61" s="5" t="str">
        <x:v>Sólo condiciones globales del catálogo; sin acuerdos activos iniciales.</x:v>
      </x:c>
    </x:row>
    <x:row r="62" ht="34" customHeight="1">
      <x:c r="A62" s="10" t="str">
        <x:v>S5_SEGURIDAD</x:v>
      </x:c>
      <x:c r="B62" s="10" t="n">
        <x:v>8</x:v>
      </x:c>
      <x:c r="C62" s="10" t="str">
        <x:v>Sin acción</x:v>
      </x:c>
      <x:c r="D62" s="10" t="n">
        <x:f>$L$61</x:f>
        <x:v>1299.954952</x:v>
      </x:c>
      <x:c r="E62" s="10" t="n">
        <x:f>0-0-(0)</x:f>
        <x:v>0</x:v>
      </x:c>
      <x:c r="F62" s="10" t="n">
        <x:f>'00_Arquitectura'!$B$92+'00_Arquitectura'!$B$94*($K$714-50)+0</x:f>
        <x:v>499.984814928</x:v>
      </x:c>
      <x:c r="G62" s="10" t="n">
        <x:f>MAX(0,'00_Arquitectura'!$B$93+SUM($I$1743))</x:f>
        <x:v>400</x:v>
      </x:c>
      <x:c r="H62" s="10" t="n">
        <x:f>0</x:f>
        <x:v>0</x:v>
      </x:c>
      <x:c r="I62" s="10" t="n">
        <x:f>0</x:f>
        <x:v>0</x:v>
      </x:c>
      <x:c r="J62" s="10" t="n">
        <x:f>0</x:f>
        <x:v>0</x:v>
      </x:c>
      <x:c r="K62" s="10" t="n">
        <x:f>0</x:f>
        <x:v>0</x:v>
      </x:c>
      <x:c r="L62" s="10" t="n">
        <x:f>D62+E62+F62-G62-H62+I62-J62+K62</x:f>
        <x:v>1399.9397669280002</x:v>
      </x:c>
      <x:c r="M62" s="10" t="n">
        <x:f>$M$61+I62-J62</x:f>
        <x:v>0</x:v>
      </x:c>
      <x:c r="N62" s="10" t="n">
        <x:f>E62+F62-G62-H62</x:f>
        <x:v>99.98481492799999</x:v>
      </x:c>
      <x:c r="O62" s="10" t="n">
        <x:f>MAX(0,MIN(100,'00_Arquitectura'!$B$114+50*(F62-G62-H62)/'00_Arquitectura'!$B$92-MIN('00_Arquitectura'!$B$116,M62/'00_Arquitectura'!$B$115)))</x:f>
        <x:v>59.998481492799996</x:v>
      </x:c>
      <x:c r="P62" s="10" t="n">
        <x:f>0</x:f>
        <x:v>0</x:v>
      </x:c>
      <x:c r="Q62" s="10" t="n">
        <x:f>0</x:f>
        <x:v>0</x:v>
      </x:c>
      <x:c r="R62" s="10" t="str">
        <x:v>Sólo condiciones globales del catálogo; sin acuerdos activos iniciales.</x:v>
      </x:c>
    </x:row>
    <x:row r="63" ht="34" customHeight="1">
      <x:c r="A63" s="5" t="str">
        <x:v>S5_SEGURIDAD</x:v>
      </x:c>
      <x:c r="B63" s="5" t="n">
        <x:v>9</x:v>
      </x:c>
      <x:c r="C63" s="5" t="str">
        <x:v>Sin acción</x:v>
      </x:c>
      <x:c r="D63" s="5" t="n">
        <x:f>$L$62</x:f>
        <x:v>1399.9397669280002</x:v>
      </x:c>
      <x:c r="E63" s="5" t="n">
        <x:f>0-0-(0)</x:f>
        <x:v>0</x:v>
      </x:c>
      <x:c r="F63" s="5" t="n">
        <x:f>'00_Arquitectura'!$B$92+'00_Arquitectura'!$B$94*($K$728-50)+0</x:f>
        <x:v>499.9850730024</x:v>
      </x:c>
      <x:c r="G63" s="5" t="n">
        <x:f>MAX(0,'00_Arquitectura'!$B$93+SUM($I$1744))</x:f>
        <x:v>400</x:v>
      </x:c>
      <x:c r="H63" s="5" t="n">
        <x:f>0</x:f>
        <x:v>0</x:v>
      </x:c>
      <x:c r="I63" s="5" t="n">
        <x:f>0</x:f>
        <x:v>0</x:v>
      </x:c>
      <x:c r="J63" s="5" t="n">
        <x:f>0</x:f>
        <x:v>0</x:v>
      </x:c>
      <x:c r="K63" s="5" t="n">
        <x:f>0</x:f>
        <x:v>0</x:v>
      </x:c>
      <x:c r="L63" s="5" t="n">
        <x:f>D63+E63+F63-G63-H63+I63-J63+K63</x:f>
        <x:v>1499.9248399304001</x:v>
      </x:c>
      <x:c r="M63" s="5" t="n">
        <x:f>$M$62+I63-J63</x:f>
        <x:v>0</x:v>
      </x:c>
      <x:c r="N63" s="5" t="n">
        <x:f>E63+F63-G63-H63</x:f>
        <x:v>99.98507300239999</x:v>
      </x:c>
      <x:c r="O63" s="5" t="n">
        <x:f>MAX(0,MIN(100,'00_Arquitectura'!$B$114+50*(F63-G63-H63)/'00_Arquitectura'!$B$92-MIN('00_Arquitectura'!$B$116,M63/'00_Arquitectura'!$B$115)))</x:f>
        <x:v>59.99850730024</x:v>
      </x:c>
      <x:c r="P63" s="5" t="n">
        <x:f>0</x:f>
        <x:v>0</x:v>
      </x:c>
      <x:c r="Q63" s="5" t="n">
        <x:f>0</x:f>
        <x:v>0</x:v>
      </x:c>
      <x:c r="R63" s="5" t="str">
        <x:v>Sólo condiciones globales del catálogo; sin acuerdos activos iniciales.</x:v>
      </x:c>
    </x:row>
    <x:row r="64" ht="34" customHeight="1">
      <x:c r="A64" s="10" t="str">
        <x:v>S5_SEGURIDAD</x:v>
      </x:c>
      <x:c r="B64" s="10" t="n">
        <x:v>10</x:v>
      </x:c>
      <x:c r="C64" s="10" t="str">
        <x:v>Sin acción</x:v>
      </x:c>
      <x:c r="D64" s="10" t="n">
        <x:f>$L$63</x:f>
        <x:v>1499.9248399304001</x:v>
      </x:c>
      <x:c r="E64" s="10" t="n">
        <x:f>0-0-(0)</x:f>
        <x:v>0</x:v>
      </x:c>
      <x:c r="F64" s="10" t="n">
        <x:f>'00_Arquitectura'!$B$92+'00_Arquitectura'!$B$94*($K$742-50)+0</x:f>
        <x:v>499.99209002836</x:v>
      </x:c>
      <x:c r="G64" s="10" t="n">
        <x:f>MAX(0,'00_Arquitectura'!$B$93+SUM($I$1745))</x:f>
        <x:v>400</x:v>
      </x:c>
      <x:c r="H64" s="10" t="n">
        <x:f>0</x:f>
        <x:v>0</x:v>
      </x:c>
      <x:c r="I64" s="10" t="n">
        <x:f>0</x:f>
        <x:v>0</x:v>
      </x:c>
      <x:c r="J64" s="10" t="n">
        <x:f>0</x:f>
        <x:v>0</x:v>
      </x:c>
      <x:c r="K64" s="10" t="n">
        <x:f>0</x:f>
        <x:v>0</x:v>
      </x:c>
      <x:c r="L64" s="10" t="n">
        <x:f>D64+E64+F64-G64-H64+I64-J64+K64</x:f>
        <x:v>1599.9169299587602</x:v>
      </x:c>
      <x:c r="M64" s="10" t="n">
        <x:f>$M$63+I64-J64</x:f>
        <x:v>0</x:v>
      </x:c>
      <x:c r="N64" s="10" t="n">
        <x:f>E64+F64-G64-H64</x:f>
        <x:v>99.99209002836</x:v>
      </x:c>
      <x:c r="O64" s="10" t="n">
        <x:f>MAX(0,MIN(100,'00_Arquitectura'!$B$114+50*(F64-G64-H64)/'00_Arquitectura'!$B$92-MIN('00_Arquitectura'!$B$116,M64/'00_Arquitectura'!$B$115)))</x:f>
        <x:v>59.999209002836</x:v>
      </x:c>
      <x:c r="P64" s="10" t="n">
        <x:f>0</x:f>
        <x:v>0</x:v>
      </x:c>
      <x:c r="Q64" s="10" t="n">
        <x:f>0</x:f>
        <x:v>0</x:v>
      </x:c>
      <x:c r="R64" s="10" t="str">
        <x:v>Sólo condiciones globales del catálogo; sin acuerdos activos iniciales.</x:v>
      </x:c>
    </x:row>
    <x:row r="68" ht="42" customHeight="1">
      <x:c r="A68" s="9" t="str">
        <x:v>scenarioId</x:v>
      </x:c>
      <x:c r="B68" s="9" t="str">
        <x:v>Turno</x:v>
      </x:c>
      <x:c r="C68" s="9" t="str">
        <x:v>indicatorId</x:v>
      </x:c>
      <x:c r="D68" s="9" t="str">
        <x:v>Base anterior</x:v>
      </x:c>
      <x:c r="E68" s="9" t="str">
        <x:v>Pulsos / trayectoria</x:v>
      </x:c>
      <x:c r="F68" s="9" t="str">
        <x:v>Link rezagado</x:v>
      </x:c>
      <x:c r="G68" s="9" t="str">
        <x:v>Cambio base con cap</x:v>
      </x:c>
      <x:c r="H68" s="9" t="str">
        <x:v>Base nueva</x:v>
      </x:c>
      <x:c r="I68" s="9" t="str">
        <x:v>Offset políticas</x:v>
      </x:c>
      <x:c r="J68" s="9" t="str">
        <x:v>Offset actores</x:v>
      </x:c>
      <x:c r="K68" s="9" t="str">
        <x:v>Valor visible</x:v>
      </x:c>
      <x:c r="L68" s="9" t="str">
        <x:v>Trazabilidad</x:v>
      </x:c>
    </x:row>
    <x:row r="69" ht="42" customHeight="1">
      <x:c r="A69" s="5" t="str">
        <x:v>S1_EMISION</x:v>
      </x:c>
      <x:c r="B69" s="5" t="n">
        <x:v>1</x:v>
      </x:c>
      <x:c r="C69" s="5" t="str">
        <x:v>inflacion</x:v>
      </x:c>
      <x:c r="D69" s="5" t="n">
        <x:f>'01_Indicadores'!$H$6</x:f>
        <x:v>40</x:v>
      </x:c>
      <x:c r="E69" s="5" t="n">
        <x:f>0+0</x:f>
        <x:v>0</x:v>
      </x:c>
      <x:c r="F69" s="5" t="n">
        <x:f>-'00_Arquitectura'!$B$96*('01_Indicadores'!$H$6-40)</x:f>
        <x:v>0</x:v>
      </x:c>
      <x:c r="G69" s="5" t="n">
        <x:f>MAX(-'00_Arquitectura'!$B$106,MIN('00_Arquitectura'!$B$106,E69+F69))</x:f>
        <x:v>0</x:v>
      </x:c>
      <x:c r="H69" s="5" t="n">
        <x:f>MAX(0,MIN(100,D69+G69))</x:f>
        <x:v>40</x:v>
      </x:c>
      <x:c r="I69" s="5" t="n">
        <x:f>0</x:f>
        <x:v>0</x:v>
      </x:c>
      <x:c r="J69" s="5" t="n">
        <x:f>MAX(-'00_Arquitectura'!$B$107,MIN('00_Arquitectura'!$B$107,0))</x:f>
        <x:v>0</x:v>
      </x:c>
      <x:c r="K69" s="5" t="n">
        <x:f>MAX(0,MIN(100,H69+I69+J69))</x:f>
        <x:v>40</x:v>
      </x:c>
      <x:c r="L69" s="5" t="str">
        <x:v>Aplica link L01. Pulsos y offsets: filtrar Instancias por escenario, turno y targetId. Base separada del nivel visible.</x:v>
      </x:c>
    </x:row>
    <x:row r="70" ht="42" customHeight="1">
      <x:c r="A70" s="10" t="str">
        <x:v>S1_EMISION</x:v>
      </x:c>
      <x:c r="B70" s="10" t="n">
        <x:v>1</x:v>
      </x:c>
      <x:c r="C70" s="10" t="str">
        <x:v>actividad</x:v>
      </x:c>
      <x:c r="D70" s="10" t="n">
        <x:f>'01_Indicadores'!$H$7</x:f>
        <x:v>50</x:v>
      </x:c>
      <x:c r="E70" s="10" t="n">
        <x:f>0+0</x:f>
        <x:v>0</x:v>
      </x:c>
      <x:c r="F70" s="10" t="n">
        <x:f>-'00_Arquitectura'!$B$97*('01_Indicadores'!$H$7-50)+'00_Arquitectura'!$B$98*('01_Indicadores'!$H$9-45)+'00_Arquitectura'!$B$99*('01_Indicadores'!$H$12-45)+'00_Arquitectura'!$B$100*('01_Indicadores'!$H$11-45)</x:f>
        <x:v>0</x:v>
      </x:c>
      <x:c r="G70" s="10" t="n">
        <x:f>MAX(-'00_Arquitectura'!$B$106,MIN('00_Arquitectura'!$B$106,E70+F70))</x:f>
        <x:v>0</x:v>
      </x:c>
      <x:c r="H70" s="10" t="n">
        <x:f>MAX(0,MIN(100,D70+G70))</x:f>
        <x:v>50</x:v>
      </x:c>
      <x:c r="I70" s="10" t="n">
        <x:f>0+'05_Efectos'!$E$7</x:f>
        <x:v>2</x:v>
      </x:c>
      <x:c r="J70" s="10" t="n">
        <x:f>MAX(-'00_Arquitectura'!$B$107,MIN('00_Arquitectura'!$B$107,0))</x:f>
        <x:v>0</x:v>
      </x:c>
      <x:c r="K70" s="10" t="n">
        <x:f>MAX(0,MIN(100,H70+I70+J70))</x:f>
        <x:v>52</x:v>
      </x:c>
      <x:c r="L70" s="10" t="str">
        <x:v>Aplica link L02. Pulsos y offsets: filtrar Instancias por escenario, turno y targetId. Base separada del nivel visible.</x:v>
      </x:c>
    </x:row>
    <x:row r="71" ht="42" customHeight="1">
      <x:c r="A71" s="5" t="str">
        <x:v>S1_EMISION</x:v>
      </x:c>
      <x:c r="B71" s="5" t="n">
        <x:v>1</x:v>
      </x:c>
      <x:c r="C71" s="5" t="str">
        <x:v>ingreso_real</x:v>
      </x:c>
      <x:c r="D71" s="5" t="n">
        <x:f>'01_Indicadores'!$H$8</x:f>
        <x:v>45</x:v>
      </x:c>
      <x:c r="E71" s="5" t="n">
        <x:f>0+0</x:f>
        <x:v>0</x:v>
      </x:c>
      <x:c r="F71" s="5" t="n">
        <x:f>'00_Arquitectura'!$B$101*('01_Indicadores'!$H$7-'01_Indicadores'!$H$7)+'00_Arquitectura'!$B$102*('01_Indicadores'!$H$6-'01_Indicadores'!$H$6)</x:f>
        <x:v>0</x:v>
      </x:c>
      <x:c r="G71" s="5" t="n">
        <x:f>MAX(-'00_Arquitectura'!$B$106,MIN('00_Arquitectura'!$B$106,E71+F71))</x:f>
        <x:v>0</x:v>
      </x:c>
      <x:c r="H71" s="5" t="n">
        <x:f>MAX(0,MIN(100,D71+G71))</x:f>
        <x:v>45</x:v>
      </x:c>
      <x:c r="I71" s="5" t="n">
        <x:f>0</x:f>
        <x:v>0</x:v>
      </x:c>
      <x:c r="J71" s="5" t="n">
        <x:f>MAX(-'00_Arquitectura'!$B$107,MIN('00_Arquitectura'!$B$107,0))</x:f>
        <x:v>0</x:v>
      </x:c>
      <x:c r="K71" s="5" t="n">
        <x:f>MAX(0,MIN(100,H71+I71+J71))</x:f>
        <x:v>45</x:v>
      </x:c>
      <x:c r="L71" s="5" t="str">
        <x:v>Aplica link L03. Pulsos y offsets: filtrar Instancias por escenario, turno y targetId. Base separada del nivel visible.</x:v>
      </x:c>
    </x:row>
    <x:row r="72" ht="42" customHeight="1">
      <x:c r="A72" s="10" t="str">
        <x:v>S1_EMISION</x:v>
      </x:c>
      <x:c r="B72" s="10" t="n">
        <x:v>1</x:v>
      </x:c>
      <x:c r="C72" s="10" t="str">
        <x:v>credito</x:v>
      </x:c>
      <x:c r="D72" s="10" t="n">
        <x:f>'01_Indicadores'!$H$9</x:f>
        <x:v>45</x:v>
      </x:c>
      <x:c r="E72" s="10" t="n">
        <x:f>0+0</x:f>
        <x:v>0</x:v>
      </x:c>
      <x:c r="F72" s="10" t="n">
        <x:f>-'00_Arquitectura'!$B$103*('01_Indicadores'!$H$9-45)+'00_Arquitectura'!$B$104*('01_Indicadores'!$H$6-'01_Indicadores'!$H$6)+'00_Arquitectura'!$B$105*('01_Indicadores'!$H$10-'00_Arquitectura'!$B$117)</x:f>
        <x:v>0</x:v>
      </x:c>
      <x:c r="G72" s="10" t="n">
        <x:f>MAX(-'00_Arquitectura'!$B$106,MIN('00_Arquitectura'!$B$106,E72+F72))</x:f>
        <x:v>0</x:v>
      </x:c>
      <x:c r="H72" s="10" t="n">
        <x:f>MAX(0,MIN(100,D72+G72))</x:f>
        <x:v>45</x:v>
      </x:c>
      <x:c r="I72" s="10" t="n">
        <x:f>0</x:f>
        <x:v>0</x:v>
      </x:c>
      <x:c r="J72" s="10" t="n">
        <x:f>MAX(-'00_Arquitectura'!$B$107,MIN('00_Arquitectura'!$B$107,0))</x:f>
        <x:v>0</x:v>
      </x:c>
      <x:c r="K72" s="10" t="n">
        <x:f>MAX(0,MIN(100,H72+I72+J72))</x:f>
        <x:v>45</x:v>
      </x:c>
      <x:c r="L72" s="10" t="str">
        <x:v>Aplica link L04. Pulsos y offsets: filtrar Instancias por escenario, turno y targetId. Base separada del nivel visible.</x:v>
      </x:c>
    </x:row>
    <x:row r="73" ht="34" customHeight="1">
      <x:c r="A73" s="5" t="str">
        <x:v>S1_EMISION</x:v>
      </x:c>
      <x:c r="B73" s="5" t="n">
        <x:v>1</x:v>
      </x:c>
      <x:c r="C73" s="5" t="str">
        <x:v>fiscal</x:v>
      </x:c>
      <x:c r="D73" s="5" t="n">
        <x:f>'01_Indicadores'!$H$10</x:f>
        <x:v>58</x:v>
      </x:c>
      <x:c r="E73" s="5" t="n">
        <x:f>0+0</x:f>
        <x:v>0</x:v>
      </x:c>
      <x:c r="F73" s="5" t="n">
        <x:f>0</x:f>
        <x:v>0</x:v>
      </x:c>
      <x:c r="G73" s="5" t="n">
        <x:f>MAX(-'00_Arquitectura'!$B$106,MIN('00_Arquitectura'!$B$106,E73+F73))</x:f>
        <x:v>0</x:v>
      </x:c>
      <x:c r="H73" s="5" t="n">
        <x:f>$O$15</x:f>
        <x:v>58</x:v>
      </x:c>
      <x:c r="I73" s="5" t="n">
        <x:f>0</x:f>
        <x:v>0</x:v>
      </x:c>
      <x:c r="J73" s="5" t="n">
        <x:f>MAX(-'00_Arquitectura'!$B$107,MIN('00_Arquitectura'!$B$107,0))</x:f>
        <x:v>0</x:v>
      </x:c>
      <x:c r="K73" s="5" t="n">
        <x:f>MAX(0,MIN(100,H73+I73+J73))</x:f>
        <x:v>58</x:v>
      </x:c>
      <x:c r="L73" s="5" t="str">
        <x:v>Derivado de caja: ingreso recurrente, gasto, intereses y deuda. Nunca SUM de efectos fiscales directos.</x:v>
      </x:c>
    </x:row>
    <x:row r="74" ht="34" customHeight="1">
      <x:c r="A74" s="10" t="str">
        <x:v>S1_EMISION</x:v>
      </x:c>
      <x:c r="B74" s="10" t="n">
        <x:v>1</x:v>
      </x:c>
      <x:c r="C74" s="10" t="str">
        <x:v>externo</x:v>
      </x:c>
      <x:c r="D74" s="10" t="n">
        <x:f>'01_Indicadores'!$H$11</x:f>
        <x:v>45</x:v>
      </x:c>
      <x:c r="E74" s="10" t="n">
        <x:f>0+0</x:f>
        <x:v>0</x:v>
      </x:c>
      <x:c r="F74" s="10" t="n">
        <x:f>0</x:f>
        <x:v>0</x:v>
      </x:c>
      <x:c r="G74" s="10" t="n">
        <x:f>MAX(-'00_Arquitectura'!$B$106,MIN('00_Arquitectura'!$B$106,E74+F74))</x:f>
        <x:v>0</x:v>
      </x:c>
      <x:c r="H74" s="10" t="n">
        <x:f>MAX(0,MIN(100,D74+G74))</x:f>
        <x:v>45</x:v>
      </x:c>
      <x:c r="I74" s="10" t="n">
        <x:f>0</x:f>
        <x:v>0</x:v>
      </x:c>
      <x:c r="J74" s="10" t="n">
        <x:f>MAX(-'00_Arquitectura'!$B$107,MIN('00_Arquitectura'!$B$107,0))</x:f>
        <x:v>0</x:v>
      </x:c>
      <x:c r="K74" s="10" t="n">
        <x:f>MAX(0,MIN(100,H74+I74+J74))</x:f>
        <x:v>45</x:v>
      </x:c>
      <x:c r="L74" s="10" t="str">
        <x:v>Pulsos y offsets: filtrar Instancias por escenario, turno y targetId. Base separada del nivel visible.</x:v>
      </x:c>
    </x:row>
    <x:row r="75" ht="34" customHeight="1">
      <x:c r="A75" s="5" t="str">
        <x:v>S1_EMISION</x:v>
      </x:c>
      <x:c r="B75" s="5" t="n">
        <x:v>1</x:v>
      </x:c>
      <x:c r="C75" s="5" t="str">
        <x:v>infraestructura</x:v>
      </x:c>
      <x:c r="D75" s="5" t="n">
        <x:f>'01_Indicadores'!$H$12</x:f>
        <x:v>45</x:v>
      </x:c>
      <x:c r="E75" s="5" t="n">
        <x:f>0+0</x:f>
        <x:v>0</x:v>
      </x:c>
      <x:c r="F75" s="5" t="n">
        <x:f>0</x:f>
        <x:v>0</x:v>
      </x:c>
      <x:c r="G75" s="5" t="n">
        <x:f>MAX(-'00_Arquitectura'!$B$106,MIN('00_Arquitectura'!$B$106,E75+F75))</x:f>
        <x:v>0</x:v>
      </x:c>
      <x:c r="H75" s="5" t="n">
        <x:f>MAX(0,MIN(100,D75+G75))</x:f>
        <x:v>45</x:v>
      </x:c>
      <x:c r="I75" s="5" t="n">
        <x:f>0</x:f>
        <x:v>0</x:v>
      </x:c>
      <x:c r="J75" s="5" t="n">
        <x:f>MAX(-'00_Arquitectura'!$B$107,MIN('00_Arquitectura'!$B$107,0))</x:f>
        <x:v>0</x:v>
      </x:c>
      <x:c r="K75" s="5" t="n">
        <x:f>MAX(0,MIN(100,H75+I75+J75))</x:f>
        <x:v>45</x:v>
      </x:c>
      <x:c r="L75" s="5" t="str">
        <x:v>Pulsos y offsets: filtrar Instancias por escenario, turno y targetId. Base separada del nivel visible.</x:v>
      </x:c>
    </x:row>
    <x:row r="76" ht="34" customHeight="1">
      <x:c r="A76" s="10" t="str">
        <x:v>S1_EMISION</x:v>
      </x:c>
      <x:c r="B76" s="10" t="n">
        <x:v>1</x:v>
      </x:c>
      <x:c r="C76" s="10" t="str">
        <x:v>educacion</x:v>
      </x:c>
      <x:c r="D76" s="10" t="n">
        <x:f>'01_Indicadores'!$H$13</x:f>
        <x:v>50</x:v>
      </x:c>
      <x:c r="E76" s="10" t="n">
        <x:f>0+0</x:f>
        <x:v>0</x:v>
      </x:c>
      <x:c r="F76" s="10" t="n">
        <x:f>0</x:f>
        <x:v>0</x:v>
      </x:c>
      <x:c r="G76" s="10" t="n">
        <x:f>MAX(-'00_Arquitectura'!$B$106,MIN('00_Arquitectura'!$B$106,E76+F76))</x:f>
        <x:v>0</x:v>
      </x:c>
      <x:c r="H76" s="10" t="n">
        <x:f>MAX(0,MIN(100,D76+G76))</x:f>
        <x:v>50</x:v>
      </x:c>
      <x:c r="I76" s="10" t="n">
        <x:f>0</x:f>
        <x:v>0</x:v>
      </x:c>
      <x:c r="J76" s="10" t="n">
        <x:f>MAX(-'00_Arquitectura'!$B$107,MIN('00_Arquitectura'!$B$107,0))</x:f>
        <x:v>0</x:v>
      </x:c>
      <x:c r="K76" s="10" t="n">
        <x:f>MAX(0,MIN(100,H76+I76+J76))</x:f>
        <x:v>50</x:v>
      </x:c>
      <x:c r="L76" s="10" t="str">
        <x:v>Pulsos y offsets: filtrar Instancias por escenario, turno y targetId. Base separada del nivel visible.</x:v>
      </x:c>
    </x:row>
    <x:row r="77" ht="34" customHeight="1">
      <x:c r="A77" s="5" t="str">
        <x:v>S1_EMISION</x:v>
      </x:c>
      <x:c r="B77" s="5" t="n">
        <x:v>1</x:v>
      </x:c>
      <x:c r="C77" s="5" t="str">
        <x:v>salud</x:v>
      </x:c>
      <x:c r="D77" s="5" t="n">
        <x:f>'01_Indicadores'!$H$14</x:f>
        <x:v>50</x:v>
      </x:c>
      <x:c r="E77" s="5" t="n">
        <x:f>0+0</x:f>
        <x:v>0</x:v>
      </x:c>
      <x:c r="F77" s="5" t="n">
        <x:f>0</x:f>
        <x:v>0</x:v>
      </x:c>
      <x:c r="G77" s="5" t="n">
        <x:f>MAX(-'00_Arquitectura'!$B$106,MIN('00_Arquitectura'!$B$106,E77+F77))</x:f>
        <x:v>0</x:v>
      </x:c>
      <x:c r="H77" s="5" t="n">
        <x:f>MAX(0,MIN(100,D77+G77))</x:f>
        <x:v>50</x:v>
      </x:c>
      <x:c r="I77" s="5" t="n">
        <x:f>0</x:f>
        <x:v>0</x:v>
      </x:c>
      <x:c r="J77" s="5" t="n">
        <x:f>MAX(-'00_Arquitectura'!$B$107,MIN('00_Arquitectura'!$B$107,0))</x:f>
        <x:v>0</x:v>
      </x:c>
      <x:c r="K77" s="5" t="n">
        <x:f>MAX(0,MIN(100,H77+I77+J77))</x:f>
        <x:v>50</x:v>
      </x:c>
      <x:c r="L77" s="5" t="str">
        <x:v>Pulsos y offsets: filtrar Instancias por escenario, turno y targetId. Base separada del nivel visible.</x:v>
      </x:c>
    </x:row>
    <x:row r="78" ht="34" customHeight="1">
      <x:c r="A78" s="10" t="str">
        <x:v>S1_EMISION</x:v>
      </x:c>
      <x:c r="B78" s="10" t="n">
        <x:v>1</x:v>
      </x:c>
      <x:c r="C78" s="10" t="str">
        <x:v>proteccion</x:v>
      </x:c>
      <x:c r="D78" s="10" t="n">
        <x:f>'01_Indicadores'!$H$15</x:f>
        <x:v>45</x:v>
      </x:c>
      <x:c r="E78" s="10" t="n">
        <x:f>0+0</x:f>
        <x:v>0</x:v>
      </x:c>
      <x:c r="F78" s="10" t="n">
        <x:f>0</x:f>
        <x:v>0</x:v>
      </x:c>
      <x:c r="G78" s="10" t="n">
        <x:f>MAX(-'00_Arquitectura'!$B$106,MIN('00_Arquitectura'!$B$106,E78+F78))</x:f>
        <x:v>0</x:v>
      </x:c>
      <x:c r="H78" s="10" t="n">
        <x:f>MAX(0,MIN(100,D78+G78))</x:f>
        <x:v>45</x:v>
      </x:c>
      <x:c r="I78" s="10" t="n">
        <x:f>0</x:f>
        <x:v>0</x:v>
      </x:c>
      <x:c r="J78" s="10" t="n">
        <x:f>MAX(-'00_Arquitectura'!$B$107,MIN('00_Arquitectura'!$B$107,0))</x:f>
        <x:v>0</x:v>
      </x:c>
      <x:c r="K78" s="10" t="n">
        <x:f>MAX(0,MIN(100,H78+I78+J78))</x:f>
        <x:v>45</x:v>
      </x:c>
      <x:c r="L78" s="10" t="str">
        <x:v>Pulsos y offsets: filtrar Instancias por escenario, turno y targetId. Base separada del nivel visible.</x:v>
      </x:c>
    </x:row>
    <x:row r="79" ht="34" customHeight="1">
      <x:c r="A79" s="5" t="str">
        <x:v>S1_EMISION</x:v>
      </x:c>
      <x:c r="B79" s="5" t="n">
        <x:v>1</x:v>
      </x:c>
      <x:c r="C79" s="5" t="str">
        <x:v>seguridad</x:v>
      </x:c>
      <x:c r="D79" s="5" t="n">
        <x:f>'01_Indicadores'!$H$16</x:f>
        <x:v>45</x:v>
      </x:c>
      <x:c r="E79" s="5" t="n">
        <x:f>0+0</x:f>
        <x:v>0</x:v>
      </x:c>
      <x:c r="F79" s="5" t="n">
        <x:f>0</x:f>
        <x:v>0</x:v>
      </x:c>
      <x:c r="G79" s="5" t="n">
        <x:f>MAX(-'00_Arquitectura'!$B$106,MIN('00_Arquitectura'!$B$106,E79+F79))</x:f>
        <x:v>0</x:v>
      </x:c>
      <x:c r="H79" s="5" t="n">
        <x:f>MAX(0,MIN(100,D79+G79))</x:f>
        <x:v>45</x:v>
      </x:c>
      <x:c r="I79" s="5" t="n">
        <x:f>0</x:f>
        <x:v>0</x:v>
      </x:c>
      <x:c r="J79" s="5" t="n">
        <x:f>MAX(-'00_Arquitectura'!$B$107,MIN('00_Arquitectura'!$B$107,0))</x:f>
        <x:v>0</x:v>
      </x:c>
      <x:c r="K79" s="5" t="n">
        <x:f>MAX(0,MIN(100,H79+I79+J79))</x:f>
        <x:v>45</x:v>
      </x:c>
      <x:c r="L79" s="5" t="str">
        <x:v>Pulsos y offsets: filtrar Instancias por escenario, turno y targetId. Base separada del nivel visible.</x:v>
      </x:c>
    </x:row>
    <x:row r="80" ht="34" customHeight="1">
      <x:c r="A80" s="10" t="str">
        <x:v>S1_EMISION</x:v>
      </x:c>
      <x:c r="B80" s="10" t="n">
        <x:v>1</x:v>
      </x:c>
      <x:c r="C80" s="10" t="str">
        <x:v>ciencia</x:v>
      </x:c>
      <x:c r="D80" s="10" t="n">
        <x:f>'01_Indicadores'!$H$17</x:f>
        <x:v>40</x:v>
      </x:c>
      <x:c r="E80" s="10" t="n">
        <x:f>0+0</x:f>
        <x:v>0</x:v>
      </x:c>
      <x:c r="F80" s="10" t="n">
        <x:f>0</x:f>
        <x:v>0</x:v>
      </x:c>
      <x:c r="G80" s="10" t="n">
        <x:f>MAX(-'00_Arquitectura'!$B$106,MIN('00_Arquitectura'!$B$106,E80+F80))</x:f>
        <x:v>0</x:v>
      </x:c>
      <x:c r="H80" s="10" t="n">
        <x:f>MAX(0,MIN(100,D80+G80))</x:f>
        <x:v>40</x:v>
      </x:c>
      <x:c r="I80" s="10" t="n">
        <x:f>0</x:f>
        <x:v>0</x:v>
      </x:c>
      <x:c r="J80" s="10" t="n">
        <x:f>MAX(-'00_Arquitectura'!$B$107,MIN('00_Arquitectura'!$B$107,0))</x:f>
        <x:v>0</x:v>
      </x:c>
      <x:c r="K80" s="10" t="n">
        <x:f>MAX(0,MIN(100,H80+I80+J80))</x:f>
        <x:v>40</x:v>
      </x:c>
      <x:c r="L80" s="10" t="str">
        <x:v>Pulsos y offsets: filtrar Instancias por escenario, turno y targetId. Base separada del nivel visible.</x:v>
      </x:c>
    </x:row>
    <x:row r="81" ht="34" customHeight="1">
      <x:c r="A81" s="5" t="str">
        <x:v>S1_EMISION</x:v>
      </x:c>
      <x:c r="B81" s="5" t="n">
        <x:v>1</x:v>
      </x:c>
      <x:c r="C81" s="5" t="str">
        <x:v>derechos</x:v>
      </x:c>
      <x:c r="D81" s="5" t="n">
        <x:f>'01_Indicadores'!$H$18</x:f>
        <x:v>55</x:v>
      </x:c>
      <x:c r="E81" s="5" t="n">
        <x:f>0+0</x:f>
        <x:v>0</x:v>
      </x:c>
      <x:c r="F81" s="5" t="n">
        <x:f>0</x:f>
        <x:v>0</x:v>
      </x:c>
      <x:c r="G81" s="5" t="n">
        <x:f>MAX(-'00_Arquitectura'!$B$106,MIN('00_Arquitectura'!$B$106,E81+F81))</x:f>
        <x:v>0</x:v>
      </x:c>
      <x:c r="H81" s="5" t="n">
        <x:f>MAX(0,MIN(100,D81+G81))</x:f>
        <x:v>55</x:v>
      </x:c>
      <x:c r="I81" s="5" t="n">
        <x:f>0</x:f>
        <x:v>0</x:v>
      </x:c>
      <x:c r="J81" s="5" t="n">
        <x:f>MAX(-'00_Arquitectura'!$B$107,MIN('00_Arquitectura'!$B$107,0))</x:f>
        <x:v>0</x:v>
      </x:c>
      <x:c r="K81" s="5" t="n">
        <x:f>MAX(0,MIN(100,H81+I81+J81))</x:f>
        <x:v>55</x:v>
      </x:c>
      <x:c r="L81" s="5" t="str">
        <x:v>Pulsos y offsets: filtrar Instancias por escenario, turno y targetId. Base separada del nivel visible.</x:v>
      </x:c>
    </x:row>
    <x:row r="82" ht="34" customHeight="1">
      <x:c r="A82" s="10" t="str">
        <x:v>S1_EMISION</x:v>
      </x:c>
      <x:c r="B82" s="10" t="n">
        <x:v>1</x:v>
      </x:c>
      <x:c r="C82" s="10" t="str">
        <x:v>ambiente</x:v>
      </x:c>
      <x:c r="D82" s="10" t="n">
        <x:f>'01_Indicadores'!$H$19</x:f>
        <x:v>50</x:v>
      </x:c>
      <x:c r="E82" s="10" t="n">
        <x:f>0+0</x:f>
        <x:v>0</x:v>
      </x:c>
      <x:c r="F82" s="10" t="n">
        <x:f>0</x:f>
        <x:v>0</x:v>
      </x:c>
      <x:c r="G82" s="10" t="n">
        <x:f>MAX(-'00_Arquitectura'!$B$106,MIN('00_Arquitectura'!$B$106,E82+F82))</x:f>
        <x:v>0</x:v>
      </x:c>
      <x:c r="H82" s="10" t="n">
        <x:f>MAX(0,MIN(100,D82+G82))</x:f>
        <x:v>50</x:v>
      </x:c>
      <x:c r="I82" s="10" t="n">
        <x:f>0</x:f>
        <x:v>0</x:v>
      </x:c>
      <x:c r="J82" s="10" t="n">
        <x:f>MAX(-'00_Arquitectura'!$B$107,MIN('00_Arquitectura'!$B$107,0))</x:f>
        <x:v>0</x:v>
      </x:c>
      <x:c r="K82" s="10" t="n">
        <x:f>MAX(0,MIN(100,H82+I82+J82))</x:f>
        <x:v>50</x:v>
      </x:c>
      <x:c r="L82" s="10" t="str">
        <x:v>Pulsos y offsets: filtrar Instancias por escenario, turno y targetId. Base separada del nivel visible.</x:v>
      </x:c>
    </x:row>
    <x:row r="83" ht="42" customHeight="1">
      <x:c r="A83" s="5" t="str">
        <x:v>S1_EMISION</x:v>
      </x:c>
      <x:c r="B83" s="5" t="n">
        <x:v>2</x:v>
      </x:c>
      <x:c r="C83" s="5" t="str">
        <x:v>inflacion</x:v>
      </x:c>
      <x:c r="D83" s="5" t="n">
        <x:f>$H$69</x:f>
        <x:v>40</x:v>
      </x:c>
      <x:c r="E83" s="5" t="n">
        <x:f>SUM($I$1678,$I$1679)+0</x:f>
        <x:v>1</x:v>
      </x:c>
      <x:c r="F83" s="5" t="n">
        <x:f>-'00_Arquitectura'!$B$96*($H$69-40)</x:f>
        <x:v>0</x:v>
      </x:c>
      <x:c r="G83" s="5" t="n">
        <x:f>MAX(-'00_Arquitectura'!$B$106,MIN('00_Arquitectura'!$B$106,E83+F83))</x:f>
        <x:v>1</x:v>
      </x:c>
      <x:c r="H83" s="5" t="n">
        <x:f>MAX(0,MIN(100,D83+G83))</x:f>
        <x:v>41</x:v>
      </x:c>
      <x:c r="I83" s="5" t="n">
        <x:f>0</x:f>
        <x:v>0</x:v>
      </x:c>
      <x:c r="J83" s="5" t="n">
        <x:f>MAX(-'00_Arquitectura'!$B$107,MIN('00_Arquitectura'!$B$107,0))</x:f>
        <x:v>0</x:v>
      </x:c>
      <x:c r="K83" s="5" t="n">
        <x:f>MAX(0,MIN(100,H83+I83+J83))</x:f>
        <x:v>41</x:v>
      </x:c>
      <x:c r="L83" s="5" t="str">
        <x:v>Aplica link L01. Pulsos y offsets: filtrar Instancias por escenario, turno y targetId. Base separada del nivel visible.</x:v>
      </x:c>
    </x:row>
    <x:row r="84" ht="42" customHeight="1">
      <x:c r="A84" s="10" t="str">
        <x:v>S1_EMISION</x:v>
      </x:c>
      <x:c r="B84" s="10" t="n">
        <x:v>2</x:v>
      </x:c>
      <x:c r="C84" s="10" t="str">
        <x:v>actividad</x:v>
      </x:c>
      <x:c r="D84" s="10" t="n">
        <x:f>$H$70</x:f>
        <x:v>50</x:v>
      </x:c>
      <x:c r="E84" s="10" t="n">
        <x:f>0+0</x:f>
        <x:v>0</x:v>
      </x:c>
      <x:c r="F84" s="10" t="n">
        <x:f>-'00_Arquitectura'!$B$97*($H$70-50)+'00_Arquitectura'!$B$98*($K$72-45)+'00_Arquitectura'!$B$99*($K$75-45)+'00_Arquitectura'!$B$100*($K$74-45)</x:f>
        <x:v>0</x:v>
      </x:c>
      <x:c r="G84" s="10" t="n">
        <x:f>MAX(-'00_Arquitectura'!$B$106,MIN('00_Arquitectura'!$B$106,E84+F84))</x:f>
        <x:v>0</x:v>
      </x:c>
      <x:c r="H84" s="10" t="n">
        <x:f>MAX(0,MIN(100,D84+G84))</x:f>
        <x:v>50</x:v>
      </x:c>
      <x:c r="I84" s="10" t="n">
        <x:f>0+'05_Efectos'!$E$7</x:f>
        <x:v>2</x:v>
      </x:c>
      <x:c r="J84" s="10" t="n">
        <x:f>MAX(-'00_Arquitectura'!$B$107,MIN('00_Arquitectura'!$B$107,$J$773+$J$776+$J$777))</x:f>
        <x:v>0</x:v>
      </x:c>
      <x:c r="K84" s="10" t="n">
        <x:f>MAX(0,MIN(100,H84+I84+J84))</x:f>
        <x:v>52</x:v>
      </x:c>
      <x:c r="L84" s="10" t="str">
        <x:v>Aplica link L02. Pulsos y offsets: filtrar Instancias por escenario, turno y targetId. Base separada del nivel visible.</x:v>
      </x:c>
    </x:row>
    <x:row r="85" ht="42" customHeight="1">
      <x:c r="A85" s="5" t="str">
        <x:v>S1_EMISION</x:v>
      </x:c>
      <x:c r="B85" s="5" t="n">
        <x:v>2</x:v>
      </x:c>
      <x:c r="C85" s="5" t="str">
        <x:v>ingreso_real</x:v>
      </x:c>
      <x:c r="D85" s="5" t="n">
        <x:f>$H$71</x:f>
        <x:v>45</x:v>
      </x:c>
      <x:c r="E85" s="5" t="n">
        <x:f>0+0</x:f>
        <x:v>0</x:v>
      </x:c>
      <x:c r="F85" s="5" t="n">
        <x:f>'00_Arquitectura'!$B$101*($K$70-'01_Indicadores'!$H$7)+'00_Arquitectura'!$B$102*($K$69-'01_Indicadores'!$H$6)</x:f>
        <x:v>0.3</x:v>
      </x:c>
      <x:c r="G85" s="5" t="n">
        <x:f>MAX(-'00_Arquitectura'!$B$106,MIN('00_Arquitectura'!$B$106,E85+F85))</x:f>
        <x:v>0.3</x:v>
      </x:c>
      <x:c r="H85" s="5" t="n">
        <x:f>MAX(0,MIN(100,D85+G85))</x:f>
        <x:v>45.3</x:v>
      </x:c>
      <x:c r="I85" s="5" t="n">
        <x:f>0</x:f>
        <x:v>0</x:v>
      </x:c>
      <x:c r="J85" s="5" t="n">
        <x:f>MAX(-'00_Arquitectura'!$B$107,MIN('00_Arquitectura'!$B$107,0))</x:f>
        <x:v>0</x:v>
      </x:c>
      <x:c r="K85" s="5" t="n">
        <x:f>MAX(0,MIN(100,H85+I85+J85))</x:f>
        <x:v>45.3</x:v>
      </x:c>
      <x:c r="L85" s="5" t="str">
        <x:v>Aplica link L03. Pulsos y offsets: filtrar Instancias por escenario, turno y targetId. Base separada del nivel visible.</x:v>
      </x:c>
    </x:row>
    <x:row r="86" ht="42" customHeight="1">
      <x:c r="A86" s="10" t="str">
        <x:v>S1_EMISION</x:v>
      </x:c>
      <x:c r="B86" s="10" t="n">
        <x:v>2</x:v>
      </x:c>
      <x:c r="C86" s="10" t="str">
        <x:v>credito</x:v>
      </x:c>
      <x:c r="D86" s="10" t="n">
        <x:f>$H$72</x:f>
        <x:v>45</x:v>
      </x:c>
      <x:c r="E86" s="10" t="n">
        <x:f>0+0</x:f>
        <x:v>0</x:v>
      </x:c>
      <x:c r="F86" s="10" t="n">
        <x:f>-'00_Arquitectura'!$B$103*($H$72-45)+'00_Arquitectura'!$B$104*($K$69-'01_Indicadores'!$H$6)+'00_Arquitectura'!$B$105*($K$73-'00_Arquitectura'!$B$117)</x:f>
        <x:v>0</x:v>
      </x:c>
      <x:c r="G86" s="10" t="n">
        <x:f>MAX(-'00_Arquitectura'!$B$106,MIN('00_Arquitectura'!$B$106,E86+F86))</x:f>
        <x:v>0</x:v>
      </x:c>
      <x:c r="H86" s="10" t="n">
        <x:f>MAX(0,MIN(100,D86+G86))</x:f>
        <x:v>45</x:v>
      </x:c>
      <x:c r="I86" s="10" t="n">
        <x:f>0</x:f>
        <x:v>0</x:v>
      </x:c>
      <x:c r="J86" s="10" t="n">
        <x:f>MAX(-'00_Arquitectura'!$B$107,MIN('00_Arquitectura'!$B$107,$J$775))</x:f>
        <x:v>0</x:v>
      </x:c>
      <x:c r="K86" s="10" t="n">
        <x:f>MAX(0,MIN(100,H86+I86+J86))</x:f>
        <x:v>45</x:v>
      </x:c>
      <x:c r="L86" s="10" t="str">
        <x:v>Aplica link L04. Pulsos y offsets: filtrar Instancias por escenario, turno y targetId. Base separada del nivel visible.</x:v>
      </x:c>
    </x:row>
    <x:row r="87" ht="34" customHeight="1">
      <x:c r="A87" s="5" t="str">
        <x:v>S1_EMISION</x:v>
      </x:c>
      <x:c r="B87" s="5" t="n">
        <x:v>2</x:v>
      </x:c>
      <x:c r="C87" s="5" t="str">
        <x:v>fiscal</x:v>
      </x:c>
      <x:c r="D87" s="5" t="n">
        <x:f>$H$73</x:f>
        <x:v>58</x:v>
      </x:c>
      <x:c r="E87" s="5" t="n">
        <x:f>0+0</x:f>
        <x:v>0</x:v>
      </x:c>
      <x:c r="F87" s="5" t="n">
        <x:f>0</x:f>
        <x:v>0</x:v>
      </x:c>
      <x:c r="G87" s="5" t="n">
        <x:f>MAX(-'00_Arquitectura'!$B$106,MIN('00_Arquitectura'!$B$106,E87+F87))</x:f>
        <x:v>0</x:v>
      </x:c>
      <x:c r="H87" s="5" t="n">
        <x:f>$O$16</x:f>
        <x:v>58.4</x:v>
      </x:c>
      <x:c r="I87" s="5" t="n">
        <x:f>0</x:f>
        <x:v>0</x:v>
      </x:c>
      <x:c r="J87" s="5" t="n">
        <x:f>MAX(-'00_Arquitectura'!$B$107,MIN('00_Arquitectura'!$B$107,0))</x:f>
        <x:v>0</x:v>
      </x:c>
      <x:c r="K87" s="5" t="n">
        <x:f>MAX(0,MIN(100,H87+I87+J87))</x:f>
        <x:v>58.4</x:v>
      </x:c>
      <x:c r="L87" s="5" t="str">
        <x:v>Derivado de caja: ingreso recurrente, gasto, intereses y deuda. Nunca SUM de efectos fiscales directos.</x:v>
      </x:c>
    </x:row>
    <x:row r="88" ht="34" customHeight="1">
      <x:c r="A88" s="10" t="str">
        <x:v>S1_EMISION</x:v>
      </x:c>
      <x:c r="B88" s="10" t="n">
        <x:v>2</x:v>
      </x:c>
      <x:c r="C88" s="10" t="str">
        <x:v>externo</x:v>
      </x:c>
      <x:c r="D88" s="10" t="n">
        <x:f>$H$74</x:f>
        <x:v>45</x:v>
      </x:c>
      <x:c r="E88" s="10" t="n">
        <x:f>0+0</x:f>
        <x:v>0</x:v>
      </x:c>
      <x:c r="F88" s="10" t="n">
        <x:f>0</x:f>
        <x:v>0</x:v>
      </x:c>
      <x:c r="G88" s="10" t="n">
        <x:f>MAX(-'00_Arquitectura'!$B$106,MIN('00_Arquitectura'!$B$106,E88+F88))</x:f>
        <x:v>0</x:v>
      </x:c>
      <x:c r="H88" s="10" t="n">
        <x:f>MAX(0,MIN(100,D88+G88))</x:f>
        <x:v>45</x:v>
      </x:c>
      <x:c r="I88" s="10" t="n">
        <x:f>0</x:f>
        <x:v>0</x:v>
      </x:c>
      <x:c r="J88" s="10" t="n">
        <x:f>MAX(-'00_Arquitectura'!$B$107,MIN('00_Arquitectura'!$B$107,$J$774))</x:f>
        <x:v>0</x:v>
      </x:c>
      <x:c r="K88" s="10" t="n">
        <x:f>MAX(0,MIN(100,H88+I88+J88))</x:f>
        <x:v>45</x:v>
      </x:c>
      <x:c r="L88" s="10" t="str">
        <x:v>Pulsos y offsets: filtrar Instancias por escenario, turno y targetId. Base separada del nivel visible.</x:v>
      </x:c>
    </x:row>
    <x:row r="89" ht="34" customHeight="1">
      <x:c r="A89" s="5" t="str">
        <x:v>S1_EMISION</x:v>
      </x:c>
      <x:c r="B89" s="5" t="n">
        <x:v>2</x:v>
      </x:c>
      <x:c r="C89" s="5" t="str">
        <x:v>infraestructura</x:v>
      </x:c>
      <x:c r="D89" s="5" t="n">
        <x:f>$H$75</x:f>
        <x:v>45</x:v>
      </x:c>
      <x:c r="E89" s="5" t="n">
        <x:f>0+0</x:f>
        <x:v>0</x:v>
      </x:c>
      <x:c r="F89" s="5" t="n">
        <x:f>0</x:f>
        <x:v>0</x:v>
      </x:c>
      <x:c r="G89" s="5" t="n">
        <x:f>MAX(-'00_Arquitectura'!$B$106,MIN('00_Arquitectura'!$B$106,E89+F89))</x:f>
        <x:v>0</x:v>
      </x:c>
      <x:c r="H89" s="5" t="n">
        <x:f>MAX(0,MIN(100,D89+G89))</x:f>
        <x:v>45</x:v>
      </x:c>
      <x:c r="I89" s="5" t="n">
        <x:f>0</x:f>
        <x:v>0</x:v>
      </x:c>
      <x:c r="J89" s="5" t="n">
        <x:f>MAX(-'00_Arquitectura'!$B$107,MIN('00_Arquitectura'!$B$107,0))</x:f>
        <x:v>0</x:v>
      </x:c>
      <x:c r="K89" s="5" t="n">
        <x:f>MAX(0,MIN(100,H89+I89+J89))</x:f>
        <x:v>45</x:v>
      </x:c>
      <x:c r="L89" s="5" t="str">
        <x:v>Pulsos y offsets: filtrar Instancias por escenario, turno y targetId. Base separada del nivel visible.</x:v>
      </x:c>
    </x:row>
    <x:row r="90" ht="34" customHeight="1">
      <x:c r="A90" s="10" t="str">
        <x:v>S1_EMISION</x:v>
      </x:c>
      <x:c r="B90" s="10" t="n">
        <x:v>2</x:v>
      </x:c>
      <x:c r="C90" s="10" t="str">
        <x:v>educacion</x:v>
      </x:c>
      <x:c r="D90" s="10" t="n">
        <x:f>$H$76</x:f>
        <x:v>50</x:v>
      </x:c>
      <x:c r="E90" s="10" t="n">
        <x:f>0+0</x:f>
        <x:v>0</x:v>
      </x:c>
      <x:c r="F90" s="10" t="n">
        <x:f>0</x:f>
        <x:v>0</x:v>
      </x:c>
      <x:c r="G90" s="10" t="n">
        <x:f>MAX(-'00_Arquitectura'!$B$106,MIN('00_Arquitectura'!$B$106,E90+F90))</x:f>
        <x:v>0</x:v>
      </x:c>
      <x:c r="H90" s="10" t="n">
        <x:f>MAX(0,MIN(100,D90+G90))</x:f>
        <x:v>50</x:v>
      </x:c>
      <x:c r="I90" s="10" t="n">
        <x:f>0</x:f>
        <x:v>0</x:v>
      </x:c>
      <x:c r="J90" s="10" t="n">
        <x:f>MAX(-'00_Arquitectura'!$B$107,MIN('00_Arquitectura'!$B$107,$J$781))</x:f>
        <x:v>0</x:v>
      </x:c>
      <x:c r="K90" s="10" t="n">
        <x:f>MAX(0,MIN(100,H90+I90+J90))</x:f>
        <x:v>50</x:v>
      </x:c>
      <x:c r="L90" s="10" t="str">
        <x:v>Pulsos y offsets: filtrar Instancias por escenario, turno y targetId. Base separada del nivel visible.</x:v>
      </x:c>
    </x:row>
    <x:row r="91" ht="34" customHeight="1">
      <x:c r="A91" s="5" t="str">
        <x:v>S1_EMISION</x:v>
      </x:c>
      <x:c r="B91" s="5" t="n">
        <x:v>2</x:v>
      </x:c>
      <x:c r="C91" s="5" t="str">
        <x:v>salud</x:v>
      </x:c>
      <x:c r="D91" s="5" t="n">
        <x:f>$H$77</x:f>
        <x:v>50</x:v>
      </x:c>
      <x:c r="E91" s="5" t="n">
        <x:f>0+0</x:f>
        <x:v>0</x:v>
      </x:c>
      <x:c r="F91" s="5" t="n">
        <x:f>0</x:f>
        <x:v>0</x:v>
      </x:c>
      <x:c r="G91" s="5" t="n">
        <x:f>MAX(-'00_Arquitectura'!$B$106,MIN('00_Arquitectura'!$B$106,E91+F91))</x:f>
        <x:v>0</x:v>
      </x:c>
      <x:c r="H91" s="5" t="n">
        <x:f>MAX(0,MIN(100,D91+G91))</x:f>
        <x:v>50</x:v>
      </x:c>
      <x:c r="I91" s="5" t="n">
        <x:f>0</x:f>
        <x:v>0</x:v>
      </x:c>
      <x:c r="J91" s="5" t="n">
        <x:f>MAX(-'00_Arquitectura'!$B$107,MIN('00_Arquitectura'!$B$107,0))</x:f>
        <x:v>0</x:v>
      </x:c>
      <x:c r="K91" s="5" t="n">
        <x:f>MAX(0,MIN(100,H91+I91+J91))</x:f>
        <x:v>50</x:v>
      </x:c>
      <x:c r="L91" s="5" t="str">
        <x:v>Pulsos y offsets: filtrar Instancias por escenario, turno y targetId. Base separada del nivel visible.</x:v>
      </x:c>
    </x:row>
    <x:row r="92" ht="34" customHeight="1">
      <x:c r="A92" s="10" t="str">
        <x:v>S1_EMISION</x:v>
      </x:c>
      <x:c r="B92" s="10" t="n">
        <x:v>2</x:v>
      </x:c>
      <x:c r="C92" s="10" t="str">
        <x:v>proteccion</x:v>
      </x:c>
      <x:c r="D92" s="10" t="n">
        <x:f>$H$78</x:f>
        <x:v>45</x:v>
      </x:c>
      <x:c r="E92" s="10" t="n">
        <x:f>0+0</x:f>
        <x:v>0</x:v>
      </x:c>
      <x:c r="F92" s="10" t="n">
        <x:f>0</x:f>
        <x:v>0</x:v>
      </x:c>
      <x:c r="G92" s="10" t="n">
        <x:f>MAX(-'00_Arquitectura'!$B$106,MIN('00_Arquitectura'!$B$106,E92+F92))</x:f>
        <x:v>0</x:v>
      </x:c>
      <x:c r="H92" s="10" t="n">
        <x:f>MAX(0,MIN(100,D92+G92))</x:f>
        <x:v>45</x:v>
      </x:c>
      <x:c r="I92" s="10" t="n">
        <x:f>0</x:f>
        <x:v>0</x:v>
      </x:c>
      <x:c r="J92" s="10" t="n">
        <x:f>MAX(-'00_Arquitectura'!$B$107,MIN('00_Arquitectura'!$B$107,$J$779+$J$783))</x:f>
        <x:v>0</x:v>
      </x:c>
      <x:c r="K92" s="10" t="n">
        <x:f>MAX(0,MIN(100,H92+I92+J92))</x:f>
        <x:v>45</x:v>
      </x:c>
      <x:c r="L92" s="10" t="str">
        <x:v>Pulsos y offsets: filtrar Instancias por escenario, turno y targetId. Base separada del nivel visible.</x:v>
      </x:c>
    </x:row>
    <x:row r="93" ht="34" customHeight="1">
      <x:c r="A93" s="5" t="str">
        <x:v>S1_EMISION</x:v>
      </x:c>
      <x:c r="B93" s="5" t="n">
        <x:v>2</x:v>
      </x:c>
      <x:c r="C93" s="5" t="str">
        <x:v>seguridad</x:v>
      </x:c>
      <x:c r="D93" s="5" t="n">
        <x:f>$H$79</x:f>
        <x:v>45</x:v>
      </x:c>
      <x:c r="E93" s="5" t="n">
        <x:f>0+0</x:f>
        <x:v>0</x:v>
      </x:c>
      <x:c r="F93" s="5" t="n">
        <x:f>0</x:f>
        <x:v>0</x:v>
      </x:c>
      <x:c r="G93" s="5" t="n">
        <x:f>MAX(-'00_Arquitectura'!$B$106,MIN('00_Arquitectura'!$B$106,E93+F93))</x:f>
        <x:v>0</x:v>
      </x:c>
      <x:c r="H93" s="5" t="n">
        <x:f>MAX(0,MIN(100,D93+G93))</x:f>
        <x:v>45</x:v>
      </x:c>
      <x:c r="I93" s="5" t="n">
        <x:f>0</x:f>
        <x:v>0</x:v>
      </x:c>
      <x:c r="J93" s="5" t="n">
        <x:f>MAX(-'00_Arquitectura'!$B$107,MIN('00_Arquitectura'!$B$107,0))</x:f>
        <x:v>0</x:v>
      </x:c>
      <x:c r="K93" s="5" t="n">
        <x:f>MAX(0,MIN(100,H93+I93+J93))</x:f>
        <x:v>45</x:v>
      </x:c>
      <x:c r="L93" s="5" t="str">
        <x:v>Pulsos y offsets: filtrar Instancias por escenario, turno y targetId. Base separada del nivel visible.</x:v>
      </x:c>
    </x:row>
    <x:row r="94" ht="34" customHeight="1">
      <x:c r="A94" s="10" t="str">
        <x:v>S1_EMISION</x:v>
      </x:c>
      <x:c r="B94" s="10" t="n">
        <x:v>2</x:v>
      </x:c>
      <x:c r="C94" s="10" t="str">
        <x:v>ciencia</x:v>
      </x:c>
      <x:c r="D94" s="10" t="n">
        <x:f>$H$80</x:f>
        <x:v>40</x:v>
      </x:c>
      <x:c r="E94" s="10" t="n">
        <x:f>0+0</x:f>
        <x:v>0</x:v>
      </x:c>
      <x:c r="F94" s="10" t="n">
        <x:f>0</x:f>
        <x:v>0</x:v>
      </x:c>
      <x:c r="G94" s="10" t="n">
        <x:f>MAX(-'00_Arquitectura'!$B$106,MIN('00_Arquitectura'!$B$106,E94+F94))</x:f>
        <x:v>0</x:v>
      </x:c>
      <x:c r="H94" s="10" t="n">
        <x:f>MAX(0,MIN(100,D94+G94))</x:f>
        <x:v>40</x:v>
      </x:c>
      <x:c r="I94" s="10" t="n">
        <x:f>0</x:f>
        <x:v>0</x:v>
      </x:c>
      <x:c r="J94" s="10" t="n">
        <x:f>MAX(-'00_Arquitectura'!$B$107,MIN('00_Arquitectura'!$B$107,$J$782))</x:f>
        <x:v>0</x:v>
      </x:c>
      <x:c r="K94" s="10" t="n">
        <x:f>MAX(0,MIN(100,H94+I94+J94))</x:f>
        <x:v>40</x:v>
      </x:c>
      <x:c r="L94" s="10" t="str">
        <x:v>Pulsos y offsets: filtrar Instancias por escenario, turno y targetId. Base separada del nivel visible.</x:v>
      </x:c>
    </x:row>
    <x:row r="95" ht="34" customHeight="1">
      <x:c r="A95" s="5" t="str">
        <x:v>S1_EMISION</x:v>
      </x:c>
      <x:c r="B95" s="5" t="n">
        <x:v>2</x:v>
      </x:c>
      <x:c r="C95" s="5" t="str">
        <x:v>derechos</x:v>
      </x:c>
      <x:c r="D95" s="5" t="n">
        <x:f>$H$81</x:f>
        <x:v>55</x:v>
      </x:c>
      <x:c r="E95" s="5" t="n">
        <x:f>0+0</x:f>
        <x:v>0</x:v>
      </x:c>
      <x:c r="F95" s="5" t="n">
        <x:f>0</x:f>
        <x:v>0</x:v>
      </x:c>
      <x:c r="G95" s="5" t="n">
        <x:f>MAX(-'00_Arquitectura'!$B$106,MIN('00_Arquitectura'!$B$106,E95+F95))</x:f>
        <x:v>0</x:v>
      </x:c>
      <x:c r="H95" s="5" t="n">
        <x:f>MAX(0,MIN(100,D95+G95))</x:f>
        <x:v>55</x:v>
      </x:c>
      <x:c r="I95" s="5" t="n">
        <x:f>0</x:f>
        <x:v>0</x:v>
      </x:c>
      <x:c r="J95" s="5" t="n">
        <x:f>MAX(-'00_Arquitectura'!$B$107,MIN('00_Arquitectura'!$B$107,0))</x:f>
        <x:v>0</x:v>
      </x:c>
      <x:c r="K95" s="5" t="n">
        <x:f>MAX(0,MIN(100,H95+I95+J95))</x:f>
        <x:v>55</x:v>
      </x:c>
      <x:c r="L95" s="5" t="str">
        <x:v>Pulsos y offsets: filtrar Instancias por escenario, turno y targetId. Base separada del nivel visible.</x:v>
      </x:c>
    </x:row>
    <x:row r="96" ht="34" customHeight="1">
      <x:c r="A96" s="10" t="str">
        <x:v>S1_EMISION</x:v>
      </x:c>
      <x:c r="B96" s="10" t="n">
        <x:v>2</x:v>
      </x:c>
      <x:c r="C96" s="10" t="str">
        <x:v>ambiente</x:v>
      </x:c>
      <x:c r="D96" s="10" t="n">
        <x:f>$H$82</x:f>
        <x:v>50</x:v>
      </x:c>
      <x:c r="E96" s="10" t="n">
        <x:f>0+0</x:f>
        <x:v>0</x:v>
      </x:c>
      <x:c r="F96" s="10" t="n">
        <x:f>0</x:f>
        <x:v>0</x:v>
      </x:c>
      <x:c r="G96" s="10" t="n">
        <x:f>MAX(-'00_Arquitectura'!$B$106,MIN('00_Arquitectura'!$B$106,E96+F96))</x:f>
        <x:v>0</x:v>
      </x:c>
      <x:c r="H96" s="10" t="n">
        <x:f>MAX(0,MIN(100,D96+G96))</x:f>
        <x:v>50</x:v>
      </x:c>
      <x:c r="I96" s="10" t="n">
        <x:f>0</x:f>
        <x:v>0</x:v>
      </x:c>
      <x:c r="J96" s="10" t="n">
        <x:f>MAX(-'00_Arquitectura'!$B$107,MIN('00_Arquitectura'!$B$107,0))</x:f>
        <x:v>0</x:v>
      </x:c>
      <x:c r="K96" s="10" t="n">
        <x:f>MAX(0,MIN(100,H96+I96+J96))</x:f>
        <x:v>50</x:v>
      </x:c>
      <x:c r="L96" s="10" t="str">
        <x:v>Pulsos y offsets: filtrar Instancias por escenario, turno y targetId. Base separada del nivel visible.</x:v>
      </x:c>
    </x:row>
    <x:row r="97" ht="42" customHeight="1">
      <x:c r="A97" s="5" t="str">
        <x:v>S1_EMISION</x:v>
      </x:c>
      <x:c r="B97" s="5" t="n">
        <x:v>3</x:v>
      </x:c>
      <x:c r="C97" s="5" t="str">
        <x:v>inflacion</x:v>
      </x:c>
      <x:c r="D97" s="5" t="n">
        <x:f>$H$83</x:f>
        <x:v>41</x:v>
      </x:c>
      <x:c r="E97" s="5" t="n">
        <x:f>SUM($I$1681,$I$1682)+0</x:f>
        <x:v>1</x:v>
      </x:c>
      <x:c r="F97" s="5" t="n">
        <x:f>-'00_Arquitectura'!$B$96*($H$83-40)</x:f>
        <x:v>-0.1</x:v>
      </x:c>
      <x:c r="G97" s="5" t="n">
        <x:f>MAX(-'00_Arquitectura'!$B$106,MIN('00_Arquitectura'!$B$106,E97+F97))</x:f>
        <x:v>0.9</x:v>
      </x:c>
      <x:c r="H97" s="5" t="n">
        <x:f>MAX(0,MIN(100,D97+G97))</x:f>
        <x:v>41.9</x:v>
      </x:c>
      <x:c r="I97" s="5" t="n">
        <x:f>0</x:f>
        <x:v>0</x:v>
      </x:c>
      <x:c r="J97" s="5" t="n">
        <x:f>MAX(-'00_Arquitectura'!$B$107,MIN('00_Arquitectura'!$B$107,0))</x:f>
        <x:v>0</x:v>
      </x:c>
      <x:c r="K97" s="5" t="n">
        <x:f>MAX(0,MIN(100,H97+I97+J97))</x:f>
        <x:v>41.9</x:v>
      </x:c>
      <x:c r="L97" s="5" t="str">
        <x:v>Aplica link L01. Pulsos y offsets: filtrar Instancias por escenario, turno y targetId. Base separada del nivel visible.</x:v>
      </x:c>
    </x:row>
    <x:row r="98" ht="42" customHeight="1">
      <x:c r="A98" s="10" t="str">
        <x:v>S1_EMISION</x:v>
      </x:c>
      <x:c r="B98" s="10" t="n">
        <x:v>3</x:v>
      </x:c>
      <x:c r="C98" s="10" t="str">
        <x:v>actividad</x:v>
      </x:c>
      <x:c r="D98" s="10" t="n">
        <x:f>$H$84</x:f>
        <x:v>50</x:v>
      </x:c>
      <x:c r="E98" s="10" t="n">
        <x:f>0+0</x:f>
        <x:v>0</x:v>
      </x:c>
      <x:c r="F98" s="10" t="n">
        <x:f>-'00_Arquitectura'!$B$97*($H$84-50)+'00_Arquitectura'!$B$98*($K$86-45)+'00_Arquitectura'!$B$99*($K$89-45)+'00_Arquitectura'!$B$100*($K$88-45)</x:f>
        <x:v>0</x:v>
      </x:c>
      <x:c r="G98" s="10" t="n">
        <x:f>MAX(-'00_Arquitectura'!$B$106,MIN('00_Arquitectura'!$B$106,E98+F98))</x:f>
        <x:v>0</x:v>
      </x:c>
      <x:c r="H98" s="10" t="n">
        <x:f>MAX(0,MIN(100,D98+G98))</x:f>
        <x:v>50</x:v>
      </x:c>
      <x:c r="I98" s="10" t="n">
        <x:f>0+'05_Efectos'!$E$7</x:f>
        <x:v>2</x:v>
      </x:c>
      <x:c r="J98" s="10" t="n">
        <x:f>MAX(-'00_Arquitectura'!$B$107,MIN('00_Arquitectura'!$B$107,$J$791+$J$794+$J$795))</x:f>
        <x:v>0</x:v>
      </x:c>
      <x:c r="K98" s="10" t="n">
        <x:f>MAX(0,MIN(100,H98+I98+J98))</x:f>
        <x:v>52</x:v>
      </x:c>
      <x:c r="L98" s="10" t="str">
        <x:v>Aplica link L02. Pulsos y offsets: filtrar Instancias por escenario, turno y targetId. Base separada del nivel visible.</x:v>
      </x:c>
    </x:row>
    <x:row r="99" ht="42" customHeight="1">
      <x:c r="A99" s="5" t="str">
        <x:v>S1_EMISION</x:v>
      </x:c>
      <x:c r="B99" s="5" t="n">
        <x:v>3</x:v>
      </x:c>
      <x:c r="C99" s="5" t="str">
        <x:v>ingreso_real</x:v>
      </x:c>
      <x:c r="D99" s="5" t="n">
        <x:f>$H$85</x:f>
        <x:v>45.3</x:v>
      </x:c>
      <x:c r="E99" s="5" t="n">
        <x:f>0+0</x:f>
        <x:v>0</x:v>
      </x:c>
      <x:c r="F99" s="5" t="n">
        <x:f>'00_Arquitectura'!$B$101*($K$84-$K$70)+'00_Arquitectura'!$B$102*($K$83-$K$69)</x:f>
        <x:v>-0.35</x:v>
      </x:c>
      <x:c r="G99" s="5" t="n">
        <x:f>MAX(-'00_Arquitectura'!$B$106,MIN('00_Arquitectura'!$B$106,E99+F99))</x:f>
        <x:v>-0.35</x:v>
      </x:c>
      <x:c r="H99" s="5" t="n">
        <x:f>MAX(0,MIN(100,D99+G99))</x:f>
        <x:v>44.949999999999996</x:v>
      </x:c>
      <x:c r="I99" s="5" t="n">
        <x:f>0</x:f>
        <x:v>0</x:v>
      </x:c>
      <x:c r="J99" s="5" t="n">
        <x:f>MAX(-'00_Arquitectura'!$B$107,MIN('00_Arquitectura'!$B$107,0))</x:f>
        <x:v>0</x:v>
      </x:c>
      <x:c r="K99" s="5" t="n">
        <x:f>MAX(0,MIN(100,H99+I99+J99))</x:f>
        <x:v>44.949999999999996</x:v>
      </x:c>
      <x:c r="L99" s="5" t="str">
        <x:v>Aplica link L03. Pulsos y offsets: filtrar Instancias por escenario, turno y targetId. Base separada del nivel visible.</x:v>
      </x:c>
    </x:row>
    <x:row r="100" ht="42" customHeight="1">
      <x:c r="A100" s="10" t="str">
        <x:v>S1_EMISION</x:v>
      </x:c>
      <x:c r="B100" s="10" t="n">
        <x:v>3</x:v>
      </x:c>
      <x:c r="C100" s="10" t="str">
        <x:v>credito</x:v>
      </x:c>
      <x:c r="D100" s="10" t="n">
        <x:f>$H$86</x:f>
        <x:v>45</x:v>
      </x:c>
      <x:c r="E100" s="10" t="n">
        <x:f>0+0</x:f>
        <x:v>0</x:v>
      </x:c>
      <x:c r="F100" s="10" t="n">
        <x:f>-'00_Arquitectura'!$B$103*($H$86-45)+'00_Arquitectura'!$B$104*($K$83-$K$69)+'00_Arquitectura'!$B$105*($K$87-'00_Arquitectura'!$B$117)</x:f>
        <x:v>-0.19200000000000003</x:v>
      </x:c>
      <x:c r="G100" s="10" t="n">
        <x:f>MAX(-'00_Arquitectura'!$B$106,MIN('00_Arquitectura'!$B$106,E100+F100))</x:f>
        <x:v>-0.19200000000000003</x:v>
      </x:c>
      <x:c r="H100" s="10" t="n">
        <x:f>MAX(0,MIN(100,D100+G100))</x:f>
        <x:v>44.808</x:v>
      </x:c>
      <x:c r="I100" s="10" t="n">
        <x:f>0</x:f>
        <x:v>0</x:v>
      </x:c>
      <x:c r="J100" s="10" t="n">
        <x:f>MAX(-'00_Arquitectura'!$B$107,MIN('00_Arquitectura'!$B$107,$J$793))</x:f>
        <x:v>0</x:v>
      </x:c>
      <x:c r="K100" s="10" t="n">
        <x:f>MAX(0,MIN(100,H100+I100+J100))</x:f>
        <x:v>44.808</x:v>
      </x:c>
      <x:c r="L100" s="10" t="str">
        <x:v>Aplica link L04. Pulsos y offsets: filtrar Instancias por escenario, turno y targetId. Base separada del nivel visible.</x:v>
      </x:c>
    </x:row>
    <x:row r="101" ht="34" customHeight="1">
      <x:c r="A101" s="5" t="str">
        <x:v>S1_EMISION</x:v>
      </x:c>
      <x:c r="B101" s="5" t="n">
        <x:v>3</x:v>
      </x:c>
      <x:c r="C101" s="5" t="str">
        <x:v>fiscal</x:v>
      </x:c>
      <x:c r="D101" s="5" t="n">
        <x:f>$H$87</x:f>
        <x:v>58.4</x:v>
      </x:c>
      <x:c r="E101" s="5" t="n">
        <x:f>0+0</x:f>
        <x:v>0</x:v>
      </x:c>
      <x:c r="F101" s="5" t="n">
        <x:f>0</x:f>
        <x:v>0</x:v>
      </x:c>
      <x:c r="G101" s="5" t="n">
        <x:f>MAX(-'00_Arquitectura'!$B$106,MIN('00_Arquitectura'!$B$106,E101+F101))</x:f>
        <x:v>0</x:v>
      </x:c>
      <x:c r="H101" s="5" t="n">
        <x:f>$O$17</x:f>
        <x:v>58.4</x:v>
      </x:c>
      <x:c r="I101" s="5" t="n">
        <x:f>0</x:f>
        <x:v>0</x:v>
      </x:c>
      <x:c r="J101" s="5" t="n">
        <x:f>MAX(-'00_Arquitectura'!$B$107,MIN('00_Arquitectura'!$B$107,0))</x:f>
        <x:v>0</x:v>
      </x:c>
      <x:c r="K101" s="5" t="n">
        <x:f>MAX(0,MIN(100,H101+I101+J101))</x:f>
        <x:v>58.4</x:v>
      </x:c>
      <x:c r="L101" s="5" t="str">
        <x:v>Derivado de caja: ingreso recurrente, gasto, intereses y deuda. Nunca SUM de efectos fiscales directos.</x:v>
      </x:c>
    </x:row>
    <x:row r="102" ht="34" customHeight="1">
      <x:c r="A102" s="10" t="str">
        <x:v>S1_EMISION</x:v>
      </x:c>
      <x:c r="B102" s="10" t="n">
        <x:v>3</x:v>
      </x:c>
      <x:c r="C102" s="10" t="str">
        <x:v>externo</x:v>
      </x:c>
      <x:c r="D102" s="10" t="n">
        <x:f>$H$88</x:f>
        <x:v>45</x:v>
      </x:c>
      <x:c r="E102" s="10" t="n">
        <x:f>0+0</x:f>
        <x:v>0</x:v>
      </x:c>
      <x:c r="F102" s="10" t="n">
        <x:f>0</x:f>
        <x:v>0</x:v>
      </x:c>
      <x:c r="G102" s="10" t="n">
        <x:f>MAX(-'00_Arquitectura'!$B$106,MIN('00_Arquitectura'!$B$106,E102+F102))</x:f>
        <x:v>0</x:v>
      </x:c>
      <x:c r="H102" s="10" t="n">
        <x:f>MAX(0,MIN(100,D102+G102))</x:f>
        <x:v>45</x:v>
      </x:c>
      <x:c r="I102" s="10" t="n">
        <x:f>0</x:f>
        <x:v>0</x:v>
      </x:c>
      <x:c r="J102" s="10" t="n">
        <x:f>MAX(-'00_Arquitectura'!$B$107,MIN('00_Arquitectura'!$B$107,$J$792))</x:f>
        <x:v>0</x:v>
      </x:c>
      <x:c r="K102" s="10" t="n">
        <x:f>MAX(0,MIN(100,H102+I102+J102))</x:f>
        <x:v>45</x:v>
      </x:c>
      <x:c r="L102" s="10" t="str">
        <x:v>Pulsos y offsets: filtrar Instancias por escenario, turno y targetId. Base separada del nivel visible.</x:v>
      </x:c>
    </x:row>
    <x:row r="103" ht="34" customHeight="1">
      <x:c r="A103" s="5" t="str">
        <x:v>S1_EMISION</x:v>
      </x:c>
      <x:c r="B103" s="5" t="n">
        <x:v>3</x:v>
      </x:c>
      <x:c r="C103" s="5" t="str">
        <x:v>infraestructura</x:v>
      </x:c>
      <x:c r="D103" s="5" t="n">
        <x:f>$H$89</x:f>
        <x:v>45</x:v>
      </x:c>
      <x:c r="E103" s="5" t="n">
        <x:f>0+0</x:f>
        <x:v>0</x:v>
      </x:c>
      <x:c r="F103" s="5" t="n">
        <x:f>0</x:f>
        <x:v>0</x:v>
      </x:c>
      <x:c r="G103" s="5" t="n">
        <x:f>MAX(-'00_Arquitectura'!$B$106,MIN('00_Arquitectura'!$B$106,E103+F103))</x:f>
        <x:v>0</x:v>
      </x:c>
      <x:c r="H103" s="5" t="n">
        <x:f>MAX(0,MIN(100,D103+G103))</x:f>
        <x:v>45</x:v>
      </x:c>
      <x:c r="I103" s="5" t="n">
        <x:f>0</x:f>
        <x:v>0</x:v>
      </x:c>
      <x:c r="J103" s="5" t="n">
        <x:f>MAX(-'00_Arquitectura'!$B$107,MIN('00_Arquitectura'!$B$107,0))</x:f>
        <x:v>0</x:v>
      </x:c>
      <x:c r="K103" s="5" t="n">
        <x:f>MAX(0,MIN(100,H103+I103+J103))</x:f>
        <x:v>45</x:v>
      </x:c>
      <x:c r="L103" s="5" t="str">
        <x:v>Pulsos y offsets: filtrar Instancias por escenario, turno y targetId. Base separada del nivel visible.</x:v>
      </x:c>
    </x:row>
    <x:row r="104" ht="34" customHeight="1">
      <x:c r="A104" s="10" t="str">
        <x:v>S1_EMISION</x:v>
      </x:c>
      <x:c r="B104" s="10" t="n">
        <x:v>3</x:v>
      </x:c>
      <x:c r="C104" s="10" t="str">
        <x:v>educacion</x:v>
      </x:c>
      <x:c r="D104" s="10" t="n">
        <x:f>$H$90</x:f>
        <x:v>50</x:v>
      </x:c>
      <x:c r="E104" s="10" t="n">
        <x:f>0+0</x:f>
        <x:v>0</x:v>
      </x:c>
      <x:c r="F104" s="10" t="n">
        <x:f>0</x:f>
        <x:v>0</x:v>
      </x:c>
      <x:c r="G104" s="10" t="n">
        <x:f>MAX(-'00_Arquitectura'!$B$106,MIN('00_Arquitectura'!$B$106,E104+F104))</x:f>
        <x:v>0</x:v>
      </x:c>
      <x:c r="H104" s="10" t="n">
        <x:f>MAX(0,MIN(100,D104+G104))</x:f>
        <x:v>50</x:v>
      </x:c>
      <x:c r="I104" s="10" t="n">
        <x:f>0</x:f>
        <x:v>0</x:v>
      </x:c>
      <x:c r="J104" s="10" t="n">
        <x:f>MAX(-'00_Arquitectura'!$B$107,MIN('00_Arquitectura'!$B$107,$J$799))</x:f>
        <x:v>0</x:v>
      </x:c>
      <x:c r="K104" s="10" t="n">
        <x:f>MAX(0,MIN(100,H104+I104+J104))</x:f>
        <x:v>50</x:v>
      </x:c>
      <x:c r="L104" s="10" t="str">
        <x:v>Pulsos y offsets: filtrar Instancias por escenario, turno y targetId. Base separada del nivel visible.</x:v>
      </x:c>
    </x:row>
    <x:row r="105" ht="34" customHeight="1">
      <x:c r="A105" s="5" t="str">
        <x:v>S1_EMISION</x:v>
      </x:c>
      <x:c r="B105" s="5" t="n">
        <x:v>3</x:v>
      </x:c>
      <x:c r="C105" s="5" t="str">
        <x:v>salud</x:v>
      </x:c>
      <x:c r="D105" s="5" t="n">
        <x:f>$H$91</x:f>
        <x:v>50</x:v>
      </x:c>
      <x:c r="E105" s="5" t="n">
        <x:f>0+0</x:f>
        <x:v>0</x:v>
      </x:c>
      <x:c r="F105" s="5" t="n">
        <x:f>0</x:f>
        <x:v>0</x:v>
      </x:c>
      <x:c r="G105" s="5" t="n">
        <x:f>MAX(-'00_Arquitectura'!$B$106,MIN('00_Arquitectura'!$B$106,E105+F105))</x:f>
        <x:v>0</x:v>
      </x:c>
      <x:c r="H105" s="5" t="n">
        <x:f>MAX(0,MIN(100,D105+G105))</x:f>
        <x:v>50</x:v>
      </x:c>
      <x:c r="I105" s="5" t="n">
        <x:f>0</x:f>
        <x:v>0</x:v>
      </x:c>
      <x:c r="J105" s="5" t="n">
        <x:f>MAX(-'00_Arquitectura'!$B$107,MIN('00_Arquitectura'!$B$107,0))</x:f>
        <x:v>0</x:v>
      </x:c>
      <x:c r="K105" s="5" t="n">
        <x:f>MAX(0,MIN(100,H105+I105+J105))</x:f>
        <x:v>50</x:v>
      </x:c>
      <x:c r="L105" s="5" t="str">
        <x:v>Pulsos y offsets: filtrar Instancias por escenario, turno y targetId. Base separada del nivel visible.</x:v>
      </x:c>
    </x:row>
    <x:row r="106" ht="34" customHeight="1">
      <x:c r="A106" s="10" t="str">
        <x:v>S1_EMISION</x:v>
      </x:c>
      <x:c r="B106" s="10" t="n">
        <x:v>3</x:v>
      </x:c>
      <x:c r="C106" s="10" t="str">
        <x:v>proteccion</x:v>
      </x:c>
      <x:c r="D106" s="10" t="n">
        <x:f>$H$92</x:f>
        <x:v>45</x:v>
      </x:c>
      <x:c r="E106" s="10" t="n">
        <x:f>0+0</x:f>
        <x:v>0</x:v>
      </x:c>
      <x:c r="F106" s="10" t="n">
        <x:f>0</x:f>
        <x:v>0</x:v>
      </x:c>
      <x:c r="G106" s="10" t="n">
        <x:f>MAX(-'00_Arquitectura'!$B$106,MIN('00_Arquitectura'!$B$106,E106+F106))</x:f>
        <x:v>0</x:v>
      </x:c>
      <x:c r="H106" s="10" t="n">
        <x:f>MAX(0,MIN(100,D106+G106))</x:f>
        <x:v>45</x:v>
      </x:c>
      <x:c r="I106" s="10" t="n">
        <x:f>0</x:f>
        <x:v>0</x:v>
      </x:c>
      <x:c r="J106" s="10" t="n">
        <x:f>MAX(-'00_Arquitectura'!$B$107,MIN('00_Arquitectura'!$B$107,$J$797+$J$801))</x:f>
        <x:v>0</x:v>
      </x:c>
      <x:c r="K106" s="10" t="n">
        <x:f>MAX(0,MIN(100,H106+I106+J106))</x:f>
        <x:v>45</x:v>
      </x:c>
      <x:c r="L106" s="10" t="str">
        <x:v>Pulsos y offsets: filtrar Instancias por escenario, turno y targetId. Base separada del nivel visible.</x:v>
      </x:c>
    </x:row>
    <x:row r="107" ht="34" customHeight="1">
      <x:c r="A107" s="5" t="str">
        <x:v>S1_EMISION</x:v>
      </x:c>
      <x:c r="B107" s="5" t="n">
        <x:v>3</x:v>
      </x:c>
      <x:c r="C107" s="5" t="str">
        <x:v>seguridad</x:v>
      </x:c>
      <x:c r="D107" s="5" t="n">
        <x:f>$H$93</x:f>
        <x:v>45</x:v>
      </x:c>
      <x:c r="E107" s="5" t="n">
        <x:f>0+0</x:f>
        <x:v>0</x:v>
      </x:c>
      <x:c r="F107" s="5" t="n">
        <x:f>0</x:f>
        <x:v>0</x:v>
      </x:c>
      <x:c r="G107" s="5" t="n">
        <x:f>MAX(-'00_Arquitectura'!$B$106,MIN('00_Arquitectura'!$B$106,E107+F107))</x:f>
        <x:v>0</x:v>
      </x:c>
      <x:c r="H107" s="5" t="n">
        <x:f>MAX(0,MIN(100,D107+G107))</x:f>
        <x:v>45</x:v>
      </x:c>
      <x:c r="I107" s="5" t="n">
        <x:f>0</x:f>
        <x:v>0</x:v>
      </x:c>
      <x:c r="J107" s="5" t="n">
        <x:f>MAX(-'00_Arquitectura'!$B$107,MIN('00_Arquitectura'!$B$107,0))</x:f>
        <x:v>0</x:v>
      </x:c>
      <x:c r="K107" s="5" t="n">
        <x:f>MAX(0,MIN(100,H107+I107+J107))</x:f>
        <x:v>45</x:v>
      </x:c>
      <x:c r="L107" s="5" t="str">
        <x:v>Pulsos y offsets: filtrar Instancias por escenario, turno y targetId. Base separada del nivel visible.</x:v>
      </x:c>
    </x:row>
    <x:row r="108" ht="34" customHeight="1">
      <x:c r="A108" s="10" t="str">
        <x:v>S1_EMISION</x:v>
      </x:c>
      <x:c r="B108" s="10" t="n">
        <x:v>3</x:v>
      </x:c>
      <x:c r="C108" s="10" t="str">
        <x:v>ciencia</x:v>
      </x:c>
      <x:c r="D108" s="10" t="n">
        <x:f>$H$94</x:f>
        <x:v>40</x:v>
      </x:c>
      <x:c r="E108" s="10" t="n">
        <x:f>0+0</x:f>
        <x:v>0</x:v>
      </x:c>
      <x:c r="F108" s="10" t="n">
        <x:f>0</x:f>
        <x:v>0</x:v>
      </x:c>
      <x:c r="G108" s="10" t="n">
        <x:f>MAX(-'00_Arquitectura'!$B$106,MIN('00_Arquitectura'!$B$106,E108+F108))</x:f>
        <x:v>0</x:v>
      </x:c>
      <x:c r="H108" s="10" t="n">
        <x:f>MAX(0,MIN(100,D108+G108))</x:f>
        <x:v>40</x:v>
      </x:c>
      <x:c r="I108" s="10" t="n">
        <x:f>0</x:f>
        <x:v>0</x:v>
      </x:c>
      <x:c r="J108" s="10" t="n">
        <x:f>MAX(-'00_Arquitectura'!$B$107,MIN('00_Arquitectura'!$B$107,$J$800))</x:f>
        <x:v>0</x:v>
      </x:c>
      <x:c r="K108" s="10" t="n">
        <x:f>MAX(0,MIN(100,H108+I108+J108))</x:f>
        <x:v>40</x:v>
      </x:c>
      <x:c r="L108" s="10" t="str">
        <x:v>Pulsos y offsets: filtrar Instancias por escenario, turno y targetId. Base separada del nivel visible.</x:v>
      </x:c>
    </x:row>
    <x:row r="109" ht="34" customHeight="1">
      <x:c r="A109" s="5" t="str">
        <x:v>S1_EMISION</x:v>
      </x:c>
      <x:c r="B109" s="5" t="n">
        <x:v>3</x:v>
      </x:c>
      <x:c r="C109" s="5" t="str">
        <x:v>derechos</x:v>
      </x:c>
      <x:c r="D109" s="5" t="n">
        <x:f>$H$95</x:f>
        <x:v>55</x:v>
      </x:c>
      <x:c r="E109" s="5" t="n">
        <x:f>0+0</x:f>
        <x:v>0</x:v>
      </x:c>
      <x:c r="F109" s="5" t="n">
        <x:f>0</x:f>
        <x:v>0</x:v>
      </x:c>
      <x:c r="G109" s="5" t="n">
        <x:f>MAX(-'00_Arquitectura'!$B$106,MIN('00_Arquitectura'!$B$106,E109+F109))</x:f>
        <x:v>0</x:v>
      </x:c>
      <x:c r="H109" s="5" t="n">
        <x:f>MAX(0,MIN(100,D109+G109))</x:f>
        <x:v>55</x:v>
      </x:c>
      <x:c r="I109" s="5" t="n">
        <x:f>0</x:f>
        <x:v>0</x:v>
      </x:c>
      <x:c r="J109" s="5" t="n">
        <x:f>MAX(-'00_Arquitectura'!$B$107,MIN('00_Arquitectura'!$B$107,0))</x:f>
        <x:v>0</x:v>
      </x:c>
      <x:c r="K109" s="5" t="n">
        <x:f>MAX(0,MIN(100,H109+I109+J109))</x:f>
        <x:v>55</x:v>
      </x:c>
      <x:c r="L109" s="5" t="str">
        <x:v>Pulsos y offsets: filtrar Instancias por escenario, turno y targetId. Base separada del nivel visible.</x:v>
      </x:c>
    </x:row>
    <x:row r="110" ht="34" customHeight="1">
      <x:c r="A110" s="10" t="str">
        <x:v>S1_EMISION</x:v>
      </x:c>
      <x:c r="B110" s="10" t="n">
        <x:v>3</x:v>
      </x:c>
      <x:c r="C110" s="10" t="str">
        <x:v>ambiente</x:v>
      </x:c>
      <x:c r="D110" s="10" t="n">
        <x:f>$H$96</x:f>
        <x:v>50</x:v>
      </x:c>
      <x:c r="E110" s="10" t="n">
        <x:f>0+0</x:f>
        <x:v>0</x:v>
      </x:c>
      <x:c r="F110" s="10" t="n">
        <x:f>0</x:f>
        <x:v>0</x:v>
      </x:c>
      <x:c r="G110" s="10" t="n">
        <x:f>MAX(-'00_Arquitectura'!$B$106,MIN('00_Arquitectura'!$B$106,E110+F110))</x:f>
        <x:v>0</x:v>
      </x:c>
      <x:c r="H110" s="10" t="n">
        <x:f>MAX(0,MIN(100,D110+G110))</x:f>
        <x:v>50</x:v>
      </x:c>
      <x:c r="I110" s="10" t="n">
        <x:f>0</x:f>
        <x:v>0</x:v>
      </x:c>
      <x:c r="J110" s="10" t="n">
        <x:f>MAX(-'00_Arquitectura'!$B$107,MIN('00_Arquitectura'!$B$107,0))</x:f>
        <x:v>0</x:v>
      </x:c>
      <x:c r="K110" s="10" t="n">
        <x:f>MAX(0,MIN(100,H110+I110+J110))</x:f>
        <x:v>50</x:v>
      </x:c>
      <x:c r="L110" s="10" t="str">
        <x:v>Pulsos y offsets: filtrar Instancias por escenario, turno y targetId. Base separada del nivel visible.</x:v>
      </x:c>
    </x:row>
    <x:row r="111" ht="42" customHeight="1">
      <x:c r="A111" s="5" t="str">
        <x:v>S1_EMISION</x:v>
      </x:c>
      <x:c r="B111" s="5" t="n">
        <x:v>4</x:v>
      </x:c>
      <x:c r="C111" s="5" t="str">
        <x:v>inflacion</x:v>
      </x:c>
      <x:c r="D111" s="5" t="n">
        <x:f>$H$97</x:f>
        <x:v>41.9</x:v>
      </x:c>
      <x:c r="E111" s="5" t="n">
        <x:f>SUM($I$1684,$I$1685)+0</x:f>
        <x:v>3</x:v>
      </x:c>
      <x:c r="F111" s="5" t="n">
        <x:f>-'00_Arquitectura'!$B$96*($H$97-40)</x:f>
        <x:v>-0.18999999999999986</x:v>
      </x:c>
      <x:c r="G111" s="5" t="n">
        <x:f>MAX(-'00_Arquitectura'!$B$106,MIN('00_Arquitectura'!$B$106,E111+F111))</x:f>
        <x:v>2.81</x:v>
      </x:c>
      <x:c r="H111" s="5" t="n">
        <x:f>MAX(0,MIN(100,D111+G111))</x:f>
        <x:v>44.71</x:v>
      </x:c>
      <x:c r="I111" s="5" t="n">
        <x:f>0</x:f>
        <x:v>0</x:v>
      </x:c>
      <x:c r="J111" s="5" t="n">
        <x:f>MAX(-'00_Arquitectura'!$B$107,MIN('00_Arquitectura'!$B$107,0))</x:f>
        <x:v>0</x:v>
      </x:c>
      <x:c r="K111" s="5" t="n">
        <x:f>MAX(0,MIN(100,H111+I111+J111))</x:f>
        <x:v>44.71</x:v>
      </x:c>
      <x:c r="L111" s="5" t="str">
        <x:v>Aplica link L01. Pulsos y offsets: filtrar Instancias por escenario, turno y targetId. Base separada del nivel visible.</x:v>
      </x:c>
    </x:row>
    <x:row r="112" ht="42" customHeight="1">
      <x:c r="A112" s="10" t="str">
        <x:v>S1_EMISION</x:v>
      </x:c>
      <x:c r="B112" s="10" t="n">
        <x:v>4</x:v>
      </x:c>
      <x:c r="C112" s="10" t="str">
        <x:v>actividad</x:v>
      </x:c>
      <x:c r="D112" s="10" t="n">
        <x:f>$H$98</x:f>
        <x:v>50</x:v>
      </x:c>
      <x:c r="E112" s="10" t="n">
        <x:f>0+0</x:f>
        <x:v>0</x:v>
      </x:c>
      <x:c r="F112" s="10" t="n">
        <x:f>-'00_Arquitectura'!$B$97*($H$98-50)+'00_Arquitectura'!$B$98*($K$100-45)+'00_Arquitectura'!$B$99*($K$103-45)+'00_Arquitectura'!$B$100*($K$102-45)</x:f>
        <x:v>-0.015360000000000014</x:v>
      </x:c>
      <x:c r="G112" s="10" t="n">
        <x:f>MAX(-'00_Arquitectura'!$B$106,MIN('00_Arquitectura'!$B$106,E112+F112))</x:f>
        <x:v>-0.015360000000000014</x:v>
      </x:c>
      <x:c r="H112" s="10" t="n">
        <x:f>MAX(0,MIN(100,D112+G112))</x:f>
        <x:v>49.98464</x:v>
      </x:c>
      <x:c r="I112" s="10" t="n">
        <x:f>0+'05_Efectos'!$E$7</x:f>
        <x:v>2</x:v>
      </x:c>
      <x:c r="J112" s="10" t="n">
        <x:f>MAX(-'00_Arquitectura'!$B$107,MIN('00_Arquitectura'!$B$107,$J$809+$J$812+$J$813))</x:f>
        <x:v>0</x:v>
      </x:c>
      <x:c r="K112" s="10" t="n">
        <x:f>MAX(0,MIN(100,H112+I112+J112))</x:f>
        <x:v>51.98464</x:v>
      </x:c>
      <x:c r="L112" s="10" t="str">
        <x:v>Aplica link L02. Pulsos y offsets: filtrar Instancias por escenario, turno y targetId. Base separada del nivel visible.</x:v>
      </x:c>
    </x:row>
    <x:row r="113" ht="42" customHeight="1">
      <x:c r="A113" s="5" t="str">
        <x:v>S1_EMISION</x:v>
      </x:c>
      <x:c r="B113" s="5" t="n">
        <x:v>4</x:v>
      </x:c>
      <x:c r="C113" s="5" t="str">
        <x:v>ingreso_real</x:v>
      </x:c>
      <x:c r="D113" s="5" t="n">
        <x:f>$H$99</x:f>
        <x:v>44.949999999999996</x:v>
      </x:c>
      <x:c r="E113" s="5" t="n">
        <x:f>0+0</x:f>
        <x:v>0</x:v>
      </x:c>
      <x:c r="F113" s="5" t="n">
        <x:f>'00_Arquitectura'!$B$101*($K$98-$K$84)+'00_Arquitectura'!$B$102*($K$97-$K$83)</x:f>
        <x:v>-0.3149999999999995</x:v>
      </x:c>
      <x:c r="G113" s="5" t="n">
        <x:f>MAX(-'00_Arquitectura'!$B$106,MIN('00_Arquitectura'!$B$106,E113+F113))</x:f>
        <x:v>-0.3149999999999995</x:v>
      </x:c>
      <x:c r="H113" s="5" t="n">
        <x:f>MAX(0,MIN(100,D113+G113))</x:f>
        <x:v>44.635</x:v>
      </x:c>
      <x:c r="I113" s="5" t="n">
        <x:f>0</x:f>
        <x:v>0</x:v>
      </x:c>
      <x:c r="J113" s="5" t="n">
        <x:f>MAX(-'00_Arquitectura'!$B$107,MIN('00_Arquitectura'!$B$107,0))</x:f>
        <x:v>0</x:v>
      </x:c>
      <x:c r="K113" s="5" t="n">
        <x:f>MAX(0,MIN(100,H113+I113+J113))</x:f>
        <x:v>44.635</x:v>
      </x:c>
      <x:c r="L113" s="5" t="str">
        <x:v>Aplica link L03. Pulsos y offsets: filtrar Instancias por escenario, turno y targetId. Base separada del nivel visible.</x:v>
      </x:c>
    </x:row>
    <x:row r="114" ht="42" customHeight="1">
      <x:c r="A114" s="10" t="str">
        <x:v>S1_EMISION</x:v>
      </x:c>
      <x:c r="B114" s="10" t="n">
        <x:v>4</x:v>
      </x:c>
      <x:c r="C114" s="10" t="str">
        <x:v>credito</x:v>
      </x:c>
      <x:c r="D114" s="10" t="n">
        <x:f>$H$100</x:f>
        <x:v>44.808</x:v>
      </x:c>
      <x:c r="E114" s="10" t="n">
        <x:f>0+0</x:f>
        <x:v>0</x:v>
      </x:c>
      <x:c r="F114" s="10" t="n">
        <x:f>-'00_Arquitectura'!$B$103*($H$100-45)+'00_Arquitectura'!$B$104*($K$97-$K$83)+'00_Arquitectura'!$B$105*($K$101-'00_Arquitectura'!$B$117)</x:f>
        <x:v>-0.14319999999999972</x:v>
      </x:c>
      <x:c r="G114" s="10" t="n">
        <x:f>MAX(-'00_Arquitectura'!$B$106,MIN('00_Arquitectura'!$B$106,E114+F114))</x:f>
        <x:v>-0.14319999999999972</x:v>
      </x:c>
      <x:c r="H114" s="10" t="n">
        <x:f>MAX(0,MIN(100,D114+G114))</x:f>
        <x:v>44.6648</x:v>
      </x:c>
      <x:c r="I114" s="10" t="n">
        <x:f>0</x:f>
        <x:v>0</x:v>
      </x:c>
      <x:c r="J114" s="10" t="n">
        <x:f>MAX(-'00_Arquitectura'!$B$107,MIN('00_Arquitectura'!$B$107,$J$811))</x:f>
        <x:v>0</x:v>
      </x:c>
      <x:c r="K114" s="10" t="n">
        <x:f>MAX(0,MIN(100,H114+I114+J114))</x:f>
        <x:v>44.6648</x:v>
      </x:c>
      <x:c r="L114" s="10" t="str">
        <x:v>Aplica link L04. Pulsos y offsets: filtrar Instancias por escenario, turno y targetId. Base separada del nivel visible.</x:v>
      </x:c>
    </x:row>
    <x:row r="115" ht="34" customHeight="1">
      <x:c r="A115" s="5" t="str">
        <x:v>S1_EMISION</x:v>
      </x:c>
      <x:c r="B115" s="5" t="n">
        <x:v>4</x:v>
      </x:c>
      <x:c r="C115" s="5" t="str">
        <x:v>fiscal</x:v>
      </x:c>
      <x:c r="D115" s="5" t="n">
        <x:f>$H$101</x:f>
        <x:v>58.4</x:v>
      </x:c>
      <x:c r="E115" s="5" t="n">
        <x:f>0+0</x:f>
        <x:v>0</x:v>
      </x:c>
      <x:c r="F115" s="5" t="n">
        <x:f>0</x:f>
        <x:v>0</x:v>
      </x:c>
      <x:c r="G115" s="5" t="n">
        <x:f>MAX(-'00_Arquitectura'!$B$106,MIN('00_Arquitectura'!$B$106,E115+F115))</x:f>
        <x:v>0</x:v>
      </x:c>
      <x:c r="H115" s="5" t="n">
        <x:f>$O$18</x:f>
        <x:v>58.4</x:v>
      </x:c>
      <x:c r="I115" s="5" t="n">
        <x:f>0</x:f>
        <x:v>0</x:v>
      </x:c>
      <x:c r="J115" s="5" t="n">
        <x:f>MAX(-'00_Arquitectura'!$B$107,MIN('00_Arquitectura'!$B$107,0))</x:f>
        <x:v>0</x:v>
      </x:c>
      <x:c r="K115" s="5" t="n">
        <x:f>MAX(0,MIN(100,H115+I115+J115))</x:f>
        <x:v>58.4</x:v>
      </x:c>
      <x:c r="L115" s="5" t="str">
        <x:v>Derivado de caja: ingreso recurrente, gasto, intereses y deuda. Nunca SUM de efectos fiscales directos.</x:v>
      </x:c>
    </x:row>
    <x:row r="116" ht="34" customHeight="1">
      <x:c r="A116" s="10" t="str">
        <x:v>S1_EMISION</x:v>
      </x:c>
      <x:c r="B116" s="10" t="n">
        <x:v>4</x:v>
      </x:c>
      <x:c r="C116" s="10" t="str">
        <x:v>externo</x:v>
      </x:c>
      <x:c r="D116" s="10" t="n">
        <x:f>$H$102</x:f>
        <x:v>45</x:v>
      </x:c>
      <x:c r="E116" s="10" t="n">
        <x:f>0+0</x:f>
        <x:v>0</x:v>
      </x:c>
      <x:c r="F116" s="10" t="n">
        <x:f>0</x:f>
        <x:v>0</x:v>
      </x:c>
      <x:c r="G116" s="10" t="n">
        <x:f>MAX(-'00_Arquitectura'!$B$106,MIN('00_Arquitectura'!$B$106,E116+F116))</x:f>
        <x:v>0</x:v>
      </x:c>
      <x:c r="H116" s="10" t="n">
        <x:f>MAX(0,MIN(100,D116+G116))</x:f>
        <x:v>45</x:v>
      </x:c>
      <x:c r="I116" s="10" t="n">
        <x:f>0</x:f>
        <x:v>0</x:v>
      </x:c>
      <x:c r="J116" s="10" t="n">
        <x:f>MAX(-'00_Arquitectura'!$B$107,MIN('00_Arquitectura'!$B$107,$J$810))</x:f>
        <x:v>0</x:v>
      </x:c>
      <x:c r="K116" s="10" t="n">
        <x:f>MAX(0,MIN(100,H116+I116+J116))</x:f>
        <x:v>45</x:v>
      </x:c>
      <x:c r="L116" s="10" t="str">
        <x:v>Pulsos y offsets: filtrar Instancias por escenario, turno y targetId. Base separada del nivel visible.</x:v>
      </x:c>
    </x:row>
    <x:row r="117" ht="34" customHeight="1">
      <x:c r="A117" s="5" t="str">
        <x:v>S1_EMISION</x:v>
      </x:c>
      <x:c r="B117" s="5" t="n">
        <x:v>4</x:v>
      </x:c>
      <x:c r="C117" s="5" t="str">
        <x:v>infraestructura</x:v>
      </x:c>
      <x:c r="D117" s="5" t="n">
        <x:f>$H$103</x:f>
        <x:v>45</x:v>
      </x:c>
      <x:c r="E117" s="5" t="n">
        <x:f>0+0</x:f>
        <x:v>0</x:v>
      </x:c>
      <x:c r="F117" s="5" t="n">
        <x:f>0</x:f>
        <x:v>0</x:v>
      </x:c>
      <x:c r="G117" s="5" t="n">
        <x:f>MAX(-'00_Arquitectura'!$B$106,MIN('00_Arquitectura'!$B$106,E117+F117))</x:f>
        <x:v>0</x:v>
      </x:c>
      <x:c r="H117" s="5" t="n">
        <x:f>MAX(0,MIN(100,D117+G117))</x:f>
        <x:v>45</x:v>
      </x:c>
      <x:c r="I117" s="5" t="n">
        <x:f>0</x:f>
        <x:v>0</x:v>
      </x:c>
      <x:c r="J117" s="5" t="n">
        <x:f>MAX(-'00_Arquitectura'!$B$107,MIN('00_Arquitectura'!$B$107,0))</x:f>
        <x:v>0</x:v>
      </x:c>
      <x:c r="K117" s="5" t="n">
        <x:f>MAX(0,MIN(100,H117+I117+J117))</x:f>
        <x:v>45</x:v>
      </x:c>
      <x:c r="L117" s="5" t="str">
        <x:v>Pulsos y offsets: filtrar Instancias por escenario, turno y targetId. Base separada del nivel visible.</x:v>
      </x:c>
    </x:row>
    <x:row r="118" ht="34" customHeight="1">
      <x:c r="A118" s="10" t="str">
        <x:v>S1_EMISION</x:v>
      </x:c>
      <x:c r="B118" s="10" t="n">
        <x:v>4</x:v>
      </x:c>
      <x:c r="C118" s="10" t="str">
        <x:v>educacion</x:v>
      </x:c>
      <x:c r="D118" s="10" t="n">
        <x:f>$H$104</x:f>
        <x:v>50</x:v>
      </x:c>
      <x:c r="E118" s="10" t="n">
        <x:f>0+0</x:f>
        <x:v>0</x:v>
      </x:c>
      <x:c r="F118" s="10" t="n">
        <x:f>0</x:f>
        <x:v>0</x:v>
      </x:c>
      <x:c r="G118" s="10" t="n">
        <x:f>MAX(-'00_Arquitectura'!$B$106,MIN('00_Arquitectura'!$B$106,E118+F118))</x:f>
        <x:v>0</x:v>
      </x:c>
      <x:c r="H118" s="10" t="n">
        <x:f>MAX(0,MIN(100,D118+G118))</x:f>
        <x:v>50</x:v>
      </x:c>
      <x:c r="I118" s="10" t="n">
        <x:f>0</x:f>
        <x:v>0</x:v>
      </x:c>
      <x:c r="J118" s="10" t="n">
        <x:f>MAX(-'00_Arquitectura'!$B$107,MIN('00_Arquitectura'!$B$107,$J$817))</x:f>
        <x:v>0</x:v>
      </x:c>
      <x:c r="K118" s="10" t="n">
        <x:f>MAX(0,MIN(100,H118+I118+J118))</x:f>
        <x:v>50</x:v>
      </x:c>
      <x:c r="L118" s="10" t="str">
        <x:v>Pulsos y offsets: filtrar Instancias por escenario, turno y targetId. Base separada del nivel visible.</x:v>
      </x:c>
    </x:row>
    <x:row r="119" ht="34" customHeight="1">
      <x:c r="A119" s="5" t="str">
        <x:v>S1_EMISION</x:v>
      </x:c>
      <x:c r="B119" s="5" t="n">
        <x:v>4</x:v>
      </x:c>
      <x:c r="C119" s="5" t="str">
        <x:v>salud</x:v>
      </x:c>
      <x:c r="D119" s="5" t="n">
        <x:f>$H$105</x:f>
        <x:v>50</x:v>
      </x:c>
      <x:c r="E119" s="5" t="n">
        <x:f>0+0</x:f>
        <x:v>0</x:v>
      </x:c>
      <x:c r="F119" s="5" t="n">
        <x:f>0</x:f>
        <x:v>0</x:v>
      </x:c>
      <x:c r="G119" s="5" t="n">
        <x:f>MAX(-'00_Arquitectura'!$B$106,MIN('00_Arquitectura'!$B$106,E119+F119))</x:f>
        <x:v>0</x:v>
      </x:c>
      <x:c r="H119" s="5" t="n">
        <x:f>MAX(0,MIN(100,D119+G119))</x:f>
        <x:v>50</x:v>
      </x:c>
      <x:c r="I119" s="5" t="n">
        <x:f>0</x:f>
        <x:v>0</x:v>
      </x:c>
      <x:c r="J119" s="5" t="n">
        <x:f>MAX(-'00_Arquitectura'!$B$107,MIN('00_Arquitectura'!$B$107,0))</x:f>
        <x:v>0</x:v>
      </x:c>
      <x:c r="K119" s="5" t="n">
        <x:f>MAX(0,MIN(100,H119+I119+J119))</x:f>
        <x:v>50</x:v>
      </x:c>
      <x:c r="L119" s="5" t="str">
        <x:v>Pulsos y offsets: filtrar Instancias por escenario, turno y targetId. Base separada del nivel visible.</x:v>
      </x:c>
    </x:row>
    <x:row r="120" ht="34" customHeight="1">
      <x:c r="A120" s="10" t="str">
        <x:v>S1_EMISION</x:v>
      </x:c>
      <x:c r="B120" s="10" t="n">
        <x:v>4</x:v>
      </x:c>
      <x:c r="C120" s="10" t="str">
        <x:v>proteccion</x:v>
      </x:c>
      <x:c r="D120" s="10" t="n">
        <x:f>$H$106</x:f>
        <x:v>45</x:v>
      </x:c>
      <x:c r="E120" s="10" t="n">
        <x:f>0+0</x:f>
        <x:v>0</x:v>
      </x:c>
      <x:c r="F120" s="10" t="n">
        <x:f>0</x:f>
        <x:v>0</x:v>
      </x:c>
      <x:c r="G120" s="10" t="n">
        <x:f>MAX(-'00_Arquitectura'!$B$106,MIN('00_Arquitectura'!$B$106,E120+F120))</x:f>
        <x:v>0</x:v>
      </x:c>
      <x:c r="H120" s="10" t="n">
        <x:f>MAX(0,MIN(100,D120+G120))</x:f>
        <x:v>45</x:v>
      </x:c>
      <x:c r="I120" s="10" t="n">
        <x:f>0</x:f>
        <x:v>0</x:v>
      </x:c>
      <x:c r="J120" s="10" t="n">
        <x:f>MAX(-'00_Arquitectura'!$B$107,MIN('00_Arquitectura'!$B$107,$J$815+$J$819))</x:f>
        <x:v>0</x:v>
      </x:c>
      <x:c r="K120" s="10" t="n">
        <x:f>MAX(0,MIN(100,H120+I120+J120))</x:f>
        <x:v>45</x:v>
      </x:c>
      <x:c r="L120" s="10" t="str">
        <x:v>Pulsos y offsets: filtrar Instancias por escenario, turno y targetId. Base separada del nivel visible.</x:v>
      </x:c>
    </x:row>
    <x:row r="121" ht="34" customHeight="1">
      <x:c r="A121" s="5" t="str">
        <x:v>S1_EMISION</x:v>
      </x:c>
      <x:c r="B121" s="5" t="n">
        <x:v>4</x:v>
      </x:c>
      <x:c r="C121" s="5" t="str">
        <x:v>seguridad</x:v>
      </x:c>
      <x:c r="D121" s="5" t="n">
        <x:f>$H$107</x:f>
        <x:v>45</x:v>
      </x:c>
      <x:c r="E121" s="5" t="n">
        <x:f>0+0</x:f>
        <x:v>0</x:v>
      </x:c>
      <x:c r="F121" s="5" t="n">
        <x:f>0</x:f>
        <x:v>0</x:v>
      </x:c>
      <x:c r="G121" s="5" t="n">
        <x:f>MAX(-'00_Arquitectura'!$B$106,MIN('00_Arquitectura'!$B$106,E121+F121))</x:f>
        <x:v>0</x:v>
      </x:c>
      <x:c r="H121" s="5" t="n">
        <x:f>MAX(0,MIN(100,D121+G121))</x:f>
        <x:v>45</x:v>
      </x:c>
      <x:c r="I121" s="5" t="n">
        <x:f>0</x:f>
        <x:v>0</x:v>
      </x:c>
      <x:c r="J121" s="5" t="n">
        <x:f>MAX(-'00_Arquitectura'!$B$107,MIN('00_Arquitectura'!$B$107,0))</x:f>
        <x:v>0</x:v>
      </x:c>
      <x:c r="K121" s="5" t="n">
        <x:f>MAX(0,MIN(100,H121+I121+J121))</x:f>
        <x:v>45</x:v>
      </x:c>
      <x:c r="L121" s="5" t="str">
        <x:v>Pulsos y offsets: filtrar Instancias por escenario, turno y targetId. Base separada del nivel visible.</x:v>
      </x:c>
    </x:row>
    <x:row r="122" ht="34" customHeight="1">
      <x:c r="A122" s="10" t="str">
        <x:v>S1_EMISION</x:v>
      </x:c>
      <x:c r="B122" s="10" t="n">
        <x:v>4</x:v>
      </x:c>
      <x:c r="C122" s="10" t="str">
        <x:v>ciencia</x:v>
      </x:c>
      <x:c r="D122" s="10" t="n">
        <x:f>$H$108</x:f>
        <x:v>40</x:v>
      </x:c>
      <x:c r="E122" s="10" t="n">
        <x:f>0+0</x:f>
        <x:v>0</x:v>
      </x:c>
      <x:c r="F122" s="10" t="n">
        <x:f>0</x:f>
        <x:v>0</x:v>
      </x:c>
      <x:c r="G122" s="10" t="n">
        <x:f>MAX(-'00_Arquitectura'!$B$106,MIN('00_Arquitectura'!$B$106,E122+F122))</x:f>
        <x:v>0</x:v>
      </x:c>
      <x:c r="H122" s="10" t="n">
        <x:f>MAX(0,MIN(100,D122+G122))</x:f>
        <x:v>40</x:v>
      </x:c>
      <x:c r="I122" s="10" t="n">
        <x:f>0</x:f>
        <x:v>0</x:v>
      </x:c>
      <x:c r="J122" s="10" t="n">
        <x:f>MAX(-'00_Arquitectura'!$B$107,MIN('00_Arquitectura'!$B$107,$J$818))</x:f>
        <x:v>0</x:v>
      </x:c>
      <x:c r="K122" s="10" t="n">
        <x:f>MAX(0,MIN(100,H122+I122+J122))</x:f>
        <x:v>40</x:v>
      </x:c>
      <x:c r="L122" s="10" t="str">
        <x:v>Pulsos y offsets: filtrar Instancias por escenario, turno y targetId. Base separada del nivel visible.</x:v>
      </x:c>
    </x:row>
    <x:row r="123" ht="34" customHeight="1">
      <x:c r="A123" s="5" t="str">
        <x:v>S1_EMISION</x:v>
      </x:c>
      <x:c r="B123" s="5" t="n">
        <x:v>4</x:v>
      </x:c>
      <x:c r="C123" s="5" t="str">
        <x:v>derechos</x:v>
      </x:c>
      <x:c r="D123" s="5" t="n">
        <x:f>$H$109</x:f>
        <x:v>55</x:v>
      </x:c>
      <x:c r="E123" s="5" t="n">
        <x:f>0+0</x:f>
        <x:v>0</x:v>
      </x:c>
      <x:c r="F123" s="5" t="n">
        <x:f>0</x:f>
        <x:v>0</x:v>
      </x:c>
      <x:c r="G123" s="5" t="n">
        <x:f>MAX(-'00_Arquitectura'!$B$106,MIN('00_Arquitectura'!$B$106,E123+F123))</x:f>
        <x:v>0</x:v>
      </x:c>
      <x:c r="H123" s="5" t="n">
        <x:f>MAX(0,MIN(100,D123+G123))</x:f>
        <x:v>55</x:v>
      </x:c>
      <x:c r="I123" s="5" t="n">
        <x:f>0</x:f>
        <x:v>0</x:v>
      </x:c>
      <x:c r="J123" s="5" t="n">
        <x:f>MAX(-'00_Arquitectura'!$B$107,MIN('00_Arquitectura'!$B$107,0))</x:f>
        <x:v>0</x:v>
      </x:c>
      <x:c r="K123" s="5" t="n">
        <x:f>MAX(0,MIN(100,H123+I123+J123))</x:f>
        <x:v>55</x:v>
      </x:c>
      <x:c r="L123" s="5" t="str">
        <x:v>Pulsos y offsets: filtrar Instancias por escenario, turno y targetId. Base separada del nivel visible.</x:v>
      </x:c>
    </x:row>
    <x:row r="124" ht="34" customHeight="1">
      <x:c r="A124" s="10" t="str">
        <x:v>S1_EMISION</x:v>
      </x:c>
      <x:c r="B124" s="10" t="n">
        <x:v>4</x:v>
      </x:c>
      <x:c r="C124" s="10" t="str">
        <x:v>ambiente</x:v>
      </x:c>
      <x:c r="D124" s="10" t="n">
        <x:f>$H$110</x:f>
        <x:v>50</x:v>
      </x:c>
      <x:c r="E124" s="10" t="n">
        <x:f>0+0</x:f>
        <x:v>0</x:v>
      </x:c>
      <x:c r="F124" s="10" t="n">
        <x:f>0</x:f>
        <x:v>0</x:v>
      </x:c>
      <x:c r="G124" s="10" t="n">
        <x:f>MAX(-'00_Arquitectura'!$B$106,MIN('00_Arquitectura'!$B$106,E124+F124))</x:f>
        <x:v>0</x:v>
      </x:c>
      <x:c r="H124" s="10" t="n">
        <x:f>MAX(0,MIN(100,D124+G124))</x:f>
        <x:v>50</x:v>
      </x:c>
      <x:c r="I124" s="10" t="n">
        <x:f>0</x:f>
        <x:v>0</x:v>
      </x:c>
      <x:c r="J124" s="10" t="n">
        <x:f>MAX(-'00_Arquitectura'!$B$107,MIN('00_Arquitectura'!$B$107,0))</x:f>
        <x:v>0</x:v>
      </x:c>
      <x:c r="K124" s="10" t="n">
        <x:f>MAX(0,MIN(100,H124+I124+J124))</x:f>
        <x:v>50</x:v>
      </x:c>
      <x:c r="L124" s="10" t="str">
        <x:v>Pulsos y offsets: filtrar Instancias por escenario, turno y targetId. Base separada del nivel visible.</x:v>
      </x:c>
    </x:row>
    <x:row r="125" ht="42" customHeight="1">
      <x:c r="A125" s="5" t="str">
        <x:v>S1_EMISION</x:v>
      </x:c>
      <x:c r="B125" s="5" t="n">
        <x:v>5</x:v>
      </x:c>
      <x:c r="C125" s="5" t="str">
        <x:v>inflacion</x:v>
      </x:c>
      <x:c r="D125" s="5" t="n">
        <x:f>$H$111</x:f>
        <x:v>44.71</x:v>
      </x:c>
      <x:c r="E125" s="5" t="n">
        <x:f>SUM($I$1687,$I$1688)+0</x:f>
        <x:v>9</x:v>
      </x:c>
      <x:c r="F125" s="5" t="n">
        <x:f>-'00_Arquitectura'!$B$96*($H$111-40)</x:f>
        <x:v>-0.4710000000000001</x:v>
      </x:c>
      <x:c r="G125" s="5" t="n">
        <x:f>MAX(-'00_Arquitectura'!$B$106,MIN('00_Arquitectura'!$B$106,E125+F125))</x:f>
        <x:v>8.529</x:v>
      </x:c>
      <x:c r="H125" s="5" t="n">
        <x:f>MAX(0,MIN(100,D125+G125))</x:f>
        <x:v>53.239000000000004</x:v>
      </x:c>
      <x:c r="I125" s="5" t="n">
        <x:f>0</x:f>
        <x:v>0</x:v>
      </x:c>
      <x:c r="J125" s="5" t="n">
        <x:f>MAX(-'00_Arquitectura'!$B$107,MIN('00_Arquitectura'!$B$107,0))</x:f>
        <x:v>0</x:v>
      </x:c>
      <x:c r="K125" s="5" t="n">
        <x:f>MAX(0,MIN(100,H125+I125+J125))</x:f>
        <x:v>53.239000000000004</x:v>
      </x:c>
      <x:c r="L125" s="5" t="str">
        <x:v>Aplica link L01. Pulsos y offsets: filtrar Instancias por escenario, turno y targetId. Base separada del nivel visible.</x:v>
      </x:c>
    </x:row>
    <x:row r="126" ht="42" customHeight="1">
      <x:c r="A126" s="10" t="str">
        <x:v>S1_EMISION</x:v>
      </x:c>
      <x:c r="B126" s="10" t="n">
        <x:v>5</x:v>
      </x:c>
      <x:c r="C126" s="10" t="str">
        <x:v>actividad</x:v>
      </x:c>
      <x:c r="D126" s="10" t="n">
        <x:f>$H$112</x:f>
        <x:v>49.98464</x:v>
      </x:c>
      <x:c r="E126" s="10" t="n">
        <x:f>0+0</x:f>
        <x:v>0</x:v>
      </x:c>
      <x:c r="F126" s="10" t="n">
        <x:f>-'00_Arquitectura'!$B$97*($H$112-50)+'00_Arquitectura'!$B$98*($K$114-45)+'00_Arquitectura'!$B$99*($K$117-45)+'00_Arquitectura'!$B$100*($K$116-45)</x:f>
        <x:v>-0.0237439999999998</x:v>
      </x:c>
      <x:c r="G126" s="10" t="n">
        <x:f>MAX(-'00_Arquitectura'!$B$106,MIN('00_Arquitectura'!$B$106,E126+F126))</x:f>
        <x:v>-0.0237439999999998</x:v>
      </x:c>
      <x:c r="H126" s="10" t="n">
        <x:f>MAX(0,MIN(100,D126+G126))</x:f>
        <x:v>49.960896</x:v>
      </x:c>
      <x:c r="I126" s="10" t="n">
        <x:f>0+'05_Efectos'!$E$7</x:f>
        <x:v>2</x:v>
      </x:c>
      <x:c r="J126" s="10" t="n">
        <x:f>MAX(-'00_Arquitectura'!$B$107,MIN('00_Arquitectura'!$B$107,$J$827+$J$830+$J$831))</x:f>
        <x:v>0</x:v>
      </x:c>
      <x:c r="K126" s="10" t="n">
        <x:f>MAX(0,MIN(100,H126+I126+J126))</x:f>
        <x:v>51.960896</x:v>
      </x:c>
      <x:c r="L126" s="10" t="str">
        <x:v>Aplica link L02. Pulsos y offsets: filtrar Instancias por escenario, turno y targetId. Base separada del nivel visible.</x:v>
      </x:c>
    </x:row>
    <x:row r="127" ht="42" customHeight="1">
      <x:c r="A127" s="5" t="str">
        <x:v>S1_EMISION</x:v>
      </x:c>
      <x:c r="B127" s="5" t="n">
        <x:v>5</x:v>
      </x:c>
      <x:c r="C127" s="5" t="str">
        <x:v>ingreso_real</x:v>
      </x:c>
      <x:c r="D127" s="5" t="n">
        <x:f>$H$113</x:f>
        <x:v>44.635</x:v>
      </x:c>
      <x:c r="E127" s="5" t="n">
        <x:f>0+0</x:f>
        <x:v>0</x:v>
      </x:c>
      <x:c r="F127" s="5" t="n">
        <x:f>'00_Arquitectura'!$B$101*($K$112-$K$98)+'00_Arquitectura'!$B$102*($K$111-$K$97)</x:f>
        <x:v>-0.9858040000000009</x:v>
      </x:c>
      <x:c r="G127" s="5" t="n">
        <x:f>MAX(-'00_Arquitectura'!$B$106,MIN('00_Arquitectura'!$B$106,E127+F127))</x:f>
        <x:v>-0.9858040000000009</x:v>
      </x:c>
      <x:c r="H127" s="5" t="n">
        <x:f>MAX(0,MIN(100,D127+G127))</x:f>
        <x:v>43.649195999999996</x:v>
      </x:c>
      <x:c r="I127" s="5" t="n">
        <x:f>0</x:f>
        <x:v>0</x:v>
      </x:c>
      <x:c r="J127" s="5" t="n">
        <x:f>MAX(-'00_Arquitectura'!$B$107,MIN('00_Arquitectura'!$B$107,0))</x:f>
        <x:v>0</x:v>
      </x:c>
      <x:c r="K127" s="5" t="n">
        <x:f>MAX(0,MIN(100,H127+I127+J127))</x:f>
        <x:v>43.649195999999996</x:v>
      </x:c>
      <x:c r="L127" s="5" t="str">
        <x:v>Aplica link L03. Pulsos y offsets: filtrar Instancias por escenario, turno y targetId. Base separada del nivel visible.</x:v>
      </x:c>
    </x:row>
    <x:row r="128" ht="42" customHeight="1">
      <x:c r="A128" s="10" t="str">
        <x:v>S1_EMISION</x:v>
      </x:c>
      <x:c r="B128" s="10" t="n">
        <x:v>5</x:v>
      </x:c>
      <x:c r="C128" s="10" t="str">
        <x:v>credito</x:v>
      </x:c>
      <x:c r="D128" s="10" t="n">
        <x:f>$H$114</x:f>
        <x:v>44.6648</x:v>
      </x:c>
      <x:c r="E128" s="10" t="n">
        <x:f>0+0</x:f>
        <x:v>0</x:v>
      </x:c>
      <x:c r="F128" s="10" t="n">
        <x:f>-'00_Arquitectura'!$B$103*($H$114-45)+'00_Arquitectura'!$B$104*($K$111-$K$97)+'00_Arquitectura'!$B$105*($K$115-'00_Arquitectura'!$B$117)</x:f>
        <x:v>-0.5037200000000004</x:v>
      </x:c>
      <x:c r="G128" s="10" t="n">
        <x:f>MAX(-'00_Arquitectura'!$B$106,MIN('00_Arquitectura'!$B$106,E128+F128))</x:f>
        <x:v>-0.5037200000000004</x:v>
      </x:c>
      <x:c r="H128" s="10" t="n">
        <x:f>MAX(0,MIN(100,D128+G128))</x:f>
        <x:v>44.16108</x:v>
      </x:c>
      <x:c r="I128" s="10" t="n">
        <x:f>0</x:f>
        <x:v>0</x:v>
      </x:c>
      <x:c r="J128" s="10" t="n">
        <x:f>MAX(-'00_Arquitectura'!$B$107,MIN('00_Arquitectura'!$B$107,$J$829))</x:f>
        <x:v>0</x:v>
      </x:c>
      <x:c r="K128" s="10" t="n">
        <x:f>MAX(0,MIN(100,H128+I128+J128))</x:f>
        <x:v>44.16108</x:v>
      </x:c>
      <x:c r="L128" s="10" t="str">
        <x:v>Aplica link L04. Pulsos y offsets: filtrar Instancias por escenario, turno y targetId. Base separada del nivel visible.</x:v>
      </x:c>
    </x:row>
    <x:row r="129" ht="34" customHeight="1">
      <x:c r="A129" s="5" t="str">
        <x:v>S1_EMISION</x:v>
      </x:c>
      <x:c r="B129" s="5" t="n">
        <x:v>5</x:v>
      </x:c>
      <x:c r="C129" s="5" t="str">
        <x:v>fiscal</x:v>
      </x:c>
      <x:c r="D129" s="5" t="n">
        <x:f>$H$115</x:f>
        <x:v>58.4</x:v>
      </x:c>
      <x:c r="E129" s="5" t="n">
        <x:f>0+0</x:f>
        <x:v>0</x:v>
      </x:c>
      <x:c r="F129" s="5" t="n">
        <x:f>0</x:f>
        <x:v>0</x:v>
      </x:c>
      <x:c r="G129" s="5" t="n">
        <x:f>MAX(-'00_Arquitectura'!$B$106,MIN('00_Arquitectura'!$B$106,E129+F129))</x:f>
        <x:v>0</x:v>
      </x:c>
      <x:c r="H129" s="5" t="n">
        <x:f>$O$19</x:f>
        <x:v>58.396928</x:v>
      </x:c>
      <x:c r="I129" s="5" t="n">
        <x:f>0</x:f>
        <x:v>0</x:v>
      </x:c>
      <x:c r="J129" s="5" t="n">
        <x:f>MAX(-'00_Arquitectura'!$B$107,MIN('00_Arquitectura'!$B$107,0))</x:f>
        <x:v>0</x:v>
      </x:c>
      <x:c r="K129" s="5" t="n">
        <x:f>MAX(0,MIN(100,H129+I129+J129))</x:f>
        <x:v>58.396928</x:v>
      </x:c>
      <x:c r="L129" s="5" t="str">
        <x:v>Derivado de caja: ingreso recurrente, gasto, intereses y deuda. Nunca SUM de efectos fiscales directos.</x:v>
      </x:c>
    </x:row>
    <x:row r="130" ht="34" customHeight="1">
      <x:c r="A130" s="10" t="str">
        <x:v>S1_EMISION</x:v>
      </x:c>
      <x:c r="B130" s="10" t="n">
        <x:v>5</x:v>
      </x:c>
      <x:c r="C130" s="10" t="str">
        <x:v>externo</x:v>
      </x:c>
      <x:c r="D130" s="10" t="n">
        <x:f>$H$116</x:f>
        <x:v>45</x:v>
      </x:c>
      <x:c r="E130" s="10" t="n">
        <x:f>0+0</x:f>
        <x:v>0</x:v>
      </x:c>
      <x:c r="F130" s="10" t="n">
        <x:f>0</x:f>
        <x:v>0</x:v>
      </x:c>
      <x:c r="G130" s="10" t="n">
        <x:f>MAX(-'00_Arquitectura'!$B$106,MIN('00_Arquitectura'!$B$106,E130+F130))</x:f>
        <x:v>0</x:v>
      </x:c>
      <x:c r="H130" s="10" t="n">
        <x:f>MAX(0,MIN(100,D130+G130))</x:f>
        <x:v>45</x:v>
      </x:c>
      <x:c r="I130" s="10" t="n">
        <x:f>0</x:f>
        <x:v>0</x:v>
      </x:c>
      <x:c r="J130" s="10" t="n">
        <x:f>MAX(-'00_Arquitectura'!$B$107,MIN('00_Arquitectura'!$B$107,$J$828))</x:f>
        <x:v>0</x:v>
      </x:c>
      <x:c r="K130" s="10" t="n">
        <x:f>MAX(0,MIN(100,H130+I130+J130))</x:f>
        <x:v>45</x:v>
      </x:c>
      <x:c r="L130" s="10" t="str">
        <x:v>Pulsos y offsets: filtrar Instancias por escenario, turno y targetId. Base separada del nivel visible.</x:v>
      </x:c>
    </x:row>
    <x:row r="131" ht="34" customHeight="1">
      <x:c r="A131" s="5" t="str">
        <x:v>S1_EMISION</x:v>
      </x:c>
      <x:c r="B131" s="5" t="n">
        <x:v>5</x:v>
      </x:c>
      <x:c r="C131" s="5" t="str">
        <x:v>infraestructura</x:v>
      </x:c>
      <x:c r="D131" s="5" t="n">
        <x:f>$H$117</x:f>
        <x:v>45</x:v>
      </x:c>
      <x:c r="E131" s="5" t="n">
        <x:f>0+0</x:f>
        <x:v>0</x:v>
      </x:c>
      <x:c r="F131" s="5" t="n">
        <x:f>0</x:f>
        <x:v>0</x:v>
      </x:c>
      <x:c r="G131" s="5" t="n">
        <x:f>MAX(-'00_Arquitectura'!$B$106,MIN('00_Arquitectura'!$B$106,E131+F131))</x:f>
        <x:v>0</x:v>
      </x:c>
      <x:c r="H131" s="5" t="n">
        <x:f>MAX(0,MIN(100,D131+G131))</x:f>
        <x:v>45</x:v>
      </x:c>
      <x:c r="I131" s="5" t="n">
        <x:f>0</x:f>
        <x:v>0</x:v>
      </x:c>
      <x:c r="J131" s="5" t="n">
        <x:f>MAX(-'00_Arquitectura'!$B$107,MIN('00_Arquitectura'!$B$107,0))</x:f>
        <x:v>0</x:v>
      </x:c>
      <x:c r="K131" s="5" t="n">
        <x:f>MAX(0,MIN(100,H131+I131+J131))</x:f>
        <x:v>45</x:v>
      </x:c>
      <x:c r="L131" s="5" t="str">
        <x:v>Pulsos y offsets: filtrar Instancias por escenario, turno y targetId. Base separada del nivel visible.</x:v>
      </x:c>
    </x:row>
    <x:row r="132" ht="34" customHeight="1">
      <x:c r="A132" s="10" t="str">
        <x:v>S1_EMISION</x:v>
      </x:c>
      <x:c r="B132" s="10" t="n">
        <x:v>5</x:v>
      </x:c>
      <x:c r="C132" s="10" t="str">
        <x:v>educacion</x:v>
      </x:c>
      <x:c r="D132" s="10" t="n">
        <x:f>$H$118</x:f>
        <x:v>50</x:v>
      </x:c>
      <x:c r="E132" s="10" t="n">
        <x:f>0+0</x:f>
        <x:v>0</x:v>
      </x:c>
      <x:c r="F132" s="10" t="n">
        <x:f>0</x:f>
        <x:v>0</x:v>
      </x:c>
      <x:c r="G132" s="10" t="n">
        <x:f>MAX(-'00_Arquitectura'!$B$106,MIN('00_Arquitectura'!$B$106,E132+F132))</x:f>
        <x:v>0</x:v>
      </x:c>
      <x:c r="H132" s="10" t="n">
        <x:f>MAX(0,MIN(100,D132+G132))</x:f>
        <x:v>50</x:v>
      </x:c>
      <x:c r="I132" s="10" t="n">
        <x:f>0</x:f>
        <x:v>0</x:v>
      </x:c>
      <x:c r="J132" s="10" t="n">
        <x:f>MAX(-'00_Arquitectura'!$B$107,MIN('00_Arquitectura'!$B$107,$J$835))</x:f>
        <x:v>0</x:v>
      </x:c>
      <x:c r="K132" s="10" t="n">
        <x:f>MAX(0,MIN(100,H132+I132+J132))</x:f>
        <x:v>50</x:v>
      </x:c>
      <x:c r="L132" s="10" t="str">
        <x:v>Pulsos y offsets: filtrar Instancias por escenario, turno y targetId. Base separada del nivel visible.</x:v>
      </x:c>
    </x:row>
    <x:row r="133" ht="34" customHeight="1">
      <x:c r="A133" s="5" t="str">
        <x:v>S1_EMISION</x:v>
      </x:c>
      <x:c r="B133" s="5" t="n">
        <x:v>5</x:v>
      </x:c>
      <x:c r="C133" s="5" t="str">
        <x:v>salud</x:v>
      </x:c>
      <x:c r="D133" s="5" t="n">
        <x:f>$H$119</x:f>
        <x:v>50</x:v>
      </x:c>
      <x:c r="E133" s="5" t="n">
        <x:f>0+0</x:f>
        <x:v>0</x:v>
      </x:c>
      <x:c r="F133" s="5" t="n">
        <x:f>0</x:f>
        <x:v>0</x:v>
      </x:c>
      <x:c r="G133" s="5" t="n">
        <x:f>MAX(-'00_Arquitectura'!$B$106,MIN('00_Arquitectura'!$B$106,E133+F133))</x:f>
        <x:v>0</x:v>
      </x:c>
      <x:c r="H133" s="5" t="n">
        <x:f>MAX(0,MIN(100,D133+G133))</x:f>
        <x:v>50</x:v>
      </x:c>
      <x:c r="I133" s="5" t="n">
        <x:f>0</x:f>
        <x:v>0</x:v>
      </x:c>
      <x:c r="J133" s="5" t="n">
        <x:f>MAX(-'00_Arquitectura'!$B$107,MIN('00_Arquitectura'!$B$107,0))</x:f>
        <x:v>0</x:v>
      </x:c>
      <x:c r="K133" s="5" t="n">
        <x:f>MAX(0,MIN(100,H133+I133+J133))</x:f>
        <x:v>50</x:v>
      </x:c>
      <x:c r="L133" s="5" t="str">
        <x:v>Pulsos y offsets: filtrar Instancias por escenario, turno y targetId. Base separada del nivel visible.</x:v>
      </x:c>
    </x:row>
    <x:row r="134" ht="34" customHeight="1">
      <x:c r="A134" s="10" t="str">
        <x:v>S1_EMISION</x:v>
      </x:c>
      <x:c r="B134" s="10" t="n">
        <x:v>5</x:v>
      </x:c>
      <x:c r="C134" s="10" t="str">
        <x:v>proteccion</x:v>
      </x:c>
      <x:c r="D134" s="10" t="n">
        <x:f>$H$120</x:f>
        <x:v>45</x:v>
      </x:c>
      <x:c r="E134" s="10" t="n">
        <x:f>0+0</x:f>
        <x:v>0</x:v>
      </x:c>
      <x:c r="F134" s="10" t="n">
        <x:f>0</x:f>
        <x:v>0</x:v>
      </x:c>
      <x:c r="G134" s="10" t="n">
        <x:f>MAX(-'00_Arquitectura'!$B$106,MIN('00_Arquitectura'!$B$106,E134+F134))</x:f>
        <x:v>0</x:v>
      </x:c>
      <x:c r="H134" s="10" t="n">
        <x:f>MAX(0,MIN(100,D134+G134))</x:f>
        <x:v>45</x:v>
      </x:c>
      <x:c r="I134" s="10" t="n">
        <x:f>0</x:f>
        <x:v>0</x:v>
      </x:c>
      <x:c r="J134" s="10" t="n">
        <x:f>MAX(-'00_Arquitectura'!$B$107,MIN('00_Arquitectura'!$B$107,$J$833+$J$837))</x:f>
        <x:v>0</x:v>
      </x:c>
      <x:c r="K134" s="10" t="n">
        <x:f>MAX(0,MIN(100,H134+I134+J134))</x:f>
        <x:v>45</x:v>
      </x:c>
      <x:c r="L134" s="10" t="str">
        <x:v>Pulsos y offsets: filtrar Instancias por escenario, turno y targetId. Base separada del nivel visible.</x:v>
      </x:c>
    </x:row>
    <x:row r="135" ht="34" customHeight="1">
      <x:c r="A135" s="5" t="str">
        <x:v>S1_EMISION</x:v>
      </x:c>
      <x:c r="B135" s="5" t="n">
        <x:v>5</x:v>
      </x:c>
      <x:c r="C135" s="5" t="str">
        <x:v>seguridad</x:v>
      </x:c>
      <x:c r="D135" s="5" t="n">
        <x:f>$H$121</x:f>
        <x:v>45</x:v>
      </x:c>
      <x:c r="E135" s="5" t="n">
        <x:f>0+0</x:f>
        <x:v>0</x:v>
      </x:c>
      <x:c r="F135" s="5" t="n">
        <x:f>0</x:f>
        <x:v>0</x:v>
      </x:c>
      <x:c r="G135" s="5" t="n">
        <x:f>MAX(-'00_Arquitectura'!$B$106,MIN('00_Arquitectura'!$B$106,E135+F135))</x:f>
        <x:v>0</x:v>
      </x:c>
      <x:c r="H135" s="5" t="n">
        <x:f>MAX(0,MIN(100,D135+G135))</x:f>
        <x:v>45</x:v>
      </x:c>
      <x:c r="I135" s="5" t="n">
        <x:f>0</x:f>
        <x:v>0</x:v>
      </x:c>
      <x:c r="J135" s="5" t="n">
        <x:f>MAX(-'00_Arquitectura'!$B$107,MIN('00_Arquitectura'!$B$107,0))</x:f>
        <x:v>0</x:v>
      </x:c>
      <x:c r="K135" s="5" t="n">
        <x:f>MAX(0,MIN(100,H135+I135+J135))</x:f>
        <x:v>45</x:v>
      </x:c>
      <x:c r="L135" s="5" t="str">
        <x:v>Pulsos y offsets: filtrar Instancias por escenario, turno y targetId. Base separada del nivel visible.</x:v>
      </x:c>
    </x:row>
    <x:row r="136" ht="34" customHeight="1">
      <x:c r="A136" s="10" t="str">
        <x:v>S1_EMISION</x:v>
      </x:c>
      <x:c r="B136" s="10" t="n">
        <x:v>5</x:v>
      </x:c>
      <x:c r="C136" s="10" t="str">
        <x:v>ciencia</x:v>
      </x:c>
      <x:c r="D136" s="10" t="n">
        <x:f>$H$122</x:f>
        <x:v>40</x:v>
      </x:c>
      <x:c r="E136" s="10" t="n">
        <x:f>0+0</x:f>
        <x:v>0</x:v>
      </x:c>
      <x:c r="F136" s="10" t="n">
        <x:f>0</x:f>
        <x:v>0</x:v>
      </x:c>
      <x:c r="G136" s="10" t="n">
        <x:f>MAX(-'00_Arquitectura'!$B$106,MIN('00_Arquitectura'!$B$106,E136+F136))</x:f>
        <x:v>0</x:v>
      </x:c>
      <x:c r="H136" s="10" t="n">
        <x:f>MAX(0,MIN(100,D136+G136))</x:f>
        <x:v>40</x:v>
      </x:c>
      <x:c r="I136" s="10" t="n">
        <x:f>0</x:f>
        <x:v>0</x:v>
      </x:c>
      <x:c r="J136" s="10" t="n">
        <x:f>MAX(-'00_Arquitectura'!$B$107,MIN('00_Arquitectura'!$B$107,$J$836))</x:f>
        <x:v>0</x:v>
      </x:c>
      <x:c r="K136" s="10" t="n">
        <x:f>MAX(0,MIN(100,H136+I136+J136))</x:f>
        <x:v>40</x:v>
      </x:c>
      <x:c r="L136" s="10" t="str">
        <x:v>Pulsos y offsets: filtrar Instancias por escenario, turno y targetId. Base separada del nivel visible.</x:v>
      </x:c>
    </x:row>
    <x:row r="137" ht="34" customHeight="1">
      <x:c r="A137" s="5" t="str">
        <x:v>S1_EMISION</x:v>
      </x:c>
      <x:c r="B137" s="5" t="n">
        <x:v>5</x:v>
      </x:c>
      <x:c r="C137" s="5" t="str">
        <x:v>derechos</x:v>
      </x:c>
      <x:c r="D137" s="5" t="n">
        <x:f>$H$123</x:f>
        <x:v>55</x:v>
      </x:c>
      <x:c r="E137" s="5" t="n">
        <x:f>0+0</x:f>
        <x:v>0</x:v>
      </x:c>
      <x:c r="F137" s="5" t="n">
        <x:f>0</x:f>
        <x:v>0</x:v>
      </x:c>
      <x:c r="G137" s="5" t="n">
        <x:f>MAX(-'00_Arquitectura'!$B$106,MIN('00_Arquitectura'!$B$106,E137+F137))</x:f>
        <x:v>0</x:v>
      </x:c>
      <x:c r="H137" s="5" t="n">
        <x:f>MAX(0,MIN(100,D137+G137))</x:f>
        <x:v>55</x:v>
      </x:c>
      <x:c r="I137" s="5" t="n">
        <x:f>0</x:f>
        <x:v>0</x:v>
      </x:c>
      <x:c r="J137" s="5" t="n">
        <x:f>MAX(-'00_Arquitectura'!$B$107,MIN('00_Arquitectura'!$B$107,0))</x:f>
        <x:v>0</x:v>
      </x:c>
      <x:c r="K137" s="5" t="n">
        <x:f>MAX(0,MIN(100,H137+I137+J137))</x:f>
        <x:v>55</x:v>
      </x:c>
      <x:c r="L137" s="5" t="str">
        <x:v>Pulsos y offsets: filtrar Instancias por escenario, turno y targetId. Base separada del nivel visible.</x:v>
      </x:c>
    </x:row>
    <x:row r="138" ht="34" customHeight="1">
      <x:c r="A138" s="10" t="str">
        <x:v>S1_EMISION</x:v>
      </x:c>
      <x:c r="B138" s="10" t="n">
        <x:v>5</x:v>
      </x:c>
      <x:c r="C138" s="10" t="str">
        <x:v>ambiente</x:v>
      </x:c>
      <x:c r="D138" s="10" t="n">
        <x:f>$H$124</x:f>
        <x:v>50</x:v>
      </x:c>
      <x:c r="E138" s="10" t="n">
        <x:f>0+0</x:f>
        <x:v>0</x:v>
      </x:c>
      <x:c r="F138" s="10" t="n">
        <x:f>0</x:f>
        <x:v>0</x:v>
      </x:c>
      <x:c r="G138" s="10" t="n">
        <x:f>MAX(-'00_Arquitectura'!$B$106,MIN('00_Arquitectura'!$B$106,E138+F138))</x:f>
        <x:v>0</x:v>
      </x:c>
      <x:c r="H138" s="10" t="n">
        <x:f>MAX(0,MIN(100,D138+G138))</x:f>
        <x:v>50</x:v>
      </x:c>
      <x:c r="I138" s="10" t="n">
        <x:f>0</x:f>
        <x:v>0</x:v>
      </x:c>
      <x:c r="J138" s="10" t="n">
        <x:f>MAX(-'00_Arquitectura'!$B$107,MIN('00_Arquitectura'!$B$107,0))</x:f>
        <x:v>0</x:v>
      </x:c>
      <x:c r="K138" s="10" t="n">
        <x:f>MAX(0,MIN(100,H138+I138+J138))</x:f>
        <x:v>50</x:v>
      </x:c>
      <x:c r="L138" s="10" t="str">
        <x:v>Pulsos y offsets: filtrar Instancias por escenario, turno y targetId. Base separada del nivel visible.</x:v>
      </x:c>
    </x:row>
    <x:row r="139" ht="42" customHeight="1">
      <x:c r="A139" s="5" t="str">
        <x:v>S1_EMISION</x:v>
      </x:c>
      <x:c r="B139" s="5" t="n">
        <x:v>6</x:v>
      </x:c>
      <x:c r="C139" s="5" t="str">
        <x:v>inflacion</x:v>
      </x:c>
      <x:c r="D139" s="5" t="n">
        <x:f>$H$125</x:f>
        <x:v>53.239000000000004</x:v>
      </x:c>
      <x:c r="E139" s="5" t="n">
        <x:f>SUM($I$1690,$I$1691)+0</x:f>
        <x:v>19</x:v>
      </x:c>
      <x:c r="F139" s="5" t="n">
        <x:f>-'00_Arquitectura'!$B$96*($H$125-40)</x:f>
        <x:v>-1.3239000000000005</x:v>
      </x:c>
      <x:c r="G139" s="5" t="n">
        <x:f>MAX(-'00_Arquitectura'!$B$106,MIN('00_Arquitectura'!$B$106,E139+F139))</x:f>
        <x:v>12</x:v>
      </x:c>
      <x:c r="H139" s="5" t="n">
        <x:f>MAX(0,MIN(100,D139+G139))</x:f>
        <x:v>65.239</x:v>
      </x:c>
      <x:c r="I139" s="5" t="n">
        <x:f>0</x:f>
        <x:v>0</x:v>
      </x:c>
      <x:c r="J139" s="5" t="n">
        <x:f>MAX(-'00_Arquitectura'!$B$107,MIN('00_Arquitectura'!$B$107,0))</x:f>
        <x:v>0</x:v>
      </x:c>
      <x:c r="K139" s="5" t="n">
        <x:f>MAX(0,MIN(100,H139+I139+J139))</x:f>
        <x:v>65.239</x:v>
      </x:c>
      <x:c r="L139" s="5" t="str">
        <x:v>Aplica link L01. Pulsos y offsets: filtrar Instancias por escenario, turno y targetId. Base separada del nivel visible.</x:v>
      </x:c>
    </x:row>
    <x:row r="140" ht="42" customHeight="1">
      <x:c r="A140" s="10" t="str">
        <x:v>S1_EMISION</x:v>
      </x:c>
      <x:c r="B140" s="10" t="n">
        <x:v>6</x:v>
      </x:c>
      <x:c r="C140" s="10" t="str">
        <x:v>actividad</x:v>
      </x:c>
      <x:c r="D140" s="10" t="n">
        <x:f>$H$126</x:f>
        <x:v>49.960896</x:v>
      </x:c>
      <x:c r="E140" s="10" t="n">
        <x:f>0+0</x:f>
        <x:v>0</x:v>
      </x:c>
      <x:c r="F140" s="10" t="n">
        <x:f>-'00_Arquitectura'!$B$97*($H$126-50)+'00_Arquitectura'!$B$98*($K$128-45)+'00_Arquitectura'!$B$99*($K$131-45)+'00_Arquitectura'!$B$100*($K$130-45)</x:f>
        <x:v>-0.05929279999999977</x:v>
      </x:c>
      <x:c r="G140" s="10" t="n">
        <x:f>MAX(-'00_Arquitectura'!$B$106,MIN('00_Arquitectura'!$B$106,E140+F140))</x:f>
        <x:v>-0.05929279999999977</x:v>
      </x:c>
      <x:c r="H140" s="10" t="n">
        <x:f>MAX(0,MIN(100,D140+G140))</x:f>
        <x:v>49.9016032</x:v>
      </x:c>
      <x:c r="I140" s="10" t="n">
        <x:f>0+'05_Efectos'!$E$7</x:f>
        <x:v>2</x:v>
      </x:c>
      <x:c r="J140" s="10" t="n">
        <x:f>MAX(-'00_Arquitectura'!$B$107,MIN('00_Arquitectura'!$B$107,$J$845+$J$848+$J$849))</x:f>
        <x:v>0</x:v>
      </x:c>
      <x:c r="K140" s="10" t="n">
        <x:f>MAX(0,MIN(100,H140+I140+J140))</x:f>
        <x:v>51.9016032</x:v>
      </x:c>
      <x:c r="L140" s="10" t="str">
        <x:v>Aplica link L02. Pulsos y offsets: filtrar Instancias por escenario, turno y targetId. Base separada del nivel visible.</x:v>
      </x:c>
    </x:row>
    <x:row r="141" ht="42" customHeight="1">
      <x:c r="A141" s="5" t="str">
        <x:v>S1_EMISION</x:v>
      </x:c>
      <x:c r="B141" s="5" t="n">
        <x:v>6</x:v>
      </x:c>
      <x:c r="C141" s="5" t="str">
        <x:v>ingreso_real</x:v>
      </x:c>
      <x:c r="D141" s="5" t="n">
        <x:f>$H$127</x:f>
        <x:v>43.649195999999996</x:v>
      </x:c>
      <x:c r="E141" s="5" t="n">
        <x:f>0+0</x:f>
        <x:v>0</x:v>
      </x:c>
      <x:c r="F141" s="5" t="n">
        <x:f>'00_Arquitectura'!$B$101*($K$126-$K$112)+'00_Arquitectura'!$B$102*($K$125-$K$111)</x:f>
        <x:v>-2.988711600000001</x:v>
      </x:c>
      <x:c r="G141" s="5" t="n">
        <x:f>MAX(-'00_Arquitectura'!$B$106,MIN('00_Arquitectura'!$B$106,E141+F141))</x:f>
        <x:v>-2.988711600000001</x:v>
      </x:c>
      <x:c r="H141" s="5" t="n">
        <x:f>MAX(0,MIN(100,D141+G141))</x:f>
        <x:v>40.660484399999994</x:v>
      </x:c>
      <x:c r="I141" s="5" t="n">
        <x:f>0</x:f>
        <x:v>0</x:v>
      </x:c>
      <x:c r="J141" s="5" t="n">
        <x:f>MAX(-'00_Arquitectura'!$B$107,MIN('00_Arquitectura'!$B$107,0))</x:f>
        <x:v>0</x:v>
      </x:c>
      <x:c r="K141" s="5" t="n">
        <x:f>MAX(0,MIN(100,H141+I141+J141))</x:f>
        <x:v>40.660484399999994</x:v>
      </x:c>
      <x:c r="L141" s="5" t="str">
        <x:v>Aplica link L03. Pulsos y offsets: filtrar Instancias por escenario, turno y targetId. Base separada del nivel visible.</x:v>
      </x:c>
    </x:row>
    <x:row r="142" ht="42" customHeight="1">
      <x:c r="A142" s="10" t="str">
        <x:v>S1_EMISION</x:v>
      </x:c>
      <x:c r="B142" s="10" t="n">
        <x:v>6</x:v>
      </x:c>
      <x:c r="C142" s="10" t="str">
        <x:v>credito</x:v>
      </x:c>
      <x:c r="D142" s="10" t="n">
        <x:f>$H$128</x:f>
        <x:v>44.16108</x:v>
      </x:c>
      <x:c r="E142" s="10" t="n">
        <x:f>0+0</x:f>
        <x:v>0</x:v>
      </x:c>
      <x:c r="F142" s="10" t="n">
        <x:f>-'00_Arquitectura'!$B$103*($H$128-45)+'00_Arquitectura'!$B$104*($K$125-$K$111)+'00_Arquitectura'!$B$105*($K$129-'00_Arquitectura'!$B$117)</x:f>
        <x:v>-1.5720234400000004</x:v>
      </x:c>
      <x:c r="G142" s="10" t="n">
        <x:f>MAX(-'00_Arquitectura'!$B$106,MIN('00_Arquitectura'!$B$106,E142+F142))</x:f>
        <x:v>-1.5720234400000004</x:v>
      </x:c>
      <x:c r="H142" s="10" t="n">
        <x:f>MAX(0,MIN(100,D142+G142))</x:f>
        <x:v>42.589056559999996</x:v>
      </x:c>
      <x:c r="I142" s="10" t="n">
        <x:f>0</x:f>
        <x:v>0</x:v>
      </x:c>
      <x:c r="J142" s="10" t="n">
        <x:f>MAX(-'00_Arquitectura'!$B$107,MIN('00_Arquitectura'!$B$107,$J$847))</x:f>
        <x:v>0</x:v>
      </x:c>
      <x:c r="K142" s="10" t="n">
        <x:f>MAX(0,MIN(100,H142+I142+J142))</x:f>
        <x:v>42.589056559999996</x:v>
      </x:c>
      <x:c r="L142" s="10" t="str">
        <x:v>Aplica link L04. Pulsos y offsets: filtrar Instancias por escenario, turno y targetId. Base separada del nivel visible.</x:v>
      </x:c>
    </x:row>
    <x:row r="143" ht="34" customHeight="1">
      <x:c r="A143" s="5" t="str">
        <x:v>S1_EMISION</x:v>
      </x:c>
      <x:c r="B143" s="5" t="n">
        <x:v>6</x:v>
      </x:c>
      <x:c r="C143" s="5" t="str">
        <x:v>fiscal</x:v>
      </x:c>
      <x:c r="D143" s="5" t="n">
        <x:f>$H$129</x:f>
        <x:v>58.396928</x:v>
      </x:c>
      <x:c r="E143" s="5" t="n">
        <x:f>0+0</x:f>
        <x:v>0</x:v>
      </x:c>
      <x:c r="F143" s="5" t="n">
        <x:f>0</x:f>
        <x:v>0</x:v>
      </x:c>
      <x:c r="G143" s="5" t="n">
        <x:f>MAX(-'00_Arquitectura'!$B$106,MIN('00_Arquitectura'!$B$106,E143+F143))</x:f>
        <x:v>0</x:v>
      </x:c>
      <x:c r="H143" s="5" t="n">
        <x:f>$O$20</x:f>
        <x:v>58.3921792</x:v>
      </x:c>
      <x:c r="I143" s="5" t="n">
        <x:f>0</x:f>
        <x:v>0</x:v>
      </x:c>
      <x:c r="J143" s="5" t="n">
        <x:f>MAX(-'00_Arquitectura'!$B$107,MIN('00_Arquitectura'!$B$107,0))</x:f>
        <x:v>0</x:v>
      </x:c>
      <x:c r="K143" s="5" t="n">
        <x:f>MAX(0,MIN(100,H143+I143+J143))</x:f>
        <x:v>58.3921792</x:v>
      </x:c>
      <x:c r="L143" s="5" t="str">
        <x:v>Derivado de caja: ingreso recurrente, gasto, intereses y deuda. Nunca SUM de efectos fiscales directos.</x:v>
      </x:c>
    </x:row>
    <x:row r="144" ht="34" customHeight="1">
      <x:c r="A144" s="10" t="str">
        <x:v>S1_EMISION</x:v>
      </x:c>
      <x:c r="B144" s="10" t="n">
        <x:v>6</x:v>
      </x:c>
      <x:c r="C144" s="10" t="str">
        <x:v>externo</x:v>
      </x:c>
      <x:c r="D144" s="10" t="n">
        <x:f>$H$130</x:f>
        <x:v>45</x:v>
      </x:c>
      <x:c r="E144" s="10" t="n">
        <x:f>0+0</x:f>
        <x:v>0</x:v>
      </x:c>
      <x:c r="F144" s="10" t="n">
        <x:f>0</x:f>
        <x:v>0</x:v>
      </x:c>
      <x:c r="G144" s="10" t="n">
        <x:f>MAX(-'00_Arquitectura'!$B$106,MIN('00_Arquitectura'!$B$106,E144+F144))</x:f>
        <x:v>0</x:v>
      </x:c>
      <x:c r="H144" s="10" t="n">
        <x:f>MAX(0,MIN(100,D144+G144))</x:f>
        <x:v>45</x:v>
      </x:c>
      <x:c r="I144" s="10" t="n">
        <x:f>0</x:f>
        <x:v>0</x:v>
      </x:c>
      <x:c r="J144" s="10" t="n">
        <x:f>MAX(-'00_Arquitectura'!$B$107,MIN('00_Arquitectura'!$B$107,$J$846))</x:f>
        <x:v>0</x:v>
      </x:c>
      <x:c r="K144" s="10" t="n">
        <x:f>MAX(0,MIN(100,H144+I144+J144))</x:f>
        <x:v>45</x:v>
      </x:c>
      <x:c r="L144" s="10" t="str">
        <x:v>Pulsos y offsets: filtrar Instancias por escenario, turno y targetId. Base separada del nivel visible.</x:v>
      </x:c>
    </x:row>
    <x:row r="145" ht="34" customHeight="1">
      <x:c r="A145" s="5" t="str">
        <x:v>S1_EMISION</x:v>
      </x:c>
      <x:c r="B145" s="5" t="n">
        <x:v>6</x:v>
      </x:c>
      <x:c r="C145" s="5" t="str">
        <x:v>infraestructura</x:v>
      </x:c>
      <x:c r="D145" s="5" t="n">
        <x:f>$H$131</x:f>
        <x:v>45</x:v>
      </x:c>
      <x:c r="E145" s="5" t="n">
        <x:f>0+0</x:f>
        <x:v>0</x:v>
      </x:c>
      <x:c r="F145" s="5" t="n">
        <x:f>0</x:f>
        <x:v>0</x:v>
      </x:c>
      <x:c r="G145" s="5" t="n">
        <x:f>MAX(-'00_Arquitectura'!$B$106,MIN('00_Arquitectura'!$B$106,E145+F145))</x:f>
        <x:v>0</x:v>
      </x:c>
      <x:c r="H145" s="5" t="n">
        <x:f>MAX(0,MIN(100,D145+G145))</x:f>
        <x:v>45</x:v>
      </x:c>
      <x:c r="I145" s="5" t="n">
        <x:f>0</x:f>
        <x:v>0</x:v>
      </x:c>
      <x:c r="J145" s="5" t="n">
        <x:f>MAX(-'00_Arquitectura'!$B$107,MIN('00_Arquitectura'!$B$107,0))</x:f>
        <x:v>0</x:v>
      </x:c>
      <x:c r="K145" s="5" t="n">
        <x:f>MAX(0,MIN(100,H145+I145+J145))</x:f>
        <x:v>45</x:v>
      </x:c>
      <x:c r="L145" s="5" t="str">
        <x:v>Pulsos y offsets: filtrar Instancias por escenario, turno y targetId. Base separada del nivel visible.</x:v>
      </x:c>
    </x:row>
    <x:row r="146" ht="34" customHeight="1">
      <x:c r="A146" s="10" t="str">
        <x:v>S1_EMISION</x:v>
      </x:c>
      <x:c r="B146" s="10" t="n">
        <x:v>6</x:v>
      </x:c>
      <x:c r="C146" s="10" t="str">
        <x:v>educacion</x:v>
      </x:c>
      <x:c r="D146" s="10" t="n">
        <x:f>$H$132</x:f>
        <x:v>50</x:v>
      </x:c>
      <x:c r="E146" s="10" t="n">
        <x:f>0+0</x:f>
        <x:v>0</x:v>
      </x:c>
      <x:c r="F146" s="10" t="n">
        <x:f>0</x:f>
        <x:v>0</x:v>
      </x:c>
      <x:c r="G146" s="10" t="n">
        <x:f>MAX(-'00_Arquitectura'!$B$106,MIN('00_Arquitectura'!$B$106,E146+F146))</x:f>
        <x:v>0</x:v>
      </x:c>
      <x:c r="H146" s="10" t="n">
        <x:f>MAX(0,MIN(100,D146+G146))</x:f>
        <x:v>50</x:v>
      </x:c>
      <x:c r="I146" s="10" t="n">
        <x:f>0</x:f>
        <x:v>0</x:v>
      </x:c>
      <x:c r="J146" s="10" t="n">
        <x:f>MAX(-'00_Arquitectura'!$B$107,MIN('00_Arquitectura'!$B$107,$J$853))</x:f>
        <x:v>0</x:v>
      </x:c>
      <x:c r="K146" s="10" t="n">
        <x:f>MAX(0,MIN(100,H146+I146+J146))</x:f>
        <x:v>50</x:v>
      </x:c>
      <x:c r="L146" s="10" t="str">
        <x:v>Pulsos y offsets: filtrar Instancias por escenario, turno y targetId. Base separada del nivel visible.</x:v>
      </x:c>
    </x:row>
    <x:row r="147" ht="34" customHeight="1">
      <x:c r="A147" s="5" t="str">
        <x:v>S1_EMISION</x:v>
      </x:c>
      <x:c r="B147" s="5" t="n">
        <x:v>6</x:v>
      </x:c>
      <x:c r="C147" s="5" t="str">
        <x:v>salud</x:v>
      </x:c>
      <x:c r="D147" s="5" t="n">
        <x:f>$H$133</x:f>
        <x:v>50</x:v>
      </x:c>
      <x:c r="E147" s="5" t="n">
        <x:f>0+0</x:f>
        <x:v>0</x:v>
      </x:c>
      <x:c r="F147" s="5" t="n">
        <x:f>0</x:f>
        <x:v>0</x:v>
      </x:c>
      <x:c r="G147" s="5" t="n">
        <x:f>MAX(-'00_Arquitectura'!$B$106,MIN('00_Arquitectura'!$B$106,E147+F147))</x:f>
        <x:v>0</x:v>
      </x:c>
      <x:c r="H147" s="5" t="n">
        <x:f>MAX(0,MIN(100,D147+G147))</x:f>
        <x:v>50</x:v>
      </x:c>
      <x:c r="I147" s="5" t="n">
        <x:f>0</x:f>
        <x:v>0</x:v>
      </x:c>
      <x:c r="J147" s="5" t="n">
        <x:f>MAX(-'00_Arquitectura'!$B$107,MIN('00_Arquitectura'!$B$107,0))</x:f>
        <x:v>0</x:v>
      </x:c>
      <x:c r="K147" s="5" t="n">
        <x:f>MAX(0,MIN(100,H147+I147+J147))</x:f>
        <x:v>50</x:v>
      </x:c>
      <x:c r="L147" s="5" t="str">
        <x:v>Pulsos y offsets: filtrar Instancias por escenario, turno y targetId. Base separada del nivel visible.</x:v>
      </x:c>
    </x:row>
    <x:row r="148" ht="34" customHeight="1">
      <x:c r="A148" s="10" t="str">
        <x:v>S1_EMISION</x:v>
      </x:c>
      <x:c r="B148" s="10" t="n">
        <x:v>6</x:v>
      </x:c>
      <x:c r="C148" s="10" t="str">
        <x:v>proteccion</x:v>
      </x:c>
      <x:c r="D148" s="10" t="n">
        <x:f>$H$134</x:f>
        <x:v>45</x:v>
      </x:c>
      <x:c r="E148" s="10" t="n">
        <x:f>0+0</x:f>
        <x:v>0</x:v>
      </x:c>
      <x:c r="F148" s="10" t="n">
        <x:f>0</x:f>
        <x:v>0</x:v>
      </x:c>
      <x:c r="G148" s="10" t="n">
        <x:f>MAX(-'00_Arquitectura'!$B$106,MIN('00_Arquitectura'!$B$106,E148+F148))</x:f>
        <x:v>0</x:v>
      </x:c>
      <x:c r="H148" s="10" t="n">
        <x:f>MAX(0,MIN(100,D148+G148))</x:f>
        <x:v>45</x:v>
      </x:c>
      <x:c r="I148" s="10" t="n">
        <x:f>0</x:f>
        <x:v>0</x:v>
      </x:c>
      <x:c r="J148" s="10" t="n">
        <x:f>MAX(-'00_Arquitectura'!$B$107,MIN('00_Arquitectura'!$B$107,$J$851+$J$855))</x:f>
        <x:v>0</x:v>
      </x:c>
      <x:c r="K148" s="10" t="n">
        <x:f>MAX(0,MIN(100,H148+I148+J148))</x:f>
        <x:v>45</x:v>
      </x:c>
      <x:c r="L148" s="10" t="str">
        <x:v>Pulsos y offsets: filtrar Instancias por escenario, turno y targetId. Base separada del nivel visible.</x:v>
      </x:c>
    </x:row>
    <x:row r="149" ht="34" customHeight="1">
      <x:c r="A149" s="5" t="str">
        <x:v>S1_EMISION</x:v>
      </x:c>
      <x:c r="B149" s="5" t="n">
        <x:v>6</x:v>
      </x:c>
      <x:c r="C149" s="5" t="str">
        <x:v>seguridad</x:v>
      </x:c>
      <x:c r="D149" s="5" t="n">
        <x:f>$H$135</x:f>
        <x:v>45</x:v>
      </x:c>
      <x:c r="E149" s="5" t="n">
        <x:f>0+0</x:f>
        <x:v>0</x:v>
      </x:c>
      <x:c r="F149" s="5" t="n">
        <x:f>0</x:f>
        <x:v>0</x:v>
      </x:c>
      <x:c r="G149" s="5" t="n">
        <x:f>MAX(-'00_Arquitectura'!$B$106,MIN('00_Arquitectura'!$B$106,E149+F149))</x:f>
        <x:v>0</x:v>
      </x:c>
      <x:c r="H149" s="5" t="n">
        <x:f>MAX(0,MIN(100,D149+G149))</x:f>
        <x:v>45</x:v>
      </x:c>
      <x:c r="I149" s="5" t="n">
        <x:f>0</x:f>
        <x:v>0</x:v>
      </x:c>
      <x:c r="J149" s="5" t="n">
        <x:f>MAX(-'00_Arquitectura'!$B$107,MIN('00_Arquitectura'!$B$107,0))</x:f>
        <x:v>0</x:v>
      </x:c>
      <x:c r="K149" s="5" t="n">
        <x:f>MAX(0,MIN(100,H149+I149+J149))</x:f>
        <x:v>45</x:v>
      </x:c>
      <x:c r="L149" s="5" t="str">
        <x:v>Pulsos y offsets: filtrar Instancias por escenario, turno y targetId. Base separada del nivel visible.</x:v>
      </x:c>
    </x:row>
    <x:row r="150" ht="34" customHeight="1">
      <x:c r="A150" s="10" t="str">
        <x:v>S1_EMISION</x:v>
      </x:c>
      <x:c r="B150" s="10" t="n">
        <x:v>6</x:v>
      </x:c>
      <x:c r="C150" s="10" t="str">
        <x:v>ciencia</x:v>
      </x:c>
      <x:c r="D150" s="10" t="n">
        <x:f>$H$136</x:f>
        <x:v>40</x:v>
      </x:c>
      <x:c r="E150" s="10" t="n">
        <x:f>0+0</x:f>
        <x:v>0</x:v>
      </x:c>
      <x:c r="F150" s="10" t="n">
        <x:f>0</x:f>
        <x:v>0</x:v>
      </x:c>
      <x:c r="G150" s="10" t="n">
        <x:f>MAX(-'00_Arquitectura'!$B$106,MIN('00_Arquitectura'!$B$106,E150+F150))</x:f>
        <x:v>0</x:v>
      </x:c>
      <x:c r="H150" s="10" t="n">
        <x:f>MAX(0,MIN(100,D150+G150))</x:f>
        <x:v>40</x:v>
      </x:c>
      <x:c r="I150" s="10" t="n">
        <x:f>0</x:f>
        <x:v>0</x:v>
      </x:c>
      <x:c r="J150" s="10" t="n">
        <x:f>MAX(-'00_Arquitectura'!$B$107,MIN('00_Arquitectura'!$B$107,$J$854))</x:f>
        <x:v>0</x:v>
      </x:c>
      <x:c r="K150" s="10" t="n">
        <x:f>MAX(0,MIN(100,H150+I150+J150))</x:f>
        <x:v>40</x:v>
      </x:c>
      <x:c r="L150" s="10" t="str">
        <x:v>Pulsos y offsets: filtrar Instancias por escenario, turno y targetId. Base separada del nivel visible.</x:v>
      </x:c>
    </x:row>
    <x:row r="151" ht="34" customHeight="1">
      <x:c r="A151" s="5" t="str">
        <x:v>S1_EMISION</x:v>
      </x:c>
      <x:c r="B151" s="5" t="n">
        <x:v>6</x:v>
      </x:c>
      <x:c r="C151" s="5" t="str">
        <x:v>derechos</x:v>
      </x:c>
      <x:c r="D151" s="5" t="n">
        <x:f>$H$137</x:f>
        <x:v>55</x:v>
      </x:c>
      <x:c r="E151" s="5" t="n">
        <x:f>0+0</x:f>
        <x:v>0</x:v>
      </x:c>
      <x:c r="F151" s="5" t="n">
        <x:f>0</x:f>
        <x:v>0</x:v>
      </x:c>
      <x:c r="G151" s="5" t="n">
        <x:f>MAX(-'00_Arquitectura'!$B$106,MIN('00_Arquitectura'!$B$106,E151+F151))</x:f>
        <x:v>0</x:v>
      </x:c>
      <x:c r="H151" s="5" t="n">
        <x:f>MAX(0,MIN(100,D151+G151))</x:f>
        <x:v>55</x:v>
      </x:c>
      <x:c r="I151" s="5" t="n">
        <x:f>0</x:f>
        <x:v>0</x:v>
      </x:c>
      <x:c r="J151" s="5" t="n">
        <x:f>MAX(-'00_Arquitectura'!$B$107,MIN('00_Arquitectura'!$B$107,0))</x:f>
        <x:v>0</x:v>
      </x:c>
      <x:c r="K151" s="5" t="n">
        <x:f>MAX(0,MIN(100,H151+I151+J151))</x:f>
        <x:v>55</x:v>
      </x:c>
      <x:c r="L151" s="5" t="str">
        <x:v>Pulsos y offsets: filtrar Instancias por escenario, turno y targetId. Base separada del nivel visible.</x:v>
      </x:c>
    </x:row>
    <x:row r="152" ht="34" customHeight="1">
      <x:c r="A152" s="10" t="str">
        <x:v>S1_EMISION</x:v>
      </x:c>
      <x:c r="B152" s="10" t="n">
        <x:v>6</x:v>
      </x:c>
      <x:c r="C152" s="10" t="str">
        <x:v>ambiente</x:v>
      </x:c>
      <x:c r="D152" s="10" t="n">
        <x:f>$H$138</x:f>
        <x:v>50</x:v>
      </x:c>
      <x:c r="E152" s="10" t="n">
        <x:f>0+0</x:f>
        <x:v>0</x:v>
      </x:c>
      <x:c r="F152" s="10" t="n">
        <x:f>0</x:f>
        <x:v>0</x:v>
      </x:c>
      <x:c r="G152" s="10" t="n">
        <x:f>MAX(-'00_Arquitectura'!$B$106,MIN('00_Arquitectura'!$B$106,E152+F152))</x:f>
        <x:v>0</x:v>
      </x:c>
      <x:c r="H152" s="10" t="n">
        <x:f>MAX(0,MIN(100,D152+G152))</x:f>
        <x:v>50</x:v>
      </x:c>
      <x:c r="I152" s="10" t="n">
        <x:f>0</x:f>
        <x:v>0</x:v>
      </x:c>
      <x:c r="J152" s="10" t="n">
        <x:f>MAX(-'00_Arquitectura'!$B$107,MIN('00_Arquitectura'!$B$107,0))</x:f>
        <x:v>0</x:v>
      </x:c>
      <x:c r="K152" s="10" t="n">
        <x:f>MAX(0,MIN(100,H152+I152+J152))</x:f>
        <x:v>50</x:v>
      </x:c>
      <x:c r="L152" s="10" t="str">
        <x:v>Pulsos y offsets: filtrar Instancias por escenario, turno y targetId. Base separada del nivel visible.</x:v>
      </x:c>
    </x:row>
    <x:row r="153" ht="42" customHeight="1">
      <x:c r="A153" s="5" t="str">
        <x:v>S1_EMISION</x:v>
      </x:c>
      <x:c r="B153" s="5" t="n">
        <x:v>7</x:v>
      </x:c>
      <x:c r="C153" s="5" t="str">
        <x:v>inflacion</x:v>
      </x:c>
      <x:c r="D153" s="5" t="n">
        <x:f>$H$139</x:f>
        <x:v>65.239</x:v>
      </x:c>
      <x:c r="E153" s="5" t="n">
        <x:f>0+0</x:f>
        <x:v>0</x:v>
      </x:c>
      <x:c r="F153" s="5" t="n">
        <x:f>-'00_Arquitectura'!$B$96*($H$139-40)</x:f>
        <x:v>-2.5239000000000007</x:v>
      </x:c>
      <x:c r="G153" s="5" t="n">
        <x:f>MAX(-'00_Arquitectura'!$B$106,MIN('00_Arquitectura'!$B$106,E153+F153))</x:f>
        <x:v>-2.5239000000000007</x:v>
      </x:c>
      <x:c r="H153" s="5" t="n">
        <x:f>MAX(0,MIN(100,D153+G153))</x:f>
        <x:v>62.71510000000001</x:v>
      </x:c>
      <x:c r="I153" s="5" t="n">
        <x:f>0</x:f>
        <x:v>0</x:v>
      </x:c>
      <x:c r="J153" s="5" t="n">
        <x:f>MAX(-'00_Arquitectura'!$B$107,MIN('00_Arquitectura'!$B$107,0))</x:f>
        <x:v>0</x:v>
      </x:c>
      <x:c r="K153" s="5" t="n">
        <x:f>MAX(0,MIN(100,H153+I153+J153))</x:f>
        <x:v>62.71510000000001</x:v>
      </x:c>
      <x:c r="L153" s="5" t="str">
        <x:v>Aplica link L01. Pulsos y offsets: filtrar Instancias por escenario, turno y targetId. Base separada del nivel visible.</x:v>
      </x:c>
    </x:row>
    <x:row r="154" ht="42" customHeight="1">
      <x:c r="A154" s="10" t="str">
        <x:v>S1_EMISION</x:v>
      </x:c>
      <x:c r="B154" s="10" t="n">
        <x:v>7</x:v>
      </x:c>
      <x:c r="C154" s="10" t="str">
        <x:v>actividad</x:v>
      </x:c>
      <x:c r="D154" s="10" t="n">
        <x:f>$H$140</x:f>
        <x:v>49.9016032</x:v>
      </x:c>
      <x:c r="E154" s="10" t="n">
        <x:f>0+0</x:f>
        <x:v>0</x:v>
      </x:c>
      <x:c r="F154" s="10" t="n">
        <x:f>-'00_Arquitectura'!$B$97*($H$140-50)+'00_Arquitectura'!$B$98*($K$142-45)+'00_Arquitectura'!$B$99*($K$145-45)+'00_Arquitectura'!$B$100*($K$144-45)</x:f>
        <x:v>-0.17319611519999967</x:v>
      </x:c>
      <x:c r="G154" s="10" t="n">
        <x:f>MAX(-'00_Arquitectura'!$B$106,MIN('00_Arquitectura'!$B$106,E154+F154))</x:f>
        <x:v>-0.17319611519999967</x:v>
      </x:c>
      <x:c r="H154" s="10" t="n">
        <x:f>MAX(0,MIN(100,D154+G154))</x:f>
        <x:v>49.7284070848</x:v>
      </x:c>
      <x:c r="I154" s="10" t="n">
        <x:f>0</x:f>
        <x:v>0</x:v>
      </x:c>
      <x:c r="J154" s="10" t="n">
        <x:f>MAX(-'00_Arquitectura'!$B$107,MIN('00_Arquitectura'!$B$107,$J$863+$J$866+$J$867))</x:f>
        <x:v>0</x:v>
      </x:c>
      <x:c r="K154" s="10" t="n">
        <x:f>MAX(0,MIN(100,H154+I154+J154))</x:f>
        <x:v>49.7284070848</x:v>
      </x:c>
      <x:c r="L154" s="10" t="str">
        <x:v>Aplica link L02. Pulsos y offsets: filtrar Instancias por escenario, turno y targetId. Base separada del nivel visible.</x:v>
      </x:c>
    </x:row>
    <x:row r="155" ht="42" customHeight="1">
      <x:c r="A155" s="5" t="str">
        <x:v>S1_EMISION</x:v>
      </x:c>
      <x:c r="B155" s="5" t="n">
        <x:v>7</x:v>
      </x:c>
      <x:c r="C155" s="5" t="str">
        <x:v>ingreso_real</x:v>
      </x:c>
      <x:c r="D155" s="5" t="n">
        <x:f>$H$141</x:f>
        <x:v>40.660484399999994</x:v>
      </x:c>
      <x:c r="E155" s="5" t="n">
        <x:f>0+0</x:f>
        <x:v>0</x:v>
      </x:c>
      <x:c r="F155" s="5" t="n">
        <x:f>'00_Arquitectura'!$B$101*($K$140-$K$126)+'00_Arquitectura'!$B$102*($K$139-$K$125)</x:f>
        <x:v>-4.2088939199999995</x:v>
      </x:c>
      <x:c r="G155" s="5" t="n">
        <x:f>MAX(-'00_Arquitectura'!$B$106,MIN('00_Arquitectura'!$B$106,E155+F155))</x:f>
        <x:v>-4.2088939199999995</x:v>
      </x:c>
      <x:c r="H155" s="5" t="n">
        <x:f>MAX(0,MIN(100,D155+G155))</x:f>
        <x:v>36.45159047999999</x:v>
      </x:c>
      <x:c r="I155" s="5" t="n">
        <x:f>0</x:f>
        <x:v>0</x:v>
      </x:c>
      <x:c r="J155" s="5" t="n">
        <x:f>MAX(-'00_Arquitectura'!$B$107,MIN('00_Arquitectura'!$B$107,0))</x:f>
        <x:v>0</x:v>
      </x:c>
      <x:c r="K155" s="5" t="n">
        <x:f>MAX(0,MIN(100,H155+I155+J155))</x:f>
        <x:v>36.45159047999999</x:v>
      </x:c>
      <x:c r="L155" s="5" t="str">
        <x:v>Aplica link L03. Pulsos y offsets: filtrar Instancias por escenario, turno y targetId. Base separada del nivel visible.</x:v>
      </x:c>
    </x:row>
    <x:row r="156" ht="42" customHeight="1">
      <x:c r="A156" s="10" t="str">
        <x:v>S1_EMISION</x:v>
      </x:c>
      <x:c r="B156" s="10" t="n">
        <x:v>7</x:v>
      </x:c>
      <x:c r="C156" s="10" t="str">
        <x:v>credito</x:v>
      </x:c>
      <x:c r="D156" s="10" t="n">
        <x:f>$H$142</x:f>
        <x:v>42.589056559999996</x:v>
      </x:c>
      <x:c r="E156" s="10" t="n">
        <x:f>0+0</x:f>
        <x:v>0</x:v>
      </x:c>
      <x:c r="F156" s="10" t="n">
        <x:f>-'00_Arquitectura'!$B$103*($H$142-45)+'00_Arquitectura'!$B$104*($K$139-$K$125)+'00_Arquitectura'!$B$105*($K$143-'00_Arquitectura'!$B$117)</x:f>
        <x:v>-2.0305148999999996</x:v>
      </x:c>
      <x:c r="G156" s="10" t="n">
        <x:f>MAX(-'00_Arquitectura'!$B$106,MIN('00_Arquitectura'!$B$106,E156+F156))</x:f>
        <x:v>-2.0305148999999996</x:v>
      </x:c>
      <x:c r="H156" s="10" t="n">
        <x:f>MAX(0,MIN(100,D156+G156))</x:f>
        <x:v>40.558541659999996</x:v>
      </x:c>
      <x:c r="I156" s="10" t="n">
        <x:f>0</x:f>
        <x:v>0</x:v>
      </x:c>
      <x:c r="J156" s="10" t="n">
        <x:f>MAX(-'00_Arquitectura'!$B$107,MIN('00_Arquitectura'!$B$107,$J$865))</x:f>
        <x:v>0</x:v>
      </x:c>
      <x:c r="K156" s="10" t="n">
        <x:f>MAX(0,MIN(100,H156+I156+J156))</x:f>
        <x:v>40.558541659999996</x:v>
      </x:c>
      <x:c r="L156" s="10" t="str">
        <x:v>Aplica link L04. Pulsos y offsets: filtrar Instancias por escenario, turno y targetId. Base separada del nivel visible.</x:v>
      </x:c>
    </x:row>
    <x:row r="157" ht="34" customHeight="1">
      <x:c r="A157" s="5" t="str">
        <x:v>S1_EMISION</x:v>
      </x:c>
      <x:c r="B157" s="5" t="n">
        <x:v>7</x:v>
      </x:c>
      <x:c r="C157" s="5" t="str">
        <x:v>fiscal</x:v>
      </x:c>
      <x:c r="D157" s="5" t="n">
        <x:f>$H$143</x:f>
        <x:v>58.3921792</x:v>
      </x:c>
      <x:c r="E157" s="5" t="n">
        <x:f>0+0</x:f>
        <x:v>0</x:v>
      </x:c>
      <x:c r="F157" s="5" t="n">
        <x:f>0</x:f>
        <x:v>0</x:v>
      </x:c>
      <x:c r="G157" s="5" t="n">
        <x:f>MAX(-'00_Arquitectura'!$B$106,MIN('00_Arquitectura'!$B$106,E157+F157))</x:f>
        <x:v>0</x:v>
      </x:c>
      <x:c r="H157" s="5" t="n">
        <x:f>$O$21</x:f>
        <x:v>58.38032064</x:v>
      </x:c>
      <x:c r="I157" s="5" t="n">
        <x:f>0</x:f>
        <x:v>0</x:v>
      </x:c>
      <x:c r="J157" s="5" t="n">
        <x:f>MAX(-'00_Arquitectura'!$B$107,MIN('00_Arquitectura'!$B$107,0))</x:f>
        <x:v>0</x:v>
      </x:c>
      <x:c r="K157" s="5" t="n">
        <x:f>MAX(0,MIN(100,H157+I157+J157))</x:f>
        <x:v>58.38032064</x:v>
      </x:c>
      <x:c r="L157" s="5" t="str">
        <x:v>Derivado de caja: ingreso recurrente, gasto, intereses y deuda. Nunca SUM de efectos fiscales directos.</x:v>
      </x:c>
    </x:row>
    <x:row r="158" ht="34" customHeight="1">
      <x:c r="A158" s="10" t="str">
        <x:v>S1_EMISION</x:v>
      </x:c>
      <x:c r="B158" s="10" t="n">
        <x:v>7</x:v>
      </x:c>
      <x:c r="C158" s="10" t="str">
        <x:v>externo</x:v>
      </x:c>
      <x:c r="D158" s="10" t="n">
        <x:f>$H$144</x:f>
        <x:v>45</x:v>
      </x:c>
      <x:c r="E158" s="10" t="n">
        <x:f>0+0</x:f>
        <x:v>0</x:v>
      </x:c>
      <x:c r="F158" s="10" t="n">
        <x:f>0</x:f>
        <x:v>0</x:v>
      </x:c>
      <x:c r="G158" s="10" t="n">
        <x:f>MAX(-'00_Arquitectura'!$B$106,MIN('00_Arquitectura'!$B$106,E158+F158))</x:f>
        <x:v>0</x:v>
      </x:c>
      <x:c r="H158" s="10" t="n">
        <x:f>MAX(0,MIN(100,D158+G158))</x:f>
        <x:v>45</x:v>
      </x:c>
      <x:c r="I158" s="10" t="n">
        <x:f>0</x:f>
        <x:v>0</x:v>
      </x:c>
      <x:c r="J158" s="10" t="n">
        <x:f>MAX(-'00_Arquitectura'!$B$107,MIN('00_Arquitectura'!$B$107,$J$864))</x:f>
        <x:v>0</x:v>
      </x:c>
      <x:c r="K158" s="10" t="n">
        <x:f>MAX(0,MIN(100,H158+I158+J158))</x:f>
        <x:v>45</x:v>
      </x:c>
      <x:c r="L158" s="10" t="str">
        <x:v>Pulsos y offsets: filtrar Instancias por escenario, turno y targetId. Base separada del nivel visible.</x:v>
      </x:c>
    </x:row>
    <x:row r="159" ht="34" customHeight="1">
      <x:c r="A159" s="5" t="str">
        <x:v>S1_EMISION</x:v>
      </x:c>
      <x:c r="B159" s="5" t="n">
        <x:v>7</x:v>
      </x:c>
      <x:c r="C159" s="5" t="str">
        <x:v>infraestructura</x:v>
      </x:c>
      <x:c r="D159" s="5" t="n">
        <x:f>$H$145</x:f>
        <x:v>45</x:v>
      </x:c>
      <x:c r="E159" s="5" t="n">
        <x:f>0+0</x:f>
        <x:v>0</x:v>
      </x:c>
      <x:c r="F159" s="5" t="n">
        <x:f>0</x:f>
        <x:v>0</x:v>
      </x:c>
      <x:c r="G159" s="5" t="n">
        <x:f>MAX(-'00_Arquitectura'!$B$106,MIN('00_Arquitectura'!$B$106,E159+F159))</x:f>
        <x:v>0</x:v>
      </x:c>
      <x:c r="H159" s="5" t="n">
        <x:f>MAX(0,MIN(100,D159+G159))</x:f>
        <x:v>45</x:v>
      </x:c>
      <x:c r="I159" s="5" t="n">
        <x:f>0</x:f>
        <x:v>0</x:v>
      </x:c>
      <x:c r="J159" s="5" t="n">
        <x:f>MAX(-'00_Arquitectura'!$B$107,MIN('00_Arquitectura'!$B$107,0))</x:f>
        <x:v>0</x:v>
      </x:c>
      <x:c r="K159" s="5" t="n">
        <x:f>MAX(0,MIN(100,H159+I159+J159))</x:f>
        <x:v>45</x:v>
      </x:c>
      <x:c r="L159" s="5" t="str">
        <x:v>Pulsos y offsets: filtrar Instancias por escenario, turno y targetId. Base separada del nivel visible.</x:v>
      </x:c>
    </x:row>
    <x:row r="160" ht="34" customHeight="1">
      <x:c r="A160" s="10" t="str">
        <x:v>S1_EMISION</x:v>
      </x:c>
      <x:c r="B160" s="10" t="n">
        <x:v>7</x:v>
      </x:c>
      <x:c r="C160" s="10" t="str">
        <x:v>educacion</x:v>
      </x:c>
      <x:c r="D160" s="10" t="n">
        <x:f>$H$146</x:f>
        <x:v>50</x:v>
      </x:c>
      <x:c r="E160" s="10" t="n">
        <x:f>0+0</x:f>
        <x:v>0</x:v>
      </x:c>
      <x:c r="F160" s="10" t="n">
        <x:f>0</x:f>
        <x:v>0</x:v>
      </x:c>
      <x:c r="G160" s="10" t="n">
        <x:f>MAX(-'00_Arquitectura'!$B$106,MIN('00_Arquitectura'!$B$106,E160+F160))</x:f>
        <x:v>0</x:v>
      </x:c>
      <x:c r="H160" s="10" t="n">
        <x:f>MAX(0,MIN(100,D160+G160))</x:f>
        <x:v>50</x:v>
      </x:c>
      <x:c r="I160" s="10" t="n">
        <x:f>0</x:f>
        <x:v>0</x:v>
      </x:c>
      <x:c r="J160" s="10" t="n">
        <x:f>MAX(-'00_Arquitectura'!$B$107,MIN('00_Arquitectura'!$B$107,$J$871))</x:f>
        <x:v>0</x:v>
      </x:c>
      <x:c r="K160" s="10" t="n">
        <x:f>MAX(0,MIN(100,H160+I160+J160))</x:f>
        <x:v>50</x:v>
      </x:c>
      <x:c r="L160" s="10" t="str">
        <x:v>Pulsos y offsets: filtrar Instancias por escenario, turno y targetId. Base separada del nivel visible.</x:v>
      </x:c>
    </x:row>
    <x:row r="161" ht="34" customHeight="1">
      <x:c r="A161" s="5" t="str">
        <x:v>S1_EMISION</x:v>
      </x:c>
      <x:c r="B161" s="5" t="n">
        <x:v>7</x:v>
      </x:c>
      <x:c r="C161" s="5" t="str">
        <x:v>salud</x:v>
      </x:c>
      <x:c r="D161" s="5" t="n">
        <x:f>$H$147</x:f>
        <x:v>50</x:v>
      </x:c>
      <x:c r="E161" s="5" t="n">
        <x:f>0+0</x:f>
        <x:v>0</x:v>
      </x:c>
      <x:c r="F161" s="5" t="n">
        <x:f>0</x:f>
        <x:v>0</x:v>
      </x:c>
      <x:c r="G161" s="5" t="n">
        <x:f>MAX(-'00_Arquitectura'!$B$106,MIN('00_Arquitectura'!$B$106,E161+F161))</x:f>
        <x:v>0</x:v>
      </x:c>
      <x:c r="H161" s="5" t="n">
        <x:f>MAX(0,MIN(100,D161+G161))</x:f>
        <x:v>50</x:v>
      </x:c>
      <x:c r="I161" s="5" t="n">
        <x:f>0</x:f>
        <x:v>0</x:v>
      </x:c>
      <x:c r="J161" s="5" t="n">
        <x:f>MAX(-'00_Arquitectura'!$B$107,MIN('00_Arquitectura'!$B$107,0))</x:f>
        <x:v>0</x:v>
      </x:c>
      <x:c r="K161" s="5" t="n">
        <x:f>MAX(0,MIN(100,H161+I161+J161))</x:f>
        <x:v>50</x:v>
      </x:c>
      <x:c r="L161" s="5" t="str">
        <x:v>Pulsos y offsets: filtrar Instancias por escenario, turno y targetId. Base separada del nivel visible.</x:v>
      </x:c>
    </x:row>
    <x:row r="162" ht="34" customHeight="1">
      <x:c r="A162" s="10" t="str">
        <x:v>S1_EMISION</x:v>
      </x:c>
      <x:c r="B162" s="10" t="n">
        <x:v>7</x:v>
      </x:c>
      <x:c r="C162" s="10" t="str">
        <x:v>proteccion</x:v>
      </x:c>
      <x:c r="D162" s="10" t="n">
        <x:f>$H$148</x:f>
        <x:v>45</x:v>
      </x:c>
      <x:c r="E162" s="10" t="n">
        <x:f>0+0</x:f>
        <x:v>0</x:v>
      </x:c>
      <x:c r="F162" s="10" t="n">
        <x:f>0</x:f>
        <x:v>0</x:v>
      </x:c>
      <x:c r="G162" s="10" t="n">
        <x:f>MAX(-'00_Arquitectura'!$B$106,MIN('00_Arquitectura'!$B$106,E162+F162))</x:f>
        <x:v>0</x:v>
      </x:c>
      <x:c r="H162" s="10" t="n">
        <x:f>MAX(0,MIN(100,D162+G162))</x:f>
        <x:v>45</x:v>
      </x:c>
      <x:c r="I162" s="10" t="n">
        <x:f>0</x:f>
        <x:v>0</x:v>
      </x:c>
      <x:c r="J162" s="10" t="n">
        <x:f>MAX(-'00_Arquitectura'!$B$107,MIN('00_Arquitectura'!$B$107,$J$869+$J$873))</x:f>
        <x:v>0</x:v>
      </x:c>
      <x:c r="K162" s="10" t="n">
        <x:f>MAX(0,MIN(100,H162+I162+J162))</x:f>
        <x:v>45</x:v>
      </x:c>
      <x:c r="L162" s="10" t="str">
        <x:v>Pulsos y offsets: filtrar Instancias por escenario, turno y targetId. Base separada del nivel visible.</x:v>
      </x:c>
    </x:row>
    <x:row r="163" ht="34" customHeight="1">
      <x:c r="A163" s="5" t="str">
        <x:v>S1_EMISION</x:v>
      </x:c>
      <x:c r="B163" s="5" t="n">
        <x:v>7</x:v>
      </x:c>
      <x:c r="C163" s="5" t="str">
        <x:v>seguridad</x:v>
      </x:c>
      <x:c r="D163" s="5" t="n">
        <x:f>$H$149</x:f>
        <x:v>45</x:v>
      </x:c>
      <x:c r="E163" s="5" t="n">
        <x:f>0+0</x:f>
        <x:v>0</x:v>
      </x:c>
      <x:c r="F163" s="5" t="n">
        <x:f>0</x:f>
        <x:v>0</x:v>
      </x:c>
      <x:c r="G163" s="5" t="n">
        <x:f>MAX(-'00_Arquitectura'!$B$106,MIN('00_Arquitectura'!$B$106,E163+F163))</x:f>
        <x:v>0</x:v>
      </x:c>
      <x:c r="H163" s="5" t="n">
        <x:f>MAX(0,MIN(100,D163+G163))</x:f>
        <x:v>45</x:v>
      </x:c>
      <x:c r="I163" s="5" t="n">
        <x:f>0</x:f>
        <x:v>0</x:v>
      </x:c>
      <x:c r="J163" s="5" t="n">
        <x:f>MAX(-'00_Arquitectura'!$B$107,MIN('00_Arquitectura'!$B$107,0))</x:f>
        <x:v>0</x:v>
      </x:c>
      <x:c r="K163" s="5" t="n">
        <x:f>MAX(0,MIN(100,H163+I163+J163))</x:f>
        <x:v>45</x:v>
      </x:c>
      <x:c r="L163" s="5" t="str">
        <x:v>Pulsos y offsets: filtrar Instancias por escenario, turno y targetId. Base separada del nivel visible.</x:v>
      </x:c>
    </x:row>
    <x:row r="164" ht="34" customHeight="1">
      <x:c r="A164" s="10" t="str">
        <x:v>S1_EMISION</x:v>
      </x:c>
      <x:c r="B164" s="10" t="n">
        <x:v>7</x:v>
      </x:c>
      <x:c r="C164" s="10" t="str">
        <x:v>ciencia</x:v>
      </x:c>
      <x:c r="D164" s="10" t="n">
        <x:f>$H$150</x:f>
        <x:v>40</x:v>
      </x:c>
      <x:c r="E164" s="10" t="n">
        <x:f>0+0</x:f>
        <x:v>0</x:v>
      </x:c>
      <x:c r="F164" s="10" t="n">
        <x:f>0</x:f>
        <x:v>0</x:v>
      </x:c>
      <x:c r="G164" s="10" t="n">
        <x:f>MAX(-'00_Arquitectura'!$B$106,MIN('00_Arquitectura'!$B$106,E164+F164))</x:f>
        <x:v>0</x:v>
      </x:c>
      <x:c r="H164" s="10" t="n">
        <x:f>MAX(0,MIN(100,D164+G164))</x:f>
        <x:v>40</x:v>
      </x:c>
      <x:c r="I164" s="10" t="n">
        <x:f>0</x:f>
        <x:v>0</x:v>
      </x:c>
      <x:c r="J164" s="10" t="n">
        <x:f>MAX(-'00_Arquitectura'!$B$107,MIN('00_Arquitectura'!$B$107,$J$872))</x:f>
        <x:v>0</x:v>
      </x:c>
      <x:c r="K164" s="10" t="n">
        <x:f>MAX(0,MIN(100,H164+I164+J164))</x:f>
        <x:v>40</x:v>
      </x:c>
      <x:c r="L164" s="10" t="str">
        <x:v>Pulsos y offsets: filtrar Instancias por escenario, turno y targetId. Base separada del nivel visible.</x:v>
      </x:c>
    </x:row>
    <x:row r="165" ht="34" customHeight="1">
      <x:c r="A165" s="5" t="str">
        <x:v>S1_EMISION</x:v>
      </x:c>
      <x:c r="B165" s="5" t="n">
        <x:v>7</x:v>
      </x:c>
      <x:c r="C165" s="5" t="str">
        <x:v>derechos</x:v>
      </x:c>
      <x:c r="D165" s="5" t="n">
        <x:f>$H$151</x:f>
        <x:v>55</x:v>
      </x:c>
      <x:c r="E165" s="5" t="n">
        <x:f>0+0</x:f>
        <x:v>0</x:v>
      </x:c>
      <x:c r="F165" s="5" t="n">
        <x:f>0</x:f>
        <x:v>0</x:v>
      </x:c>
      <x:c r="G165" s="5" t="n">
        <x:f>MAX(-'00_Arquitectura'!$B$106,MIN('00_Arquitectura'!$B$106,E165+F165))</x:f>
        <x:v>0</x:v>
      </x:c>
      <x:c r="H165" s="5" t="n">
        <x:f>MAX(0,MIN(100,D165+G165))</x:f>
        <x:v>55</x:v>
      </x:c>
      <x:c r="I165" s="5" t="n">
        <x:f>0</x:f>
        <x:v>0</x:v>
      </x:c>
      <x:c r="J165" s="5" t="n">
        <x:f>MAX(-'00_Arquitectura'!$B$107,MIN('00_Arquitectura'!$B$107,0))</x:f>
        <x:v>0</x:v>
      </x:c>
      <x:c r="K165" s="5" t="n">
        <x:f>MAX(0,MIN(100,H165+I165+J165))</x:f>
        <x:v>55</x:v>
      </x:c>
      <x:c r="L165" s="5" t="str">
        <x:v>Pulsos y offsets: filtrar Instancias por escenario, turno y targetId. Base separada del nivel visible.</x:v>
      </x:c>
    </x:row>
    <x:row r="166" ht="34" customHeight="1">
      <x:c r="A166" s="10" t="str">
        <x:v>S1_EMISION</x:v>
      </x:c>
      <x:c r="B166" s="10" t="n">
        <x:v>7</x:v>
      </x:c>
      <x:c r="C166" s="10" t="str">
        <x:v>ambiente</x:v>
      </x:c>
      <x:c r="D166" s="10" t="n">
        <x:f>$H$152</x:f>
        <x:v>50</x:v>
      </x:c>
      <x:c r="E166" s="10" t="n">
        <x:f>0+0</x:f>
        <x:v>0</x:v>
      </x:c>
      <x:c r="F166" s="10" t="n">
        <x:f>0</x:f>
        <x:v>0</x:v>
      </x:c>
      <x:c r="G166" s="10" t="n">
        <x:f>MAX(-'00_Arquitectura'!$B$106,MIN('00_Arquitectura'!$B$106,E166+F166))</x:f>
        <x:v>0</x:v>
      </x:c>
      <x:c r="H166" s="10" t="n">
        <x:f>MAX(0,MIN(100,D166+G166))</x:f>
        <x:v>50</x:v>
      </x:c>
      <x:c r="I166" s="10" t="n">
        <x:f>0</x:f>
        <x:v>0</x:v>
      </x:c>
      <x:c r="J166" s="10" t="n">
        <x:f>MAX(-'00_Arquitectura'!$B$107,MIN('00_Arquitectura'!$B$107,0))</x:f>
        <x:v>0</x:v>
      </x:c>
      <x:c r="K166" s="10" t="n">
        <x:f>MAX(0,MIN(100,H166+I166+J166))</x:f>
        <x:v>50</x:v>
      </x:c>
      <x:c r="L166" s="10" t="str">
        <x:v>Pulsos y offsets: filtrar Instancias por escenario, turno y targetId. Base separada del nivel visible.</x:v>
      </x:c>
    </x:row>
    <x:row r="167" ht="42" customHeight="1">
      <x:c r="A167" s="5" t="str">
        <x:v>S1_EMISION</x:v>
      </x:c>
      <x:c r="B167" s="5" t="n">
        <x:v>8</x:v>
      </x:c>
      <x:c r="C167" s="5" t="str">
        <x:v>inflacion</x:v>
      </x:c>
      <x:c r="D167" s="5" t="n">
        <x:f>$H$153</x:f>
        <x:v>62.71510000000001</x:v>
      </x:c>
      <x:c r="E167" s="5" t="n">
        <x:f>0+0</x:f>
        <x:v>0</x:v>
      </x:c>
      <x:c r="F167" s="5" t="n">
        <x:f>-'00_Arquitectura'!$B$96*($H$153-40)</x:f>
        <x:v>-2.2715100000000006</x:v>
      </x:c>
      <x:c r="G167" s="5" t="n">
        <x:f>MAX(-'00_Arquitectura'!$B$106,MIN('00_Arquitectura'!$B$106,E167+F167))</x:f>
        <x:v>-2.2715100000000006</x:v>
      </x:c>
      <x:c r="H167" s="5" t="n">
        <x:f>MAX(0,MIN(100,D167+G167))</x:f>
        <x:v>60.44359000000001</x:v>
      </x:c>
      <x:c r="I167" s="5" t="n">
        <x:f>0</x:f>
        <x:v>0</x:v>
      </x:c>
      <x:c r="J167" s="5" t="n">
        <x:f>MAX(-'00_Arquitectura'!$B$107,MIN('00_Arquitectura'!$B$107,0))</x:f>
        <x:v>0</x:v>
      </x:c>
      <x:c r="K167" s="5" t="n">
        <x:f>MAX(0,MIN(100,H167+I167+J167))</x:f>
        <x:v>60.44359000000001</x:v>
      </x:c>
      <x:c r="L167" s="5" t="str">
        <x:v>Aplica link L01. Pulsos y offsets: filtrar Instancias por escenario, turno y targetId. Base separada del nivel visible.</x:v>
      </x:c>
    </x:row>
    <x:row r="168" ht="42" customHeight="1">
      <x:c r="A168" s="10" t="str">
        <x:v>S1_EMISION</x:v>
      </x:c>
      <x:c r="B168" s="10" t="n">
        <x:v>8</x:v>
      </x:c>
      <x:c r="C168" s="10" t="str">
        <x:v>actividad</x:v>
      </x:c>
      <x:c r="D168" s="10" t="n">
        <x:f>$H$154</x:f>
        <x:v>49.7284070848</x:v>
      </x:c>
      <x:c r="E168" s="10" t="n">
        <x:f>0+0</x:f>
        <x:v>0</x:v>
      </x:c>
      <x:c r="F168" s="10" t="n">
        <x:f>-'00_Arquitectura'!$B$97*($H$154-50)+'00_Arquitectura'!$B$98*($K$156-45)+'00_Arquitectura'!$B$99*($K$159-45)+'00_Arquitectura'!$B$100*($K$158-45)</x:f>
        <x:v>-0.30099808415999973</x:v>
      </x:c>
      <x:c r="G168" s="10" t="n">
        <x:f>MAX(-'00_Arquitectura'!$B$106,MIN('00_Arquitectura'!$B$106,E168+F168))</x:f>
        <x:v>-0.30099808415999973</x:v>
      </x:c>
      <x:c r="H168" s="10" t="n">
        <x:f>MAX(0,MIN(100,D168+G168))</x:f>
        <x:v>49.42740900064</x:v>
      </x:c>
      <x:c r="I168" s="10" t="n">
        <x:f>0</x:f>
        <x:v>0</x:v>
      </x:c>
      <x:c r="J168" s="10" t="n">
        <x:f>MAX(-'00_Arquitectura'!$B$107,MIN('00_Arquitectura'!$B$107,$J$881+$J$884+$J$885))</x:f>
        <x:v>0</x:v>
      </x:c>
      <x:c r="K168" s="10" t="n">
        <x:f>MAX(0,MIN(100,H168+I168+J168))</x:f>
        <x:v>49.42740900064</x:v>
      </x:c>
      <x:c r="L168" s="10" t="str">
        <x:v>Aplica link L02. Pulsos y offsets: filtrar Instancias por escenario, turno y targetId. Base separada del nivel visible.</x:v>
      </x:c>
    </x:row>
    <x:row r="169" ht="42" customHeight="1">
      <x:c r="A169" s="5" t="str">
        <x:v>S1_EMISION</x:v>
      </x:c>
      <x:c r="B169" s="5" t="n">
        <x:v>8</x:v>
      </x:c>
      <x:c r="C169" s="5" t="str">
        <x:v>ingreso_real</x:v>
      </x:c>
      <x:c r="D169" s="5" t="n">
        <x:f>$H$155</x:f>
        <x:v>36.45159047999999</x:v>
      </x:c>
      <x:c r="E169" s="5" t="n">
        <x:f>0+0</x:f>
        <x:v>0</x:v>
      </x:c>
      <x:c r="F169" s="5" t="n">
        <x:f>'00_Arquitectura'!$B$101*($K$154-$K$140)+'00_Arquitectura'!$B$102*($K$153-$K$139)</x:f>
        <x:v>0.5573855827199992</x:v>
      </x:c>
      <x:c r="G169" s="5" t="n">
        <x:f>MAX(-'00_Arquitectura'!$B$106,MIN('00_Arquitectura'!$B$106,E169+F169))</x:f>
        <x:v>0.5573855827199992</x:v>
      </x:c>
      <x:c r="H169" s="5" t="n">
        <x:f>MAX(0,MIN(100,D169+G169))</x:f>
        <x:v>37.008976062719995</x:v>
      </x:c>
      <x:c r="I169" s="5" t="n">
        <x:f>0</x:f>
        <x:v>0</x:v>
      </x:c>
      <x:c r="J169" s="5" t="n">
        <x:f>MAX(-'00_Arquitectura'!$B$107,MIN('00_Arquitectura'!$B$107,0))</x:f>
        <x:v>0</x:v>
      </x:c>
      <x:c r="K169" s="5" t="n">
        <x:f>MAX(0,MIN(100,H169+I169+J169))</x:f>
        <x:v>37.008976062719995</x:v>
      </x:c>
      <x:c r="L169" s="5" t="str">
        <x:v>Aplica link L03. Pulsos y offsets: filtrar Instancias por escenario, turno y targetId. Base separada del nivel visible.</x:v>
      </x:c>
    </x:row>
    <x:row r="170" ht="42" customHeight="1">
      <x:c r="A170" s="10" t="str">
        <x:v>S1_EMISION</x:v>
      </x:c>
      <x:c r="B170" s="10" t="n">
        <x:v>8</x:v>
      </x:c>
      <x:c r="C170" s="10" t="str">
        <x:v>credito</x:v>
      </x:c>
      <x:c r="D170" s="10" t="n">
        <x:f>$H$156</x:f>
        <x:v>40.558541659999996</x:v>
      </x:c>
      <x:c r="E170" s="10" t="n">
        <x:f>0+0</x:f>
        <x:v>0</x:v>
      </x:c>
      <x:c r="F170" s="10" t="n">
        <x:f>-'00_Arquitectura'!$B$103*($H$156-45)+'00_Arquitectura'!$B$104*($K$153-$K$139)+'00_Arquitectura'!$B$105*($K$157-'00_Arquitectura'!$B$117)</x:f>
        <x:v>1.1786051638000001</x:v>
      </x:c>
      <x:c r="G170" s="10" t="n">
        <x:f>MAX(-'00_Arquitectura'!$B$106,MIN('00_Arquitectura'!$B$106,E170+F170))</x:f>
        <x:v>1.1786051638000001</x:v>
      </x:c>
      <x:c r="H170" s="10" t="n">
        <x:f>MAX(0,MIN(100,D170+G170))</x:f>
        <x:v>41.737146823799996</x:v>
      </x:c>
      <x:c r="I170" s="10" t="n">
        <x:f>0</x:f>
        <x:v>0</x:v>
      </x:c>
      <x:c r="J170" s="10" t="n">
        <x:f>MAX(-'00_Arquitectura'!$B$107,MIN('00_Arquitectura'!$B$107,$J$883))</x:f>
        <x:v>0</x:v>
      </x:c>
      <x:c r="K170" s="10" t="n">
        <x:f>MAX(0,MIN(100,H170+I170+J170))</x:f>
        <x:v>41.737146823799996</x:v>
      </x:c>
      <x:c r="L170" s="10" t="str">
        <x:v>Aplica link L04. Pulsos y offsets: filtrar Instancias por escenario, turno y targetId. Base separada del nivel visible.</x:v>
      </x:c>
    </x:row>
    <x:row r="171" ht="34" customHeight="1">
      <x:c r="A171" s="5" t="str">
        <x:v>S1_EMISION</x:v>
      </x:c>
      <x:c r="B171" s="5" t="n">
        <x:v>8</x:v>
      </x:c>
      <x:c r="C171" s="5" t="str">
        <x:v>fiscal</x:v>
      </x:c>
      <x:c r="D171" s="5" t="n">
        <x:f>$H$157</x:f>
        <x:v>58.38032064</x:v>
      </x:c>
      <x:c r="E171" s="5" t="n">
        <x:f>0+0</x:f>
        <x:v>0</x:v>
      </x:c>
      <x:c r="F171" s="5" t="n">
        <x:f>0</x:f>
        <x:v>0</x:v>
      </x:c>
      <x:c r="G171" s="5" t="n">
        <x:f>MAX(-'00_Arquitectura'!$B$106,MIN('00_Arquitectura'!$B$106,E171+F171))</x:f>
        <x:v>0</x:v>
      </x:c>
      <x:c r="H171" s="5" t="n">
        <x:f>$O$22</x:f>
        <x:v>57.94568141696</x:v>
      </x:c>
      <x:c r="I171" s="5" t="n">
        <x:f>0</x:f>
        <x:v>0</x:v>
      </x:c>
      <x:c r="J171" s="5" t="n">
        <x:f>MAX(-'00_Arquitectura'!$B$107,MIN('00_Arquitectura'!$B$107,0))</x:f>
        <x:v>0</x:v>
      </x:c>
      <x:c r="K171" s="5" t="n">
        <x:f>MAX(0,MIN(100,H171+I171+J171))</x:f>
        <x:v>57.94568141696</x:v>
      </x:c>
      <x:c r="L171" s="5" t="str">
        <x:v>Derivado de caja: ingreso recurrente, gasto, intereses y deuda. Nunca SUM de efectos fiscales directos.</x:v>
      </x:c>
    </x:row>
    <x:row r="172" ht="34" customHeight="1">
      <x:c r="A172" s="10" t="str">
        <x:v>S1_EMISION</x:v>
      </x:c>
      <x:c r="B172" s="10" t="n">
        <x:v>8</x:v>
      </x:c>
      <x:c r="C172" s="10" t="str">
        <x:v>externo</x:v>
      </x:c>
      <x:c r="D172" s="10" t="n">
        <x:f>$H$158</x:f>
        <x:v>45</x:v>
      </x:c>
      <x:c r="E172" s="10" t="n">
        <x:f>0+0</x:f>
        <x:v>0</x:v>
      </x:c>
      <x:c r="F172" s="10" t="n">
        <x:f>0</x:f>
        <x:v>0</x:v>
      </x:c>
      <x:c r="G172" s="10" t="n">
        <x:f>MAX(-'00_Arquitectura'!$B$106,MIN('00_Arquitectura'!$B$106,E172+F172))</x:f>
        <x:v>0</x:v>
      </x:c>
      <x:c r="H172" s="10" t="n">
        <x:f>MAX(0,MIN(100,D172+G172))</x:f>
        <x:v>45</x:v>
      </x:c>
      <x:c r="I172" s="10" t="n">
        <x:f>0</x:f>
        <x:v>0</x:v>
      </x:c>
      <x:c r="J172" s="10" t="n">
        <x:f>MAX(-'00_Arquitectura'!$B$107,MIN('00_Arquitectura'!$B$107,$J$882))</x:f>
        <x:v>0</x:v>
      </x:c>
      <x:c r="K172" s="10" t="n">
        <x:f>MAX(0,MIN(100,H172+I172+J172))</x:f>
        <x:v>45</x:v>
      </x:c>
      <x:c r="L172" s="10" t="str">
        <x:v>Pulsos y offsets: filtrar Instancias por escenario, turno y targetId. Base separada del nivel visible.</x:v>
      </x:c>
    </x:row>
    <x:row r="173" ht="34" customHeight="1">
      <x:c r="A173" s="5" t="str">
        <x:v>S1_EMISION</x:v>
      </x:c>
      <x:c r="B173" s="5" t="n">
        <x:v>8</x:v>
      </x:c>
      <x:c r="C173" s="5" t="str">
        <x:v>infraestructura</x:v>
      </x:c>
      <x:c r="D173" s="5" t="n">
        <x:f>$H$159</x:f>
        <x:v>45</x:v>
      </x:c>
      <x:c r="E173" s="5" t="n">
        <x:f>0+0</x:f>
        <x:v>0</x:v>
      </x:c>
      <x:c r="F173" s="5" t="n">
        <x:f>0</x:f>
        <x:v>0</x:v>
      </x:c>
      <x:c r="G173" s="5" t="n">
        <x:f>MAX(-'00_Arquitectura'!$B$106,MIN('00_Arquitectura'!$B$106,E173+F173))</x:f>
        <x:v>0</x:v>
      </x:c>
      <x:c r="H173" s="5" t="n">
        <x:f>MAX(0,MIN(100,D173+G173))</x:f>
        <x:v>45</x:v>
      </x:c>
      <x:c r="I173" s="5" t="n">
        <x:f>0</x:f>
        <x:v>0</x:v>
      </x:c>
      <x:c r="J173" s="5" t="n">
        <x:f>MAX(-'00_Arquitectura'!$B$107,MIN('00_Arquitectura'!$B$107,0))</x:f>
        <x:v>0</x:v>
      </x:c>
      <x:c r="K173" s="5" t="n">
        <x:f>MAX(0,MIN(100,H173+I173+J173))</x:f>
        <x:v>45</x:v>
      </x:c>
      <x:c r="L173" s="5" t="str">
        <x:v>Pulsos y offsets: filtrar Instancias por escenario, turno y targetId. Base separada del nivel visible.</x:v>
      </x:c>
    </x:row>
    <x:row r="174" ht="34" customHeight="1">
      <x:c r="A174" s="10" t="str">
        <x:v>S1_EMISION</x:v>
      </x:c>
      <x:c r="B174" s="10" t="n">
        <x:v>8</x:v>
      </x:c>
      <x:c r="C174" s="10" t="str">
        <x:v>educacion</x:v>
      </x:c>
      <x:c r="D174" s="10" t="n">
        <x:f>$H$160</x:f>
        <x:v>50</x:v>
      </x:c>
      <x:c r="E174" s="10" t="n">
        <x:f>0+0</x:f>
        <x:v>0</x:v>
      </x:c>
      <x:c r="F174" s="10" t="n">
        <x:f>0</x:f>
        <x:v>0</x:v>
      </x:c>
      <x:c r="G174" s="10" t="n">
        <x:f>MAX(-'00_Arquitectura'!$B$106,MIN('00_Arquitectura'!$B$106,E174+F174))</x:f>
        <x:v>0</x:v>
      </x:c>
      <x:c r="H174" s="10" t="n">
        <x:f>MAX(0,MIN(100,D174+G174))</x:f>
        <x:v>50</x:v>
      </x:c>
      <x:c r="I174" s="10" t="n">
        <x:f>0</x:f>
        <x:v>0</x:v>
      </x:c>
      <x:c r="J174" s="10" t="n">
        <x:f>MAX(-'00_Arquitectura'!$B$107,MIN('00_Arquitectura'!$B$107,$J$889))</x:f>
        <x:v>0</x:v>
      </x:c>
      <x:c r="K174" s="10" t="n">
        <x:f>MAX(0,MIN(100,H174+I174+J174))</x:f>
        <x:v>50</x:v>
      </x:c>
      <x:c r="L174" s="10" t="str">
        <x:v>Pulsos y offsets: filtrar Instancias por escenario, turno y targetId. Base separada del nivel visible.</x:v>
      </x:c>
    </x:row>
    <x:row r="175" ht="34" customHeight="1">
      <x:c r="A175" s="5" t="str">
        <x:v>S1_EMISION</x:v>
      </x:c>
      <x:c r="B175" s="5" t="n">
        <x:v>8</x:v>
      </x:c>
      <x:c r="C175" s="5" t="str">
        <x:v>salud</x:v>
      </x:c>
      <x:c r="D175" s="5" t="n">
        <x:f>$H$161</x:f>
        <x:v>50</x:v>
      </x:c>
      <x:c r="E175" s="5" t="n">
        <x:f>0+0</x:f>
        <x:v>0</x:v>
      </x:c>
      <x:c r="F175" s="5" t="n">
        <x:f>0</x:f>
        <x:v>0</x:v>
      </x:c>
      <x:c r="G175" s="5" t="n">
        <x:f>MAX(-'00_Arquitectura'!$B$106,MIN('00_Arquitectura'!$B$106,E175+F175))</x:f>
        <x:v>0</x:v>
      </x:c>
      <x:c r="H175" s="5" t="n">
        <x:f>MAX(0,MIN(100,D175+G175))</x:f>
        <x:v>50</x:v>
      </x:c>
      <x:c r="I175" s="5" t="n">
        <x:f>0</x:f>
        <x:v>0</x:v>
      </x:c>
      <x:c r="J175" s="5" t="n">
        <x:f>MAX(-'00_Arquitectura'!$B$107,MIN('00_Arquitectura'!$B$107,0))</x:f>
        <x:v>0</x:v>
      </x:c>
      <x:c r="K175" s="5" t="n">
        <x:f>MAX(0,MIN(100,H175+I175+J175))</x:f>
        <x:v>50</x:v>
      </x:c>
      <x:c r="L175" s="5" t="str">
        <x:v>Pulsos y offsets: filtrar Instancias por escenario, turno y targetId. Base separada del nivel visible.</x:v>
      </x:c>
    </x:row>
    <x:row r="176" ht="34" customHeight="1">
      <x:c r="A176" s="10" t="str">
        <x:v>S1_EMISION</x:v>
      </x:c>
      <x:c r="B176" s="10" t="n">
        <x:v>8</x:v>
      </x:c>
      <x:c r="C176" s="10" t="str">
        <x:v>proteccion</x:v>
      </x:c>
      <x:c r="D176" s="10" t="n">
        <x:f>$H$162</x:f>
        <x:v>45</x:v>
      </x:c>
      <x:c r="E176" s="10" t="n">
        <x:f>0+0</x:f>
        <x:v>0</x:v>
      </x:c>
      <x:c r="F176" s="10" t="n">
        <x:f>0</x:f>
        <x:v>0</x:v>
      </x:c>
      <x:c r="G176" s="10" t="n">
        <x:f>MAX(-'00_Arquitectura'!$B$106,MIN('00_Arquitectura'!$B$106,E176+F176))</x:f>
        <x:v>0</x:v>
      </x:c>
      <x:c r="H176" s="10" t="n">
        <x:f>MAX(0,MIN(100,D176+G176))</x:f>
        <x:v>45</x:v>
      </x:c>
      <x:c r="I176" s="10" t="n">
        <x:f>0</x:f>
        <x:v>0</x:v>
      </x:c>
      <x:c r="J176" s="10" t="n">
        <x:f>MAX(-'00_Arquitectura'!$B$107,MIN('00_Arquitectura'!$B$107,$J$887+$J$891))</x:f>
        <x:v>0</x:v>
      </x:c>
      <x:c r="K176" s="10" t="n">
        <x:f>MAX(0,MIN(100,H176+I176+J176))</x:f>
        <x:v>45</x:v>
      </x:c>
      <x:c r="L176" s="10" t="str">
        <x:v>Pulsos y offsets: filtrar Instancias por escenario, turno y targetId. Base separada del nivel visible.</x:v>
      </x:c>
    </x:row>
    <x:row r="177" ht="34" customHeight="1">
      <x:c r="A177" s="5" t="str">
        <x:v>S1_EMISION</x:v>
      </x:c>
      <x:c r="B177" s="5" t="n">
        <x:v>8</x:v>
      </x:c>
      <x:c r="C177" s="5" t="str">
        <x:v>seguridad</x:v>
      </x:c>
      <x:c r="D177" s="5" t="n">
        <x:f>$H$163</x:f>
        <x:v>45</x:v>
      </x:c>
      <x:c r="E177" s="5" t="n">
        <x:f>0+0</x:f>
        <x:v>0</x:v>
      </x:c>
      <x:c r="F177" s="5" t="n">
        <x:f>0</x:f>
        <x:v>0</x:v>
      </x:c>
      <x:c r="G177" s="5" t="n">
        <x:f>MAX(-'00_Arquitectura'!$B$106,MIN('00_Arquitectura'!$B$106,E177+F177))</x:f>
        <x:v>0</x:v>
      </x:c>
      <x:c r="H177" s="5" t="n">
        <x:f>MAX(0,MIN(100,D177+G177))</x:f>
        <x:v>45</x:v>
      </x:c>
      <x:c r="I177" s="5" t="n">
        <x:f>0</x:f>
        <x:v>0</x:v>
      </x:c>
      <x:c r="J177" s="5" t="n">
        <x:f>MAX(-'00_Arquitectura'!$B$107,MIN('00_Arquitectura'!$B$107,0))</x:f>
        <x:v>0</x:v>
      </x:c>
      <x:c r="K177" s="5" t="n">
        <x:f>MAX(0,MIN(100,H177+I177+J177))</x:f>
        <x:v>45</x:v>
      </x:c>
      <x:c r="L177" s="5" t="str">
        <x:v>Pulsos y offsets: filtrar Instancias por escenario, turno y targetId. Base separada del nivel visible.</x:v>
      </x:c>
    </x:row>
    <x:row r="178" ht="34" customHeight="1">
      <x:c r="A178" s="10" t="str">
        <x:v>S1_EMISION</x:v>
      </x:c>
      <x:c r="B178" s="10" t="n">
        <x:v>8</x:v>
      </x:c>
      <x:c r="C178" s="10" t="str">
        <x:v>ciencia</x:v>
      </x:c>
      <x:c r="D178" s="10" t="n">
        <x:f>$H$164</x:f>
        <x:v>40</x:v>
      </x:c>
      <x:c r="E178" s="10" t="n">
        <x:f>0+0</x:f>
        <x:v>0</x:v>
      </x:c>
      <x:c r="F178" s="10" t="n">
        <x:f>0</x:f>
        <x:v>0</x:v>
      </x:c>
      <x:c r="G178" s="10" t="n">
        <x:f>MAX(-'00_Arquitectura'!$B$106,MIN('00_Arquitectura'!$B$106,E178+F178))</x:f>
        <x:v>0</x:v>
      </x:c>
      <x:c r="H178" s="10" t="n">
        <x:f>MAX(0,MIN(100,D178+G178))</x:f>
        <x:v>40</x:v>
      </x:c>
      <x:c r="I178" s="10" t="n">
        <x:f>0</x:f>
        <x:v>0</x:v>
      </x:c>
      <x:c r="J178" s="10" t="n">
        <x:f>MAX(-'00_Arquitectura'!$B$107,MIN('00_Arquitectura'!$B$107,$J$890))</x:f>
        <x:v>0</x:v>
      </x:c>
      <x:c r="K178" s="10" t="n">
        <x:f>MAX(0,MIN(100,H178+I178+J178))</x:f>
        <x:v>40</x:v>
      </x:c>
      <x:c r="L178" s="10" t="str">
        <x:v>Pulsos y offsets: filtrar Instancias por escenario, turno y targetId. Base separada del nivel visible.</x:v>
      </x:c>
    </x:row>
    <x:row r="179" ht="34" customHeight="1">
      <x:c r="A179" s="5" t="str">
        <x:v>S1_EMISION</x:v>
      </x:c>
      <x:c r="B179" s="5" t="n">
        <x:v>8</x:v>
      </x:c>
      <x:c r="C179" s="5" t="str">
        <x:v>derechos</x:v>
      </x:c>
      <x:c r="D179" s="5" t="n">
        <x:f>$H$165</x:f>
        <x:v>55</x:v>
      </x:c>
      <x:c r="E179" s="5" t="n">
        <x:f>0+0</x:f>
        <x:v>0</x:v>
      </x:c>
      <x:c r="F179" s="5" t="n">
        <x:f>0</x:f>
        <x:v>0</x:v>
      </x:c>
      <x:c r="G179" s="5" t="n">
        <x:f>MAX(-'00_Arquitectura'!$B$106,MIN('00_Arquitectura'!$B$106,E179+F179))</x:f>
        <x:v>0</x:v>
      </x:c>
      <x:c r="H179" s="5" t="n">
        <x:f>MAX(0,MIN(100,D179+G179))</x:f>
        <x:v>55</x:v>
      </x:c>
      <x:c r="I179" s="5" t="n">
        <x:f>0</x:f>
        <x:v>0</x:v>
      </x:c>
      <x:c r="J179" s="5" t="n">
        <x:f>MAX(-'00_Arquitectura'!$B$107,MIN('00_Arquitectura'!$B$107,0))</x:f>
        <x:v>0</x:v>
      </x:c>
      <x:c r="K179" s="5" t="n">
        <x:f>MAX(0,MIN(100,H179+I179+J179))</x:f>
        <x:v>55</x:v>
      </x:c>
      <x:c r="L179" s="5" t="str">
        <x:v>Pulsos y offsets: filtrar Instancias por escenario, turno y targetId. Base separada del nivel visible.</x:v>
      </x:c>
    </x:row>
    <x:row r="180" ht="34" customHeight="1">
      <x:c r="A180" s="10" t="str">
        <x:v>S1_EMISION</x:v>
      </x:c>
      <x:c r="B180" s="10" t="n">
        <x:v>8</x:v>
      </x:c>
      <x:c r="C180" s="10" t="str">
        <x:v>ambiente</x:v>
      </x:c>
      <x:c r="D180" s="10" t="n">
        <x:f>$H$166</x:f>
        <x:v>50</x:v>
      </x:c>
      <x:c r="E180" s="10" t="n">
        <x:f>0+0</x:f>
        <x:v>0</x:v>
      </x:c>
      <x:c r="F180" s="10" t="n">
        <x:f>0</x:f>
        <x:v>0</x:v>
      </x:c>
      <x:c r="G180" s="10" t="n">
        <x:f>MAX(-'00_Arquitectura'!$B$106,MIN('00_Arquitectura'!$B$106,E180+F180))</x:f>
        <x:v>0</x:v>
      </x:c>
      <x:c r="H180" s="10" t="n">
        <x:f>MAX(0,MIN(100,D180+G180))</x:f>
        <x:v>50</x:v>
      </x:c>
      <x:c r="I180" s="10" t="n">
        <x:f>0</x:f>
        <x:v>0</x:v>
      </x:c>
      <x:c r="J180" s="10" t="n">
        <x:f>MAX(-'00_Arquitectura'!$B$107,MIN('00_Arquitectura'!$B$107,0))</x:f>
        <x:v>0</x:v>
      </x:c>
      <x:c r="K180" s="10" t="n">
        <x:f>MAX(0,MIN(100,H180+I180+J180))</x:f>
        <x:v>50</x:v>
      </x:c>
      <x:c r="L180" s="10" t="str">
        <x:v>Pulsos y offsets: filtrar Instancias por escenario, turno y targetId. Base separada del nivel visible.</x:v>
      </x:c>
    </x:row>
    <x:row r="181" ht="42" customHeight="1">
      <x:c r="A181" s="5" t="str">
        <x:v>S1_EMISION</x:v>
      </x:c>
      <x:c r="B181" s="5" t="n">
        <x:v>9</x:v>
      </x:c>
      <x:c r="C181" s="5" t="str">
        <x:v>inflacion</x:v>
      </x:c>
      <x:c r="D181" s="5" t="n">
        <x:f>$H$167</x:f>
        <x:v>60.44359000000001</x:v>
      </x:c>
      <x:c r="E181" s="5" t="n">
        <x:f>0+0</x:f>
        <x:v>0</x:v>
      </x:c>
      <x:c r="F181" s="5" t="n">
        <x:f>-'00_Arquitectura'!$B$96*($H$167-40)</x:f>
        <x:v>-2.044359000000001</x:v>
      </x:c>
      <x:c r="G181" s="5" t="n">
        <x:f>MAX(-'00_Arquitectura'!$B$106,MIN('00_Arquitectura'!$B$106,E181+F181))</x:f>
        <x:v>-2.044359000000001</x:v>
      </x:c>
      <x:c r="H181" s="5" t="n">
        <x:f>MAX(0,MIN(100,D181+G181))</x:f>
        <x:v>58.39923100000001</x:v>
      </x:c>
      <x:c r="I181" s="5" t="n">
        <x:f>0</x:f>
        <x:v>0</x:v>
      </x:c>
      <x:c r="J181" s="5" t="n">
        <x:f>MAX(-'00_Arquitectura'!$B$107,MIN('00_Arquitectura'!$B$107,0))</x:f>
        <x:v>0</x:v>
      </x:c>
      <x:c r="K181" s="5" t="n">
        <x:f>MAX(0,MIN(100,H181+I181+J181))</x:f>
        <x:v>58.39923100000001</x:v>
      </x:c>
      <x:c r="L181" s="5" t="str">
        <x:v>Aplica link L01. Pulsos y offsets: filtrar Instancias por escenario, turno y targetId. Base separada del nivel visible.</x:v>
      </x:c>
    </x:row>
    <x:row r="182" ht="42" customHeight="1">
      <x:c r="A182" s="10" t="str">
        <x:v>S1_EMISION</x:v>
      </x:c>
      <x:c r="B182" s="10" t="n">
        <x:v>9</x:v>
      </x:c>
      <x:c r="C182" s="10" t="str">
        <x:v>actividad</x:v>
      </x:c>
      <x:c r="D182" s="10" t="n">
        <x:f>$H$168</x:f>
        <x:v>49.42740900064</x:v>
      </x:c>
      <x:c r="E182" s="10" t="n">
        <x:f>0+0</x:f>
        <x:v>0</x:v>
      </x:c>
      <x:c r="F182" s="10" t="n">
        <x:f>-'00_Arquitectura'!$B$97*($H$168-50)+'00_Arquitectura'!$B$98*($K$170-45)+'00_Arquitectura'!$B$99*($K$173-45)+'00_Arquitectura'!$B$100*($K$172-45)</x:f>
        <x:v>-0.14651005422399974</x:v>
      </x:c>
      <x:c r="G182" s="10" t="n">
        <x:f>MAX(-'00_Arquitectura'!$B$106,MIN('00_Arquitectura'!$B$106,E182+F182))</x:f>
        <x:v>-0.14651005422399974</x:v>
      </x:c>
      <x:c r="H182" s="10" t="n">
        <x:f>MAX(0,MIN(100,D182+G182))</x:f>
        <x:v>49.280898946415995</x:v>
      </x:c>
      <x:c r="I182" s="10" t="n">
        <x:f>0</x:f>
        <x:v>0</x:v>
      </x:c>
      <x:c r="J182" s="10" t="n">
        <x:f>MAX(-'00_Arquitectura'!$B$107,MIN('00_Arquitectura'!$B$107,$J$899+$J$902+$J$903))</x:f>
        <x:v>0</x:v>
      </x:c>
      <x:c r="K182" s="10" t="n">
        <x:f>MAX(0,MIN(100,H182+I182+J182))</x:f>
        <x:v>49.280898946415995</x:v>
      </x:c>
      <x:c r="L182" s="10" t="str">
        <x:v>Aplica link L02. Pulsos y offsets: filtrar Instancias por escenario, turno y targetId. Base separada del nivel visible.</x:v>
      </x:c>
    </x:row>
    <x:row r="183" ht="42" customHeight="1">
      <x:c r="A183" s="5" t="str">
        <x:v>S1_EMISION</x:v>
      </x:c>
      <x:c r="B183" s="5" t="n">
        <x:v>9</x:v>
      </x:c>
      <x:c r="C183" s="5" t="str">
        <x:v>ingreso_real</x:v>
      </x:c>
      <x:c r="D183" s="5" t="n">
        <x:f>$H$169</x:f>
        <x:v>37.008976062719995</x:v>
      </x:c>
      <x:c r="E183" s="5" t="n">
        <x:f>0+0</x:f>
        <x:v>0</x:v>
      </x:c>
      <x:c r="F183" s="5" t="n">
        <x:f>'00_Arquitectura'!$B$101*($K$168-$K$154)+'00_Arquitectura'!$B$102*($K$167-$K$153)</x:f>
        <x:v>0.7498787873759998</x:v>
      </x:c>
      <x:c r="G183" s="5" t="n">
        <x:f>MAX(-'00_Arquitectura'!$B$106,MIN('00_Arquitectura'!$B$106,E183+F183))</x:f>
        <x:v>0.7498787873759998</x:v>
      </x:c>
      <x:c r="H183" s="5" t="n">
        <x:f>MAX(0,MIN(100,D183+G183))</x:f>
        <x:v>37.75885485009599</x:v>
      </x:c>
      <x:c r="I183" s="5" t="n">
        <x:f>0</x:f>
        <x:v>0</x:v>
      </x:c>
      <x:c r="J183" s="5" t="n">
        <x:f>MAX(-'00_Arquitectura'!$B$107,MIN('00_Arquitectura'!$B$107,0))</x:f>
        <x:v>0</x:v>
      </x:c>
      <x:c r="K183" s="5" t="n">
        <x:f>MAX(0,MIN(100,H183+I183+J183))</x:f>
        <x:v>37.75885485009599</x:v>
      </x:c>
      <x:c r="L183" s="5" t="str">
        <x:v>Aplica link L03. Pulsos y offsets: filtrar Instancias por escenario, turno y targetId. Base separada del nivel visible.</x:v>
      </x:c>
    </x:row>
    <x:row r="184" ht="42" customHeight="1">
      <x:c r="A184" s="10" t="str">
        <x:v>S1_EMISION</x:v>
      </x:c>
      <x:c r="B184" s="10" t="n">
        <x:v>9</x:v>
      </x:c>
      <x:c r="C184" s="10" t="str">
        <x:v>credito</x:v>
      </x:c>
      <x:c r="D184" s="10" t="n">
        <x:f>$H$170</x:f>
        <x:v>41.737146823799996</x:v>
      </x:c>
      <x:c r="E184" s="10" t="n">
        <x:f>0+0</x:f>
        <x:v>0</x:v>
      </x:c>
      <x:c r="F184" s="10" t="n">
        <x:f>-'00_Arquitectura'!$B$103*($H$170-45)+'00_Arquitectura'!$B$104*($K$167-$K$153)+'00_Arquitectura'!$B$105*($K$171-'00_Arquitectura'!$B$117)</x:f>
        <x:v>0.9426436047692004</x:v>
      </x:c>
      <x:c r="G184" s="10" t="n">
        <x:f>MAX(-'00_Arquitectura'!$B$106,MIN('00_Arquitectura'!$B$106,E184+F184))</x:f>
        <x:v>0.9426436047692004</x:v>
      </x:c>
      <x:c r="H184" s="10" t="n">
        <x:f>MAX(0,MIN(100,D184+G184))</x:f>
        <x:v>42.6797904285692</x:v>
      </x:c>
      <x:c r="I184" s="10" t="n">
        <x:f>0</x:f>
        <x:v>0</x:v>
      </x:c>
      <x:c r="J184" s="10" t="n">
        <x:f>MAX(-'00_Arquitectura'!$B$107,MIN('00_Arquitectura'!$B$107,$J$901))</x:f>
        <x:v>0</x:v>
      </x:c>
      <x:c r="K184" s="10" t="n">
        <x:f>MAX(0,MIN(100,H184+I184+J184))</x:f>
        <x:v>42.6797904285692</x:v>
      </x:c>
      <x:c r="L184" s="10" t="str">
        <x:v>Aplica link L04. Pulsos y offsets: filtrar Instancias por escenario, turno y targetId. Base separada del nivel visible.</x:v>
      </x:c>
    </x:row>
    <x:row r="185" ht="34" customHeight="1">
      <x:c r="A185" s="5" t="str">
        <x:v>S1_EMISION</x:v>
      </x:c>
      <x:c r="B185" s="5" t="n">
        <x:v>9</x:v>
      </x:c>
      <x:c r="C185" s="5" t="str">
        <x:v>fiscal</x:v>
      </x:c>
      <x:c r="D185" s="5" t="n">
        <x:f>$H$171</x:f>
        <x:v>57.94568141696</x:v>
      </x:c>
      <x:c r="E185" s="5" t="n">
        <x:f>0+0</x:f>
        <x:v>0</x:v>
      </x:c>
      <x:c r="F185" s="5" t="n">
        <x:f>0</x:f>
        <x:v>0</x:v>
      </x:c>
      <x:c r="G185" s="5" t="n">
        <x:f>MAX(-'00_Arquitectura'!$B$106,MIN('00_Arquitectura'!$B$106,E185+F185))</x:f>
        <x:v>0</x:v>
      </x:c>
      <x:c r="H185" s="5" t="n">
        <x:f>$O$23</x:f>
        <x:v>57.885481800128005</x:v>
      </x:c>
      <x:c r="I185" s="5" t="n">
        <x:f>0</x:f>
        <x:v>0</x:v>
      </x:c>
      <x:c r="J185" s="5" t="n">
        <x:f>MAX(-'00_Arquitectura'!$B$107,MIN('00_Arquitectura'!$B$107,0))</x:f>
        <x:v>0</x:v>
      </x:c>
      <x:c r="K185" s="5" t="n">
        <x:f>MAX(0,MIN(100,H185+I185+J185))</x:f>
        <x:v>57.885481800128005</x:v>
      </x:c>
      <x:c r="L185" s="5" t="str">
        <x:v>Derivado de caja: ingreso recurrente, gasto, intereses y deuda. Nunca SUM de efectos fiscales directos.</x:v>
      </x:c>
    </x:row>
    <x:row r="186" ht="34" customHeight="1">
      <x:c r="A186" s="10" t="str">
        <x:v>S1_EMISION</x:v>
      </x:c>
      <x:c r="B186" s="10" t="n">
        <x:v>9</x:v>
      </x:c>
      <x:c r="C186" s="10" t="str">
        <x:v>externo</x:v>
      </x:c>
      <x:c r="D186" s="10" t="n">
        <x:f>$H$172</x:f>
        <x:v>45</x:v>
      </x:c>
      <x:c r="E186" s="10" t="n">
        <x:f>0+0</x:f>
        <x:v>0</x:v>
      </x:c>
      <x:c r="F186" s="10" t="n">
        <x:f>0</x:f>
        <x:v>0</x:v>
      </x:c>
      <x:c r="G186" s="10" t="n">
        <x:f>MAX(-'00_Arquitectura'!$B$106,MIN('00_Arquitectura'!$B$106,E186+F186))</x:f>
        <x:v>0</x:v>
      </x:c>
      <x:c r="H186" s="10" t="n">
        <x:f>MAX(0,MIN(100,D186+G186))</x:f>
        <x:v>45</x:v>
      </x:c>
      <x:c r="I186" s="10" t="n">
        <x:f>0</x:f>
        <x:v>0</x:v>
      </x:c>
      <x:c r="J186" s="10" t="n">
        <x:f>MAX(-'00_Arquitectura'!$B$107,MIN('00_Arquitectura'!$B$107,$J$900))</x:f>
        <x:v>0</x:v>
      </x:c>
      <x:c r="K186" s="10" t="n">
        <x:f>MAX(0,MIN(100,H186+I186+J186))</x:f>
        <x:v>45</x:v>
      </x:c>
      <x:c r="L186" s="10" t="str">
        <x:v>Pulsos y offsets: filtrar Instancias por escenario, turno y targetId. Base separada del nivel visible.</x:v>
      </x:c>
    </x:row>
    <x:row r="187" ht="34" customHeight="1">
      <x:c r="A187" s="5" t="str">
        <x:v>S1_EMISION</x:v>
      </x:c>
      <x:c r="B187" s="5" t="n">
        <x:v>9</x:v>
      </x:c>
      <x:c r="C187" s="5" t="str">
        <x:v>infraestructura</x:v>
      </x:c>
      <x:c r="D187" s="5" t="n">
        <x:f>$H$173</x:f>
        <x:v>45</x:v>
      </x:c>
      <x:c r="E187" s="5" t="n">
        <x:f>0+0</x:f>
        <x:v>0</x:v>
      </x:c>
      <x:c r="F187" s="5" t="n">
        <x:f>0</x:f>
        <x:v>0</x:v>
      </x:c>
      <x:c r="G187" s="5" t="n">
        <x:f>MAX(-'00_Arquitectura'!$B$106,MIN('00_Arquitectura'!$B$106,E187+F187))</x:f>
        <x:v>0</x:v>
      </x:c>
      <x:c r="H187" s="5" t="n">
        <x:f>MAX(0,MIN(100,D187+G187))</x:f>
        <x:v>45</x:v>
      </x:c>
      <x:c r="I187" s="5" t="n">
        <x:f>0</x:f>
        <x:v>0</x:v>
      </x:c>
      <x:c r="J187" s="5" t="n">
        <x:f>MAX(-'00_Arquitectura'!$B$107,MIN('00_Arquitectura'!$B$107,0))</x:f>
        <x:v>0</x:v>
      </x:c>
      <x:c r="K187" s="5" t="n">
        <x:f>MAX(0,MIN(100,H187+I187+J187))</x:f>
        <x:v>45</x:v>
      </x:c>
      <x:c r="L187" s="5" t="str">
        <x:v>Pulsos y offsets: filtrar Instancias por escenario, turno y targetId. Base separada del nivel visible.</x:v>
      </x:c>
    </x:row>
    <x:row r="188" ht="34" customHeight="1">
      <x:c r="A188" s="10" t="str">
        <x:v>S1_EMISION</x:v>
      </x:c>
      <x:c r="B188" s="10" t="n">
        <x:v>9</x:v>
      </x:c>
      <x:c r="C188" s="10" t="str">
        <x:v>educacion</x:v>
      </x:c>
      <x:c r="D188" s="10" t="n">
        <x:f>$H$174</x:f>
        <x:v>50</x:v>
      </x:c>
      <x:c r="E188" s="10" t="n">
        <x:f>0+0</x:f>
        <x:v>0</x:v>
      </x:c>
      <x:c r="F188" s="10" t="n">
        <x:f>0</x:f>
        <x:v>0</x:v>
      </x:c>
      <x:c r="G188" s="10" t="n">
        <x:f>MAX(-'00_Arquitectura'!$B$106,MIN('00_Arquitectura'!$B$106,E188+F188))</x:f>
        <x:v>0</x:v>
      </x:c>
      <x:c r="H188" s="10" t="n">
        <x:f>MAX(0,MIN(100,D188+G188))</x:f>
        <x:v>50</x:v>
      </x:c>
      <x:c r="I188" s="10" t="n">
        <x:f>0</x:f>
        <x:v>0</x:v>
      </x:c>
      <x:c r="J188" s="10" t="n">
        <x:f>MAX(-'00_Arquitectura'!$B$107,MIN('00_Arquitectura'!$B$107,$J$907))</x:f>
        <x:v>0</x:v>
      </x:c>
      <x:c r="K188" s="10" t="n">
        <x:f>MAX(0,MIN(100,H188+I188+J188))</x:f>
        <x:v>50</x:v>
      </x:c>
      <x:c r="L188" s="10" t="str">
        <x:v>Pulsos y offsets: filtrar Instancias por escenario, turno y targetId. Base separada del nivel visible.</x:v>
      </x:c>
    </x:row>
    <x:row r="189" ht="34" customHeight="1">
      <x:c r="A189" s="5" t="str">
        <x:v>S1_EMISION</x:v>
      </x:c>
      <x:c r="B189" s="5" t="n">
        <x:v>9</x:v>
      </x:c>
      <x:c r="C189" s="5" t="str">
        <x:v>salud</x:v>
      </x:c>
      <x:c r="D189" s="5" t="n">
        <x:f>$H$175</x:f>
        <x:v>50</x:v>
      </x:c>
      <x:c r="E189" s="5" t="n">
        <x:f>0+0</x:f>
        <x:v>0</x:v>
      </x:c>
      <x:c r="F189" s="5" t="n">
        <x:f>0</x:f>
        <x:v>0</x:v>
      </x:c>
      <x:c r="G189" s="5" t="n">
        <x:f>MAX(-'00_Arquitectura'!$B$106,MIN('00_Arquitectura'!$B$106,E189+F189))</x:f>
        <x:v>0</x:v>
      </x:c>
      <x:c r="H189" s="5" t="n">
        <x:f>MAX(0,MIN(100,D189+G189))</x:f>
        <x:v>50</x:v>
      </x:c>
      <x:c r="I189" s="5" t="n">
        <x:f>0</x:f>
        <x:v>0</x:v>
      </x:c>
      <x:c r="J189" s="5" t="n">
        <x:f>MAX(-'00_Arquitectura'!$B$107,MIN('00_Arquitectura'!$B$107,0))</x:f>
        <x:v>0</x:v>
      </x:c>
      <x:c r="K189" s="5" t="n">
        <x:f>MAX(0,MIN(100,H189+I189+J189))</x:f>
        <x:v>50</x:v>
      </x:c>
      <x:c r="L189" s="5" t="str">
        <x:v>Pulsos y offsets: filtrar Instancias por escenario, turno y targetId. Base separada del nivel visible.</x:v>
      </x:c>
    </x:row>
    <x:row r="190" ht="34" customHeight="1">
      <x:c r="A190" s="10" t="str">
        <x:v>S1_EMISION</x:v>
      </x:c>
      <x:c r="B190" s="10" t="n">
        <x:v>9</x:v>
      </x:c>
      <x:c r="C190" s="10" t="str">
        <x:v>proteccion</x:v>
      </x:c>
      <x:c r="D190" s="10" t="n">
        <x:f>$H$176</x:f>
        <x:v>45</x:v>
      </x:c>
      <x:c r="E190" s="10" t="n">
        <x:f>0+0</x:f>
        <x:v>0</x:v>
      </x:c>
      <x:c r="F190" s="10" t="n">
        <x:f>0</x:f>
        <x:v>0</x:v>
      </x:c>
      <x:c r="G190" s="10" t="n">
        <x:f>MAX(-'00_Arquitectura'!$B$106,MIN('00_Arquitectura'!$B$106,E190+F190))</x:f>
        <x:v>0</x:v>
      </x:c>
      <x:c r="H190" s="10" t="n">
        <x:f>MAX(0,MIN(100,D190+G190))</x:f>
        <x:v>45</x:v>
      </x:c>
      <x:c r="I190" s="10" t="n">
        <x:f>0</x:f>
        <x:v>0</x:v>
      </x:c>
      <x:c r="J190" s="10" t="n">
        <x:f>MAX(-'00_Arquitectura'!$B$107,MIN('00_Arquitectura'!$B$107,$J$905+$J$909))</x:f>
        <x:v>0</x:v>
      </x:c>
      <x:c r="K190" s="10" t="n">
        <x:f>MAX(0,MIN(100,H190+I190+J190))</x:f>
        <x:v>45</x:v>
      </x:c>
      <x:c r="L190" s="10" t="str">
        <x:v>Pulsos y offsets: filtrar Instancias por escenario, turno y targetId. Base separada del nivel visible.</x:v>
      </x:c>
    </x:row>
    <x:row r="191" ht="34" customHeight="1">
      <x:c r="A191" s="5" t="str">
        <x:v>S1_EMISION</x:v>
      </x:c>
      <x:c r="B191" s="5" t="n">
        <x:v>9</x:v>
      </x:c>
      <x:c r="C191" s="5" t="str">
        <x:v>seguridad</x:v>
      </x:c>
      <x:c r="D191" s="5" t="n">
        <x:f>$H$177</x:f>
        <x:v>45</x:v>
      </x:c>
      <x:c r="E191" s="5" t="n">
        <x:f>0+0</x:f>
        <x:v>0</x:v>
      </x:c>
      <x:c r="F191" s="5" t="n">
        <x:f>0</x:f>
        <x:v>0</x:v>
      </x:c>
      <x:c r="G191" s="5" t="n">
        <x:f>MAX(-'00_Arquitectura'!$B$106,MIN('00_Arquitectura'!$B$106,E191+F191))</x:f>
        <x:v>0</x:v>
      </x:c>
      <x:c r="H191" s="5" t="n">
        <x:f>MAX(0,MIN(100,D191+G191))</x:f>
        <x:v>45</x:v>
      </x:c>
      <x:c r="I191" s="5" t="n">
        <x:f>0</x:f>
        <x:v>0</x:v>
      </x:c>
      <x:c r="J191" s="5" t="n">
        <x:f>MAX(-'00_Arquitectura'!$B$107,MIN('00_Arquitectura'!$B$107,0))</x:f>
        <x:v>0</x:v>
      </x:c>
      <x:c r="K191" s="5" t="n">
        <x:f>MAX(0,MIN(100,H191+I191+J191))</x:f>
        <x:v>45</x:v>
      </x:c>
      <x:c r="L191" s="5" t="str">
        <x:v>Pulsos y offsets: filtrar Instancias por escenario, turno y targetId. Base separada del nivel visible.</x:v>
      </x:c>
    </x:row>
    <x:row r="192" ht="34" customHeight="1">
      <x:c r="A192" s="10" t="str">
        <x:v>S1_EMISION</x:v>
      </x:c>
      <x:c r="B192" s="10" t="n">
        <x:v>9</x:v>
      </x:c>
      <x:c r="C192" s="10" t="str">
        <x:v>ciencia</x:v>
      </x:c>
      <x:c r="D192" s="10" t="n">
        <x:f>$H$178</x:f>
        <x:v>40</x:v>
      </x:c>
      <x:c r="E192" s="10" t="n">
        <x:f>0+0</x:f>
        <x:v>0</x:v>
      </x:c>
      <x:c r="F192" s="10" t="n">
        <x:f>0</x:f>
        <x:v>0</x:v>
      </x:c>
      <x:c r="G192" s="10" t="n">
        <x:f>MAX(-'00_Arquitectura'!$B$106,MIN('00_Arquitectura'!$B$106,E192+F192))</x:f>
        <x:v>0</x:v>
      </x:c>
      <x:c r="H192" s="10" t="n">
        <x:f>MAX(0,MIN(100,D192+G192))</x:f>
        <x:v>40</x:v>
      </x:c>
      <x:c r="I192" s="10" t="n">
        <x:f>0</x:f>
        <x:v>0</x:v>
      </x:c>
      <x:c r="J192" s="10" t="n">
        <x:f>MAX(-'00_Arquitectura'!$B$107,MIN('00_Arquitectura'!$B$107,$J$908))</x:f>
        <x:v>0</x:v>
      </x:c>
      <x:c r="K192" s="10" t="n">
        <x:f>MAX(0,MIN(100,H192+I192+J192))</x:f>
        <x:v>40</x:v>
      </x:c>
      <x:c r="L192" s="10" t="str">
        <x:v>Pulsos y offsets: filtrar Instancias por escenario, turno y targetId. Base separada del nivel visible.</x:v>
      </x:c>
    </x:row>
    <x:row r="193" ht="34" customHeight="1">
      <x:c r="A193" s="5" t="str">
        <x:v>S1_EMISION</x:v>
      </x:c>
      <x:c r="B193" s="5" t="n">
        <x:v>9</x:v>
      </x:c>
      <x:c r="C193" s="5" t="str">
        <x:v>derechos</x:v>
      </x:c>
      <x:c r="D193" s="5" t="n">
        <x:f>$H$179</x:f>
        <x:v>55</x:v>
      </x:c>
      <x:c r="E193" s="5" t="n">
        <x:f>0+0</x:f>
        <x:v>0</x:v>
      </x:c>
      <x:c r="F193" s="5" t="n">
        <x:f>0</x:f>
        <x:v>0</x:v>
      </x:c>
      <x:c r="G193" s="5" t="n">
        <x:f>MAX(-'00_Arquitectura'!$B$106,MIN('00_Arquitectura'!$B$106,E193+F193))</x:f>
        <x:v>0</x:v>
      </x:c>
      <x:c r="H193" s="5" t="n">
        <x:f>MAX(0,MIN(100,D193+G193))</x:f>
        <x:v>55</x:v>
      </x:c>
      <x:c r="I193" s="5" t="n">
        <x:f>0</x:f>
        <x:v>0</x:v>
      </x:c>
      <x:c r="J193" s="5" t="n">
        <x:f>MAX(-'00_Arquitectura'!$B$107,MIN('00_Arquitectura'!$B$107,0))</x:f>
        <x:v>0</x:v>
      </x:c>
      <x:c r="K193" s="5" t="n">
        <x:f>MAX(0,MIN(100,H193+I193+J193))</x:f>
        <x:v>55</x:v>
      </x:c>
      <x:c r="L193" s="5" t="str">
        <x:v>Pulsos y offsets: filtrar Instancias por escenario, turno y targetId. Base separada del nivel visible.</x:v>
      </x:c>
    </x:row>
    <x:row r="194" ht="34" customHeight="1">
      <x:c r="A194" s="10" t="str">
        <x:v>S1_EMISION</x:v>
      </x:c>
      <x:c r="B194" s="10" t="n">
        <x:v>9</x:v>
      </x:c>
      <x:c r="C194" s="10" t="str">
        <x:v>ambiente</x:v>
      </x:c>
      <x:c r="D194" s="10" t="n">
        <x:f>$H$180</x:f>
        <x:v>50</x:v>
      </x:c>
      <x:c r="E194" s="10" t="n">
        <x:f>0+0</x:f>
        <x:v>0</x:v>
      </x:c>
      <x:c r="F194" s="10" t="n">
        <x:f>0</x:f>
        <x:v>0</x:v>
      </x:c>
      <x:c r="G194" s="10" t="n">
        <x:f>MAX(-'00_Arquitectura'!$B$106,MIN('00_Arquitectura'!$B$106,E194+F194))</x:f>
        <x:v>0</x:v>
      </x:c>
      <x:c r="H194" s="10" t="n">
        <x:f>MAX(0,MIN(100,D194+G194))</x:f>
        <x:v>50</x:v>
      </x:c>
      <x:c r="I194" s="10" t="n">
        <x:f>0</x:f>
        <x:v>0</x:v>
      </x:c>
      <x:c r="J194" s="10" t="n">
        <x:f>MAX(-'00_Arquitectura'!$B$107,MIN('00_Arquitectura'!$B$107,0))</x:f>
        <x:v>0</x:v>
      </x:c>
      <x:c r="K194" s="10" t="n">
        <x:f>MAX(0,MIN(100,H194+I194+J194))</x:f>
        <x:v>50</x:v>
      </x:c>
      <x:c r="L194" s="10" t="str">
        <x:v>Pulsos y offsets: filtrar Instancias por escenario, turno y targetId. Base separada del nivel visible.</x:v>
      </x:c>
    </x:row>
    <x:row r="195" ht="42" customHeight="1">
      <x:c r="A195" s="5" t="str">
        <x:v>S1_EMISION</x:v>
      </x:c>
      <x:c r="B195" s="5" t="n">
        <x:v>10</x:v>
      </x:c>
      <x:c r="C195" s="5" t="str">
        <x:v>inflacion</x:v>
      </x:c>
      <x:c r="D195" s="5" t="n">
        <x:f>$H$181</x:f>
        <x:v>58.39923100000001</x:v>
      </x:c>
      <x:c r="E195" s="5" t="n">
        <x:f>0+0</x:f>
        <x:v>0</x:v>
      </x:c>
      <x:c r="F195" s="5" t="n">
        <x:f>-'00_Arquitectura'!$B$96*($H$181-40)</x:f>
        <x:v>-1.839923100000001</x:v>
      </x:c>
      <x:c r="G195" s="5" t="n">
        <x:f>MAX(-'00_Arquitectura'!$B$106,MIN('00_Arquitectura'!$B$106,E195+F195))</x:f>
        <x:v>-1.839923100000001</x:v>
      </x:c>
      <x:c r="H195" s="5" t="n">
        <x:f>MAX(0,MIN(100,D195+G195))</x:f>
        <x:v>56.55930790000001</x:v>
      </x:c>
      <x:c r="I195" s="5" t="n">
        <x:f>0</x:f>
        <x:v>0</x:v>
      </x:c>
      <x:c r="J195" s="5" t="n">
        <x:f>MAX(-'00_Arquitectura'!$B$107,MIN('00_Arquitectura'!$B$107,0))</x:f>
        <x:v>0</x:v>
      </x:c>
      <x:c r="K195" s="5" t="n">
        <x:f>MAX(0,MIN(100,H195+I195+J195))</x:f>
        <x:v>56.55930790000001</x:v>
      </x:c>
      <x:c r="L195" s="5" t="str">
        <x:v>Aplica link L01. Pulsos y offsets: filtrar Instancias por escenario, turno y targetId. Base separada del nivel visible.</x:v>
      </x:c>
    </x:row>
    <x:row r="196" ht="42" customHeight="1">
      <x:c r="A196" s="10" t="str">
        <x:v>S1_EMISION</x:v>
      </x:c>
      <x:c r="B196" s="10" t="n">
        <x:v>10</x:v>
      </x:c>
      <x:c r="C196" s="10" t="str">
        <x:v>actividad</x:v>
      </x:c>
      <x:c r="D196" s="10" t="n">
        <x:f>$H$182</x:f>
        <x:v>49.280898946415995</x:v>
      </x:c>
      <x:c r="E196" s="10" t="n">
        <x:f>0+0</x:f>
        <x:v>0</x:v>
      </x:c>
      <x:c r="F196" s="10" t="n">
        <x:f>-'00_Arquitectura'!$B$97*($H$182-50)+'00_Arquitectura'!$B$98*($K$184-45)+'00_Arquitectura'!$B$99*($K$187-45)+'00_Arquitectura'!$B$100*($K$186-45)</x:f>
        <x:v>-0.041796554997663105</x:v>
      </x:c>
      <x:c r="G196" s="10" t="n">
        <x:f>MAX(-'00_Arquitectura'!$B$106,MIN('00_Arquitectura'!$B$106,E196+F196))</x:f>
        <x:v>-0.041796554997663105</x:v>
      </x:c>
      <x:c r="H196" s="10" t="n">
        <x:f>MAX(0,MIN(100,D196+G196))</x:f>
        <x:v>49.239102391418335</x:v>
      </x:c>
      <x:c r="I196" s="10" t="n">
        <x:f>0</x:f>
        <x:v>0</x:v>
      </x:c>
      <x:c r="J196" s="10" t="n">
        <x:f>MAX(-'00_Arquitectura'!$B$107,MIN('00_Arquitectura'!$B$107,$J$917+$J$920+$J$921))</x:f>
        <x:v>0</x:v>
      </x:c>
      <x:c r="K196" s="10" t="n">
        <x:f>MAX(0,MIN(100,H196+I196+J196))</x:f>
        <x:v>49.239102391418335</x:v>
      </x:c>
      <x:c r="L196" s="10" t="str">
        <x:v>Aplica link L02. Pulsos y offsets: filtrar Instancias por escenario, turno y targetId. Base separada del nivel visible.</x:v>
      </x:c>
    </x:row>
    <x:row r="197" ht="42" customHeight="1">
      <x:c r="A197" s="5" t="str">
        <x:v>S1_EMISION</x:v>
      </x:c>
      <x:c r="B197" s="5" t="n">
        <x:v>10</x:v>
      </x:c>
      <x:c r="C197" s="5" t="str">
        <x:v>ingreso_real</x:v>
      </x:c>
      <x:c r="D197" s="5" t="n">
        <x:f>$H$183</x:f>
        <x:v>37.75885485009599</x:v>
      </x:c>
      <x:c r="E197" s="5" t="n">
        <x:f>0+0</x:f>
        <x:v>0</x:v>
      </x:c>
      <x:c r="F197" s="5" t="n">
        <x:f>'00_Arquitectura'!$B$101*($K$182-$K$168)+'00_Arquitectura'!$B$102*($K$181-$K$167)</x:f>
        <x:v>0.6935491418663997</x:v>
      </x:c>
      <x:c r="G197" s="5" t="n">
        <x:f>MAX(-'00_Arquitectura'!$B$106,MIN('00_Arquitectura'!$B$106,E197+F197))</x:f>
        <x:v>0.6935491418663997</x:v>
      </x:c>
      <x:c r="H197" s="5" t="n">
        <x:f>MAX(0,MIN(100,D197+G197))</x:f>
        <x:v>38.45240399196239</x:v>
      </x:c>
      <x:c r="I197" s="5" t="n">
        <x:f>0</x:f>
        <x:v>0</x:v>
      </x:c>
      <x:c r="J197" s="5" t="n">
        <x:f>MAX(-'00_Arquitectura'!$B$107,MIN('00_Arquitectura'!$B$107,0))</x:f>
        <x:v>0</x:v>
      </x:c>
      <x:c r="K197" s="5" t="n">
        <x:f>MAX(0,MIN(100,H197+I197+J197))</x:f>
        <x:v>38.45240399196239</x:v>
      </x:c>
      <x:c r="L197" s="5" t="str">
        <x:v>Aplica link L03. Pulsos y offsets: filtrar Instancias por escenario, turno y targetId. Base separada del nivel visible.</x:v>
      </x:c>
    </x:row>
    <x:row r="198" ht="42" customHeight="1">
      <x:c r="A198" s="10" t="str">
        <x:v>S1_EMISION</x:v>
      </x:c>
      <x:c r="B198" s="10" t="n">
        <x:v>10</x:v>
      </x:c>
      <x:c r="C198" s="10" t="str">
        <x:v>credito</x:v>
      </x:c>
      <x:c r="D198" s="10" t="n">
        <x:f>$H$184</x:f>
        <x:v>42.6797904285692</x:v>
      </x:c>
      <x:c r="E198" s="10" t="n">
        <x:f>0+0</x:f>
        <x:v>0</x:v>
      </x:c>
      <x:c r="F198" s="10" t="n">
        <x:f>-'00_Arquitectura'!$B$103*($H$184-45)+'00_Arquitectura'!$B$104*($K$181-$K$167)+'00_Arquitectura'!$B$105*($K$185-'00_Arquitectura'!$B$117)</x:f>
        <x:v>0.7546128717171803</x:v>
      </x:c>
      <x:c r="G198" s="10" t="n">
        <x:f>MAX(-'00_Arquitectura'!$B$106,MIN('00_Arquitectura'!$B$106,E198+F198))</x:f>
        <x:v>0.7546128717171803</x:v>
      </x:c>
      <x:c r="H198" s="10" t="n">
        <x:f>MAX(0,MIN(100,D198+G198))</x:f>
        <x:v>43.43440330028638</x:v>
      </x:c>
      <x:c r="I198" s="10" t="n">
        <x:f>0</x:f>
        <x:v>0</x:v>
      </x:c>
      <x:c r="J198" s="10" t="n">
        <x:f>MAX(-'00_Arquitectura'!$B$107,MIN('00_Arquitectura'!$B$107,$J$919))</x:f>
        <x:v>0</x:v>
      </x:c>
      <x:c r="K198" s="10" t="n">
        <x:f>MAX(0,MIN(100,H198+I198+J198))</x:f>
        <x:v>43.43440330028638</x:v>
      </x:c>
      <x:c r="L198" s="10" t="str">
        <x:v>Aplica link L04. Pulsos y offsets: filtrar Instancias por escenario, turno y targetId. Base separada del nivel visible.</x:v>
      </x:c>
    </x:row>
    <x:row r="199" ht="34" customHeight="1">
      <x:c r="A199" s="5" t="str">
        <x:v>S1_EMISION</x:v>
      </x:c>
      <x:c r="B199" s="5" t="n">
        <x:v>10</x:v>
      </x:c>
      <x:c r="C199" s="5" t="str">
        <x:v>fiscal</x:v>
      </x:c>
      <x:c r="D199" s="5" t="n">
        <x:f>$H$185</x:f>
        <x:v>57.885481800128005</x:v>
      </x:c>
      <x:c r="E199" s="5" t="n">
        <x:f>0+0</x:f>
        <x:v>0</x:v>
      </x:c>
      <x:c r="F199" s="5" t="n">
        <x:f>0</x:f>
        <x:v>0</x:v>
      </x:c>
      <x:c r="G199" s="5" t="n">
        <x:f>MAX(-'00_Arquitectura'!$B$106,MIN('00_Arquitectura'!$B$106,E199+F199))</x:f>
        <x:v>0</x:v>
      </x:c>
      <x:c r="H199" s="5" t="n">
        <x:f>$O$24</x:f>
        <x:v>57.856179789283196</x:v>
      </x:c>
      <x:c r="I199" s="5" t="n">
        <x:f>0</x:f>
        <x:v>0</x:v>
      </x:c>
      <x:c r="J199" s="5" t="n">
        <x:f>MAX(-'00_Arquitectura'!$B$107,MIN('00_Arquitectura'!$B$107,0))</x:f>
        <x:v>0</x:v>
      </x:c>
      <x:c r="K199" s="5" t="n">
        <x:f>MAX(0,MIN(100,H199+I199+J199))</x:f>
        <x:v>57.856179789283196</x:v>
      </x:c>
      <x:c r="L199" s="5" t="str">
        <x:v>Derivado de caja: ingreso recurrente, gasto, intereses y deuda. Nunca SUM de efectos fiscales directos.</x:v>
      </x:c>
    </x:row>
    <x:row r="200" ht="34" customHeight="1">
      <x:c r="A200" s="10" t="str">
        <x:v>S1_EMISION</x:v>
      </x:c>
      <x:c r="B200" s="10" t="n">
        <x:v>10</x:v>
      </x:c>
      <x:c r="C200" s="10" t="str">
        <x:v>externo</x:v>
      </x:c>
      <x:c r="D200" s="10" t="n">
        <x:f>$H$186</x:f>
        <x:v>45</x:v>
      </x:c>
      <x:c r="E200" s="10" t="n">
        <x:f>0+0</x:f>
        <x:v>0</x:v>
      </x:c>
      <x:c r="F200" s="10" t="n">
        <x:f>0</x:f>
        <x:v>0</x:v>
      </x:c>
      <x:c r="G200" s="10" t="n">
        <x:f>MAX(-'00_Arquitectura'!$B$106,MIN('00_Arquitectura'!$B$106,E200+F200))</x:f>
        <x:v>0</x:v>
      </x:c>
      <x:c r="H200" s="10" t="n">
        <x:f>MAX(0,MIN(100,D200+G200))</x:f>
        <x:v>45</x:v>
      </x:c>
      <x:c r="I200" s="10" t="n">
        <x:f>0</x:f>
        <x:v>0</x:v>
      </x:c>
      <x:c r="J200" s="10" t="n">
        <x:f>MAX(-'00_Arquitectura'!$B$107,MIN('00_Arquitectura'!$B$107,$J$918))</x:f>
        <x:v>0</x:v>
      </x:c>
      <x:c r="K200" s="10" t="n">
        <x:f>MAX(0,MIN(100,H200+I200+J200))</x:f>
        <x:v>45</x:v>
      </x:c>
      <x:c r="L200" s="10" t="str">
        <x:v>Pulsos y offsets: filtrar Instancias por escenario, turno y targetId. Base separada del nivel visible.</x:v>
      </x:c>
    </x:row>
    <x:row r="201" ht="34" customHeight="1">
      <x:c r="A201" s="5" t="str">
        <x:v>S1_EMISION</x:v>
      </x:c>
      <x:c r="B201" s="5" t="n">
        <x:v>10</x:v>
      </x:c>
      <x:c r="C201" s="5" t="str">
        <x:v>infraestructura</x:v>
      </x:c>
      <x:c r="D201" s="5" t="n">
        <x:f>$H$187</x:f>
        <x:v>45</x:v>
      </x:c>
      <x:c r="E201" s="5" t="n">
        <x:f>0+0</x:f>
        <x:v>0</x:v>
      </x:c>
      <x:c r="F201" s="5" t="n">
        <x:f>0</x:f>
        <x:v>0</x:v>
      </x:c>
      <x:c r="G201" s="5" t="n">
        <x:f>MAX(-'00_Arquitectura'!$B$106,MIN('00_Arquitectura'!$B$106,E201+F201))</x:f>
        <x:v>0</x:v>
      </x:c>
      <x:c r="H201" s="5" t="n">
        <x:f>MAX(0,MIN(100,D201+G201))</x:f>
        <x:v>45</x:v>
      </x:c>
      <x:c r="I201" s="5" t="n">
        <x:f>0</x:f>
        <x:v>0</x:v>
      </x:c>
      <x:c r="J201" s="5" t="n">
        <x:f>MAX(-'00_Arquitectura'!$B$107,MIN('00_Arquitectura'!$B$107,0))</x:f>
        <x:v>0</x:v>
      </x:c>
      <x:c r="K201" s="5" t="n">
        <x:f>MAX(0,MIN(100,H201+I201+J201))</x:f>
        <x:v>45</x:v>
      </x:c>
      <x:c r="L201" s="5" t="str">
        <x:v>Pulsos y offsets: filtrar Instancias por escenario, turno y targetId. Base separada del nivel visible.</x:v>
      </x:c>
    </x:row>
    <x:row r="202" ht="34" customHeight="1">
      <x:c r="A202" s="10" t="str">
        <x:v>S1_EMISION</x:v>
      </x:c>
      <x:c r="B202" s="10" t="n">
        <x:v>10</x:v>
      </x:c>
      <x:c r="C202" s="10" t="str">
        <x:v>educacion</x:v>
      </x:c>
      <x:c r="D202" s="10" t="n">
        <x:f>$H$188</x:f>
        <x:v>50</x:v>
      </x:c>
      <x:c r="E202" s="10" t="n">
        <x:f>0+0</x:f>
        <x:v>0</x:v>
      </x:c>
      <x:c r="F202" s="10" t="n">
        <x:f>0</x:f>
        <x:v>0</x:v>
      </x:c>
      <x:c r="G202" s="10" t="n">
        <x:f>MAX(-'00_Arquitectura'!$B$106,MIN('00_Arquitectura'!$B$106,E202+F202))</x:f>
        <x:v>0</x:v>
      </x:c>
      <x:c r="H202" s="10" t="n">
        <x:f>MAX(0,MIN(100,D202+G202))</x:f>
        <x:v>50</x:v>
      </x:c>
      <x:c r="I202" s="10" t="n">
        <x:f>0</x:f>
        <x:v>0</x:v>
      </x:c>
      <x:c r="J202" s="10" t="n">
        <x:f>MAX(-'00_Arquitectura'!$B$107,MIN('00_Arquitectura'!$B$107,$J$925))</x:f>
        <x:v>0</x:v>
      </x:c>
      <x:c r="K202" s="10" t="n">
        <x:f>MAX(0,MIN(100,H202+I202+J202))</x:f>
        <x:v>50</x:v>
      </x:c>
      <x:c r="L202" s="10" t="str">
        <x:v>Pulsos y offsets: filtrar Instancias por escenario, turno y targetId. Base separada del nivel visible.</x:v>
      </x:c>
    </x:row>
    <x:row r="203" ht="34" customHeight="1">
      <x:c r="A203" s="5" t="str">
        <x:v>S1_EMISION</x:v>
      </x:c>
      <x:c r="B203" s="5" t="n">
        <x:v>10</x:v>
      </x:c>
      <x:c r="C203" s="5" t="str">
        <x:v>salud</x:v>
      </x:c>
      <x:c r="D203" s="5" t="n">
        <x:f>$H$189</x:f>
        <x:v>50</x:v>
      </x:c>
      <x:c r="E203" s="5" t="n">
        <x:f>0+0</x:f>
        <x:v>0</x:v>
      </x:c>
      <x:c r="F203" s="5" t="n">
        <x:f>0</x:f>
        <x:v>0</x:v>
      </x:c>
      <x:c r="G203" s="5" t="n">
        <x:f>MAX(-'00_Arquitectura'!$B$106,MIN('00_Arquitectura'!$B$106,E203+F203))</x:f>
        <x:v>0</x:v>
      </x:c>
      <x:c r="H203" s="5" t="n">
        <x:f>MAX(0,MIN(100,D203+G203))</x:f>
        <x:v>50</x:v>
      </x:c>
      <x:c r="I203" s="5" t="n">
        <x:f>0</x:f>
        <x:v>0</x:v>
      </x:c>
      <x:c r="J203" s="5" t="n">
        <x:f>MAX(-'00_Arquitectura'!$B$107,MIN('00_Arquitectura'!$B$107,0))</x:f>
        <x:v>0</x:v>
      </x:c>
      <x:c r="K203" s="5" t="n">
        <x:f>MAX(0,MIN(100,H203+I203+J203))</x:f>
        <x:v>50</x:v>
      </x:c>
      <x:c r="L203" s="5" t="str">
        <x:v>Pulsos y offsets: filtrar Instancias por escenario, turno y targetId. Base separada del nivel visible.</x:v>
      </x:c>
    </x:row>
    <x:row r="204" ht="34" customHeight="1">
      <x:c r="A204" s="10" t="str">
        <x:v>S1_EMISION</x:v>
      </x:c>
      <x:c r="B204" s="10" t="n">
        <x:v>10</x:v>
      </x:c>
      <x:c r="C204" s="10" t="str">
        <x:v>proteccion</x:v>
      </x:c>
      <x:c r="D204" s="10" t="n">
        <x:f>$H$190</x:f>
        <x:v>45</x:v>
      </x:c>
      <x:c r="E204" s="10" t="n">
        <x:f>0+0</x:f>
        <x:v>0</x:v>
      </x:c>
      <x:c r="F204" s="10" t="n">
        <x:f>0</x:f>
        <x:v>0</x:v>
      </x:c>
      <x:c r="G204" s="10" t="n">
        <x:f>MAX(-'00_Arquitectura'!$B$106,MIN('00_Arquitectura'!$B$106,E204+F204))</x:f>
        <x:v>0</x:v>
      </x:c>
      <x:c r="H204" s="10" t="n">
        <x:f>MAX(0,MIN(100,D204+G204))</x:f>
        <x:v>45</x:v>
      </x:c>
      <x:c r="I204" s="10" t="n">
        <x:f>0</x:f>
        <x:v>0</x:v>
      </x:c>
      <x:c r="J204" s="10" t="n">
        <x:f>MAX(-'00_Arquitectura'!$B$107,MIN('00_Arquitectura'!$B$107,$J$923+$J$927))</x:f>
        <x:v>0</x:v>
      </x:c>
      <x:c r="K204" s="10" t="n">
        <x:f>MAX(0,MIN(100,H204+I204+J204))</x:f>
        <x:v>45</x:v>
      </x:c>
      <x:c r="L204" s="10" t="str">
        <x:v>Pulsos y offsets: filtrar Instancias por escenario, turno y targetId. Base separada del nivel visible.</x:v>
      </x:c>
    </x:row>
    <x:row r="205" ht="34" customHeight="1">
      <x:c r="A205" s="5" t="str">
        <x:v>S1_EMISION</x:v>
      </x:c>
      <x:c r="B205" s="5" t="n">
        <x:v>10</x:v>
      </x:c>
      <x:c r="C205" s="5" t="str">
        <x:v>seguridad</x:v>
      </x:c>
      <x:c r="D205" s="5" t="n">
        <x:f>$H$191</x:f>
        <x:v>45</x:v>
      </x:c>
      <x:c r="E205" s="5" t="n">
        <x:f>0+0</x:f>
        <x:v>0</x:v>
      </x:c>
      <x:c r="F205" s="5" t="n">
        <x:f>0</x:f>
        <x:v>0</x:v>
      </x:c>
      <x:c r="G205" s="5" t="n">
        <x:f>MAX(-'00_Arquitectura'!$B$106,MIN('00_Arquitectura'!$B$106,E205+F205))</x:f>
        <x:v>0</x:v>
      </x:c>
      <x:c r="H205" s="5" t="n">
        <x:f>MAX(0,MIN(100,D205+G205))</x:f>
        <x:v>45</x:v>
      </x:c>
      <x:c r="I205" s="5" t="n">
        <x:f>0</x:f>
        <x:v>0</x:v>
      </x:c>
      <x:c r="J205" s="5" t="n">
        <x:f>MAX(-'00_Arquitectura'!$B$107,MIN('00_Arquitectura'!$B$107,0))</x:f>
        <x:v>0</x:v>
      </x:c>
      <x:c r="K205" s="5" t="n">
        <x:f>MAX(0,MIN(100,H205+I205+J205))</x:f>
        <x:v>45</x:v>
      </x:c>
      <x:c r="L205" s="5" t="str">
        <x:v>Pulsos y offsets: filtrar Instancias por escenario, turno y targetId. Base separada del nivel visible.</x:v>
      </x:c>
    </x:row>
    <x:row r="206" ht="34" customHeight="1">
      <x:c r="A206" s="10" t="str">
        <x:v>S1_EMISION</x:v>
      </x:c>
      <x:c r="B206" s="10" t="n">
        <x:v>10</x:v>
      </x:c>
      <x:c r="C206" s="10" t="str">
        <x:v>ciencia</x:v>
      </x:c>
      <x:c r="D206" s="10" t="n">
        <x:f>$H$192</x:f>
        <x:v>40</x:v>
      </x:c>
      <x:c r="E206" s="10" t="n">
        <x:f>0+0</x:f>
        <x:v>0</x:v>
      </x:c>
      <x:c r="F206" s="10" t="n">
        <x:f>0</x:f>
        <x:v>0</x:v>
      </x:c>
      <x:c r="G206" s="10" t="n">
        <x:f>MAX(-'00_Arquitectura'!$B$106,MIN('00_Arquitectura'!$B$106,E206+F206))</x:f>
        <x:v>0</x:v>
      </x:c>
      <x:c r="H206" s="10" t="n">
        <x:f>MAX(0,MIN(100,D206+G206))</x:f>
        <x:v>40</x:v>
      </x:c>
      <x:c r="I206" s="10" t="n">
        <x:f>0</x:f>
        <x:v>0</x:v>
      </x:c>
      <x:c r="J206" s="10" t="n">
        <x:f>MAX(-'00_Arquitectura'!$B$107,MIN('00_Arquitectura'!$B$107,$J$926))</x:f>
        <x:v>0</x:v>
      </x:c>
      <x:c r="K206" s="10" t="n">
        <x:f>MAX(0,MIN(100,H206+I206+J206))</x:f>
        <x:v>40</x:v>
      </x:c>
      <x:c r="L206" s="10" t="str">
        <x:v>Pulsos y offsets: filtrar Instancias por escenario, turno y targetId. Base separada del nivel visible.</x:v>
      </x:c>
    </x:row>
    <x:row r="207" ht="34" customHeight="1">
      <x:c r="A207" s="5" t="str">
        <x:v>S1_EMISION</x:v>
      </x:c>
      <x:c r="B207" s="5" t="n">
        <x:v>10</x:v>
      </x:c>
      <x:c r="C207" s="5" t="str">
        <x:v>derechos</x:v>
      </x:c>
      <x:c r="D207" s="5" t="n">
        <x:f>$H$193</x:f>
        <x:v>55</x:v>
      </x:c>
      <x:c r="E207" s="5" t="n">
        <x:f>0+0</x:f>
        <x:v>0</x:v>
      </x:c>
      <x:c r="F207" s="5" t="n">
        <x:f>0</x:f>
        <x:v>0</x:v>
      </x:c>
      <x:c r="G207" s="5" t="n">
        <x:f>MAX(-'00_Arquitectura'!$B$106,MIN('00_Arquitectura'!$B$106,E207+F207))</x:f>
        <x:v>0</x:v>
      </x:c>
      <x:c r="H207" s="5" t="n">
        <x:f>MAX(0,MIN(100,D207+G207))</x:f>
        <x:v>55</x:v>
      </x:c>
      <x:c r="I207" s="5" t="n">
        <x:f>0</x:f>
        <x:v>0</x:v>
      </x:c>
      <x:c r="J207" s="5" t="n">
        <x:f>MAX(-'00_Arquitectura'!$B$107,MIN('00_Arquitectura'!$B$107,0))</x:f>
        <x:v>0</x:v>
      </x:c>
      <x:c r="K207" s="5" t="n">
        <x:f>MAX(0,MIN(100,H207+I207+J207))</x:f>
        <x:v>55</x:v>
      </x:c>
      <x:c r="L207" s="5" t="str">
        <x:v>Pulsos y offsets: filtrar Instancias por escenario, turno y targetId. Base separada del nivel visible.</x:v>
      </x:c>
    </x:row>
    <x:row r="208" ht="34" customHeight="1">
      <x:c r="A208" s="10" t="str">
        <x:v>S1_EMISION</x:v>
      </x:c>
      <x:c r="B208" s="10" t="n">
        <x:v>10</x:v>
      </x:c>
      <x:c r="C208" s="10" t="str">
        <x:v>ambiente</x:v>
      </x:c>
      <x:c r="D208" s="10" t="n">
        <x:f>$H$194</x:f>
        <x:v>50</x:v>
      </x:c>
      <x:c r="E208" s="10" t="n">
        <x:f>0+0</x:f>
        <x:v>0</x:v>
      </x:c>
      <x:c r="F208" s="10" t="n">
        <x:f>0</x:f>
        <x:v>0</x:v>
      </x:c>
      <x:c r="G208" s="10" t="n">
        <x:f>MAX(-'00_Arquitectura'!$B$106,MIN('00_Arquitectura'!$B$106,E208+F208))</x:f>
        <x:v>0</x:v>
      </x:c>
      <x:c r="H208" s="10" t="n">
        <x:f>MAX(0,MIN(100,D208+G208))</x:f>
        <x:v>50</x:v>
      </x:c>
      <x:c r="I208" s="10" t="n">
        <x:f>0</x:f>
        <x:v>0</x:v>
      </x:c>
      <x:c r="J208" s="10" t="n">
        <x:f>MAX(-'00_Arquitectura'!$B$107,MIN('00_Arquitectura'!$B$107,0))</x:f>
        <x:v>0</x:v>
      </x:c>
      <x:c r="K208" s="10" t="n">
        <x:f>MAX(0,MIN(100,H208+I208+J208))</x:f>
        <x:v>50</x:v>
      </x:c>
      <x:c r="L208" s="10" t="str">
        <x:v>Pulsos y offsets: filtrar Instancias por escenario, turno y targetId. Base separada del nivel visible.</x:v>
      </x:c>
    </x:row>
    <x:row r="209" ht="42" customHeight="1">
      <x:c r="A209" s="5" t="str">
        <x:v>S2_VIAL</x:v>
      </x:c>
      <x:c r="B209" s="5" t="n">
        <x:v>1</x:v>
      </x:c>
      <x:c r="C209" s="5" t="str">
        <x:v>inflacion</x:v>
      </x:c>
      <x:c r="D209" s="5" t="n">
        <x:f>'01_Indicadores'!$H$6</x:f>
        <x:v>40</x:v>
      </x:c>
      <x:c r="E209" s="5" t="n">
        <x:f>0+0</x:f>
        <x:v>0</x:v>
      </x:c>
      <x:c r="F209" s="5" t="n">
        <x:f>-'00_Arquitectura'!$B$96*('01_Indicadores'!$H$6-40)</x:f>
        <x:v>0</x:v>
      </x:c>
      <x:c r="G209" s="5" t="n">
        <x:f>MAX(-'00_Arquitectura'!$B$106,MIN('00_Arquitectura'!$B$106,E209+F209))</x:f>
        <x:v>0</x:v>
      </x:c>
      <x:c r="H209" s="5" t="n">
        <x:f>MAX(0,MIN(100,D209+G209))</x:f>
        <x:v>40</x:v>
      </x:c>
      <x:c r="I209" s="5" t="n">
        <x:f>0</x:f>
        <x:v>0</x:v>
      </x:c>
      <x:c r="J209" s="5" t="n">
        <x:f>MAX(-'00_Arquitectura'!$B$107,MIN('00_Arquitectura'!$B$107,0))</x:f>
        <x:v>0</x:v>
      </x:c>
      <x:c r="K209" s="5" t="n">
        <x:f>MAX(0,MIN(100,H209+I209+J209))</x:f>
        <x:v>40</x:v>
      </x:c>
      <x:c r="L209" s="5" t="str">
        <x:v>Aplica link L01. Pulsos y offsets: filtrar Instancias por escenario, turno y targetId. Base separada del nivel visible.</x:v>
      </x:c>
    </x:row>
    <x:row r="210" ht="42" customHeight="1">
      <x:c r="A210" s="10" t="str">
        <x:v>S2_VIAL</x:v>
      </x:c>
      <x:c r="B210" s="10" t="n">
        <x:v>1</x:v>
      </x:c>
      <x:c r="C210" s="10" t="str">
        <x:v>actividad</x:v>
      </x:c>
      <x:c r="D210" s="10" t="n">
        <x:f>'01_Indicadores'!$H$7</x:f>
        <x:v>50</x:v>
      </x:c>
      <x:c r="E210" s="10" t="n">
        <x:f>0+0</x:f>
        <x:v>0</x:v>
      </x:c>
      <x:c r="F210" s="10" t="n">
        <x:f>-'00_Arquitectura'!$B$97*('01_Indicadores'!$H$7-50)+'00_Arquitectura'!$B$98*('01_Indicadores'!$H$9-45)+'00_Arquitectura'!$B$99*('01_Indicadores'!$H$12-45)+'00_Arquitectura'!$B$100*('01_Indicadores'!$H$11-45)</x:f>
        <x:v>0</x:v>
      </x:c>
      <x:c r="G210" s="10" t="n">
        <x:f>MAX(-'00_Arquitectura'!$B$106,MIN('00_Arquitectura'!$B$106,E210+F210))</x:f>
        <x:v>0</x:v>
      </x:c>
      <x:c r="H210" s="10" t="n">
        <x:f>MAX(0,MIN(100,D210+G210))</x:f>
        <x:v>50</x:v>
      </x:c>
      <x:c r="I210" s="10" t="n">
        <x:f>0</x:f>
        <x:v>0</x:v>
      </x:c>
      <x:c r="J210" s="10" t="n">
        <x:f>MAX(-'00_Arquitectura'!$B$107,MIN('00_Arquitectura'!$B$107,0))</x:f>
        <x:v>0</x:v>
      </x:c>
      <x:c r="K210" s="10" t="n">
        <x:f>MAX(0,MIN(100,H210+I210+J210))</x:f>
        <x:v>50</x:v>
      </x:c>
      <x:c r="L210" s="10" t="str">
        <x:v>Aplica link L02. Pulsos y offsets: filtrar Instancias por escenario, turno y targetId. Base separada del nivel visible.</x:v>
      </x:c>
    </x:row>
    <x:row r="211" ht="42" customHeight="1">
      <x:c r="A211" s="5" t="str">
        <x:v>S2_VIAL</x:v>
      </x:c>
      <x:c r="B211" s="5" t="n">
        <x:v>1</x:v>
      </x:c>
      <x:c r="C211" s="5" t="str">
        <x:v>ingreso_real</x:v>
      </x:c>
      <x:c r="D211" s="5" t="n">
        <x:f>'01_Indicadores'!$H$8</x:f>
        <x:v>45</x:v>
      </x:c>
      <x:c r="E211" s="5" t="n">
        <x:f>0+0</x:f>
        <x:v>0</x:v>
      </x:c>
      <x:c r="F211" s="5" t="n">
        <x:f>'00_Arquitectura'!$B$101*('01_Indicadores'!$H$7-'01_Indicadores'!$H$7)+'00_Arquitectura'!$B$102*('01_Indicadores'!$H$6-'01_Indicadores'!$H$6)</x:f>
        <x:v>0</x:v>
      </x:c>
      <x:c r="G211" s="5" t="n">
        <x:f>MAX(-'00_Arquitectura'!$B$106,MIN('00_Arquitectura'!$B$106,E211+F211))</x:f>
        <x:v>0</x:v>
      </x:c>
      <x:c r="H211" s="5" t="n">
        <x:f>MAX(0,MIN(100,D211+G211))</x:f>
        <x:v>45</x:v>
      </x:c>
      <x:c r="I211" s="5" t="n">
        <x:f>0</x:f>
        <x:v>0</x:v>
      </x:c>
      <x:c r="J211" s="5" t="n">
        <x:f>MAX(-'00_Arquitectura'!$B$107,MIN('00_Arquitectura'!$B$107,0))</x:f>
        <x:v>0</x:v>
      </x:c>
      <x:c r="K211" s="5" t="n">
        <x:f>MAX(0,MIN(100,H211+I211+J211))</x:f>
        <x:v>45</x:v>
      </x:c>
      <x:c r="L211" s="5" t="str">
        <x:v>Aplica link L03. Pulsos y offsets: filtrar Instancias por escenario, turno y targetId. Base separada del nivel visible.</x:v>
      </x:c>
    </x:row>
    <x:row r="212" ht="42" customHeight="1">
      <x:c r="A212" s="10" t="str">
        <x:v>S2_VIAL</x:v>
      </x:c>
      <x:c r="B212" s="10" t="n">
        <x:v>1</x:v>
      </x:c>
      <x:c r="C212" s="10" t="str">
        <x:v>credito</x:v>
      </x:c>
      <x:c r="D212" s="10" t="n">
        <x:f>'01_Indicadores'!$H$9</x:f>
        <x:v>45</x:v>
      </x:c>
      <x:c r="E212" s="10" t="n">
        <x:f>0+0</x:f>
        <x:v>0</x:v>
      </x:c>
      <x:c r="F212" s="10" t="n">
        <x:f>-'00_Arquitectura'!$B$103*('01_Indicadores'!$H$9-45)+'00_Arquitectura'!$B$104*('01_Indicadores'!$H$6-'01_Indicadores'!$H$6)+'00_Arquitectura'!$B$105*('01_Indicadores'!$H$10-'00_Arquitectura'!$B$117)</x:f>
        <x:v>0</x:v>
      </x:c>
      <x:c r="G212" s="10" t="n">
        <x:f>MAX(-'00_Arquitectura'!$B$106,MIN('00_Arquitectura'!$B$106,E212+F212))</x:f>
        <x:v>0</x:v>
      </x:c>
      <x:c r="H212" s="10" t="n">
        <x:f>MAX(0,MIN(100,D212+G212))</x:f>
        <x:v>45</x:v>
      </x:c>
      <x:c r="I212" s="10" t="n">
        <x:f>0</x:f>
        <x:v>0</x:v>
      </x:c>
      <x:c r="J212" s="10" t="n">
        <x:f>MAX(-'00_Arquitectura'!$B$107,MIN('00_Arquitectura'!$B$107,0))</x:f>
        <x:v>0</x:v>
      </x:c>
      <x:c r="K212" s="10" t="n">
        <x:f>MAX(0,MIN(100,H212+I212+J212))</x:f>
        <x:v>45</x:v>
      </x:c>
      <x:c r="L212" s="10" t="str">
        <x:v>Aplica link L04. Pulsos y offsets: filtrar Instancias por escenario, turno y targetId. Base separada del nivel visible.</x:v>
      </x:c>
    </x:row>
    <x:row r="213" ht="34" customHeight="1">
      <x:c r="A213" s="5" t="str">
        <x:v>S2_VIAL</x:v>
      </x:c>
      <x:c r="B213" s="5" t="n">
        <x:v>1</x:v>
      </x:c>
      <x:c r="C213" s="5" t="str">
        <x:v>fiscal</x:v>
      </x:c>
      <x:c r="D213" s="5" t="n">
        <x:f>'01_Indicadores'!$H$10</x:f>
        <x:v>58</x:v>
      </x:c>
      <x:c r="E213" s="5" t="n">
        <x:f>0+0</x:f>
        <x:v>0</x:v>
      </x:c>
      <x:c r="F213" s="5" t="n">
        <x:f>0</x:f>
        <x:v>0</x:v>
      </x:c>
      <x:c r="G213" s="5" t="n">
        <x:f>MAX(-'00_Arquitectura'!$B$106,MIN('00_Arquitectura'!$B$106,E213+F213))</x:f>
        <x:v>0</x:v>
      </x:c>
      <x:c r="H213" s="5" t="n">
        <x:f>$O$25</x:f>
        <x:v>58</x:v>
      </x:c>
      <x:c r="I213" s="5" t="n">
        <x:f>0</x:f>
        <x:v>0</x:v>
      </x:c>
      <x:c r="J213" s="5" t="n">
        <x:f>MAX(-'00_Arquitectura'!$B$107,MIN('00_Arquitectura'!$B$107,0))</x:f>
        <x:v>0</x:v>
      </x:c>
      <x:c r="K213" s="5" t="n">
        <x:f>MAX(0,MIN(100,H213+I213+J213))</x:f>
        <x:v>58</x:v>
      </x:c>
      <x:c r="L213" s="5" t="str">
        <x:v>Derivado de caja: ingreso recurrente, gasto, intereses y deuda. Nunca SUM de efectos fiscales directos.</x:v>
      </x:c>
    </x:row>
    <x:row r="214" ht="34" customHeight="1">
      <x:c r="A214" s="10" t="str">
        <x:v>S2_VIAL</x:v>
      </x:c>
      <x:c r="B214" s="10" t="n">
        <x:v>1</x:v>
      </x:c>
      <x:c r="C214" s="10" t="str">
        <x:v>externo</x:v>
      </x:c>
      <x:c r="D214" s="10" t="n">
        <x:f>'01_Indicadores'!$H$11</x:f>
        <x:v>45</x:v>
      </x:c>
      <x:c r="E214" s="10" t="n">
        <x:f>0+0</x:f>
        <x:v>0</x:v>
      </x:c>
      <x:c r="F214" s="10" t="n">
        <x:f>0</x:f>
        <x:v>0</x:v>
      </x:c>
      <x:c r="G214" s="10" t="n">
        <x:f>MAX(-'00_Arquitectura'!$B$106,MIN('00_Arquitectura'!$B$106,E214+F214))</x:f>
        <x:v>0</x:v>
      </x:c>
      <x:c r="H214" s="10" t="n">
        <x:f>MAX(0,MIN(100,D214+G214))</x:f>
        <x:v>45</x:v>
      </x:c>
      <x:c r="I214" s="10" t="n">
        <x:f>0</x:f>
        <x:v>0</x:v>
      </x:c>
      <x:c r="J214" s="10" t="n">
        <x:f>MAX(-'00_Arquitectura'!$B$107,MIN('00_Arquitectura'!$B$107,0))</x:f>
        <x:v>0</x:v>
      </x:c>
      <x:c r="K214" s="10" t="n">
        <x:f>MAX(0,MIN(100,H214+I214+J214))</x:f>
        <x:v>45</x:v>
      </x:c>
      <x:c r="L214" s="10" t="str">
        <x:v>Pulsos y offsets: filtrar Instancias por escenario, turno y targetId. Base separada del nivel visible.</x:v>
      </x:c>
    </x:row>
    <x:row r="215" ht="34" customHeight="1">
      <x:c r="A215" s="5" t="str">
        <x:v>S2_VIAL</x:v>
      </x:c>
      <x:c r="B215" s="5" t="n">
        <x:v>1</x:v>
      </x:c>
      <x:c r="C215" s="5" t="str">
        <x:v>infraestructura</x:v>
      </x:c>
      <x:c r="D215" s="5" t="n">
        <x:f>'01_Indicadores'!$H$12</x:f>
        <x:v>45</x:v>
      </x:c>
      <x:c r="E215" s="5" t="n">
        <x:f>0+0</x:f>
        <x:v>0</x:v>
      </x:c>
      <x:c r="F215" s="5" t="n">
        <x:f>0</x:f>
        <x:v>0</x:v>
      </x:c>
      <x:c r="G215" s="5" t="n">
        <x:f>MAX(-'00_Arquitectura'!$B$106,MIN('00_Arquitectura'!$B$106,E215+F215))</x:f>
        <x:v>0</x:v>
      </x:c>
      <x:c r="H215" s="5" t="n">
        <x:f>MAX(0,MIN(100,D215+G215))</x:f>
        <x:v>45</x:v>
      </x:c>
      <x:c r="I215" s="5" t="n">
        <x:f>0</x:f>
        <x:v>0</x:v>
      </x:c>
      <x:c r="J215" s="5" t="n">
        <x:f>MAX(-'00_Arquitectura'!$B$107,MIN('00_Arquitectura'!$B$107,0))</x:f>
        <x:v>0</x:v>
      </x:c>
      <x:c r="K215" s="5" t="n">
        <x:f>MAX(0,MIN(100,H215+I215+J215))</x:f>
        <x:v>45</x:v>
      </x:c>
      <x:c r="L215" s="5" t="str">
        <x:v>Pulsos y offsets: filtrar Instancias por escenario, turno y targetId. Base separada del nivel visible.</x:v>
      </x:c>
    </x:row>
    <x:row r="216" ht="34" customHeight="1">
      <x:c r="A216" s="10" t="str">
        <x:v>S2_VIAL</x:v>
      </x:c>
      <x:c r="B216" s="10" t="n">
        <x:v>1</x:v>
      </x:c>
      <x:c r="C216" s="10" t="str">
        <x:v>educacion</x:v>
      </x:c>
      <x:c r="D216" s="10" t="n">
        <x:f>'01_Indicadores'!$H$13</x:f>
        <x:v>50</x:v>
      </x:c>
      <x:c r="E216" s="10" t="n">
        <x:f>0+0</x:f>
        <x:v>0</x:v>
      </x:c>
      <x:c r="F216" s="10" t="n">
        <x:f>0</x:f>
        <x:v>0</x:v>
      </x:c>
      <x:c r="G216" s="10" t="n">
        <x:f>MAX(-'00_Arquitectura'!$B$106,MIN('00_Arquitectura'!$B$106,E216+F216))</x:f>
        <x:v>0</x:v>
      </x:c>
      <x:c r="H216" s="10" t="n">
        <x:f>MAX(0,MIN(100,D216+G216))</x:f>
        <x:v>50</x:v>
      </x:c>
      <x:c r="I216" s="10" t="n">
        <x:f>0</x:f>
        <x:v>0</x:v>
      </x:c>
      <x:c r="J216" s="10" t="n">
        <x:f>MAX(-'00_Arquitectura'!$B$107,MIN('00_Arquitectura'!$B$107,0))</x:f>
        <x:v>0</x:v>
      </x:c>
      <x:c r="K216" s="10" t="n">
        <x:f>MAX(0,MIN(100,H216+I216+J216))</x:f>
        <x:v>50</x:v>
      </x:c>
      <x:c r="L216" s="10" t="str">
        <x:v>Pulsos y offsets: filtrar Instancias por escenario, turno y targetId. Base separada del nivel visible.</x:v>
      </x:c>
    </x:row>
    <x:row r="217" ht="34" customHeight="1">
      <x:c r="A217" s="5" t="str">
        <x:v>S2_VIAL</x:v>
      </x:c>
      <x:c r="B217" s="5" t="n">
        <x:v>1</x:v>
      </x:c>
      <x:c r="C217" s="5" t="str">
        <x:v>salud</x:v>
      </x:c>
      <x:c r="D217" s="5" t="n">
        <x:f>'01_Indicadores'!$H$14</x:f>
        <x:v>50</x:v>
      </x:c>
      <x:c r="E217" s="5" t="n">
        <x:f>0+0</x:f>
        <x:v>0</x:v>
      </x:c>
      <x:c r="F217" s="5" t="n">
        <x:f>0</x:f>
        <x:v>0</x:v>
      </x:c>
      <x:c r="G217" s="5" t="n">
        <x:f>MAX(-'00_Arquitectura'!$B$106,MIN('00_Arquitectura'!$B$106,E217+F217))</x:f>
        <x:v>0</x:v>
      </x:c>
      <x:c r="H217" s="5" t="n">
        <x:f>MAX(0,MIN(100,D217+G217))</x:f>
        <x:v>50</x:v>
      </x:c>
      <x:c r="I217" s="5" t="n">
        <x:f>0</x:f>
        <x:v>0</x:v>
      </x:c>
      <x:c r="J217" s="5" t="n">
        <x:f>MAX(-'00_Arquitectura'!$B$107,MIN('00_Arquitectura'!$B$107,0))</x:f>
        <x:v>0</x:v>
      </x:c>
      <x:c r="K217" s="5" t="n">
        <x:f>MAX(0,MIN(100,H217+I217+J217))</x:f>
        <x:v>50</x:v>
      </x:c>
      <x:c r="L217" s="5" t="str">
        <x:v>Pulsos y offsets: filtrar Instancias por escenario, turno y targetId. Base separada del nivel visible.</x:v>
      </x:c>
    </x:row>
    <x:row r="218" ht="34" customHeight="1">
      <x:c r="A218" s="10" t="str">
        <x:v>S2_VIAL</x:v>
      </x:c>
      <x:c r="B218" s="10" t="n">
        <x:v>1</x:v>
      </x:c>
      <x:c r="C218" s="10" t="str">
        <x:v>proteccion</x:v>
      </x:c>
      <x:c r="D218" s="10" t="n">
        <x:f>'01_Indicadores'!$H$15</x:f>
        <x:v>45</x:v>
      </x:c>
      <x:c r="E218" s="10" t="n">
        <x:f>0+0</x:f>
        <x:v>0</x:v>
      </x:c>
      <x:c r="F218" s="10" t="n">
        <x:f>0</x:f>
        <x:v>0</x:v>
      </x:c>
      <x:c r="G218" s="10" t="n">
        <x:f>MAX(-'00_Arquitectura'!$B$106,MIN('00_Arquitectura'!$B$106,E218+F218))</x:f>
        <x:v>0</x:v>
      </x:c>
      <x:c r="H218" s="10" t="n">
        <x:f>MAX(0,MIN(100,D218+G218))</x:f>
        <x:v>45</x:v>
      </x:c>
      <x:c r="I218" s="10" t="n">
        <x:f>0</x:f>
        <x:v>0</x:v>
      </x:c>
      <x:c r="J218" s="10" t="n">
        <x:f>MAX(-'00_Arquitectura'!$B$107,MIN('00_Arquitectura'!$B$107,0))</x:f>
        <x:v>0</x:v>
      </x:c>
      <x:c r="K218" s="10" t="n">
        <x:f>MAX(0,MIN(100,H218+I218+J218))</x:f>
        <x:v>45</x:v>
      </x:c>
      <x:c r="L218" s="10" t="str">
        <x:v>Pulsos y offsets: filtrar Instancias por escenario, turno y targetId. Base separada del nivel visible.</x:v>
      </x:c>
    </x:row>
    <x:row r="219" ht="34" customHeight="1">
      <x:c r="A219" s="5" t="str">
        <x:v>S2_VIAL</x:v>
      </x:c>
      <x:c r="B219" s="5" t="n">
        <x:v>1</x:v>
      </x:c>
      <x:c r="C219" s="5" t="str">
        <x:v>seguridad</x:v>
      </x:c>
      <x:c r="D219" s="5" t="n">
        <x:f>'01_Indicadores'!$H$16</x:f>
        <x:v>45</x:v>
      </x:c>
      <x:c r="E219" s="5" t="n">
        <x:f>0+0</x:f>
        <x:v>0</x:v>
      </x:c>
      <x:c r="F219" s="5" t="n">
        <x:f>0</x:f>
        <x:v>0</x:v>
      </x:c>
      <x:c r="G219" s="5" t="n">
        <x:f>MAX(-'00_Arquitectura'!$B$106,MIN('00_Arquitectura'!$B$106,E219+F219))</x:f>
        <x:v>0</x:v>
      </x:c>
      <x:c r="H219" s="5" t="n">
        <x:f>MAX(0,MIN(100,D219+G219))</x:f>
        <x:v>45</x:v>
      </x:c>
      <x:c r="I219" s="5" t="n">
        <x:f>0</x:f>
        <x:v>0</x:v>
      </x:c>
      <x:c r="J219" s="5" t="n">
        <x:f>MAX(-'00_Arquitectura'!$B$107,MIN('00_Arquitectura'!$B$107,0))</x:f>
        <x:v>0</x:v>
      </x:c>
      <x:c r="K219" s="5" t="n">
        <x:f>MAX(0,MIN(100,H219+I219+J219))</x:f>
        <x:v>45</x:v>
      </x:c>
      <x:c r="L219" s="5" t="str">
        <x:v>Pulsos y offsets: filtrar Instancias por escenario, turno y targetId. Base separada del nivel visible.</x:v>
      </x:c>
    </x:row>
    <x:row r="220" ht="34" customHeight="1">
      <x:c r="A220" s="10" t="str">
        <x:v>S2_VIAL</x:v>
      </x:c>
      <x:c r="B220" s="10" t="n">
        <x:v>1</x:v>
      </x:c>
      <x:c r="C220" s="10" t="str">
        <x:v>ciencia</x:v>
      </x:c>
      <x:c r="D220" s="10" t="n">
        <x:f>'01_Indicadores'!$H$17</x:f>
        <x:v>40</x:v>
      </x:c>
      <x:c r="E220" s="10" t="n">
        <x:f>0+0</x:f>
        <x:v>0</x:v>
      </x:c>
      <x:c r="F220" s="10" t="n">
        <x:f>0</x:f>
        <x:v>0</x:v>
      </x:c>
      <x:c r="G220" s="10" t="n">
        <x:f>MAX(-'00_Arquitectura'!$B$106,MIN('00_Arquitectura'!$B$106,E220+F220))</x:f>
        <x:v>0</x:v>
      </x:c>
      <x:c r="H220" s="10" t="n">
        <x:f>MAX(0,MIN(100,D220+G220))</x:f>
        <x:v>40</x:v>
      </x:c>
      <x:c r="I220" s="10" t="n">
        <x:f>0</x:f>
        <x:v>0</x:v>
      </x:c>
      <x:c r="J220" s="10" t="n">
        <x:f>MAX(-'00_Arquitectura'!$B$107,MIN('00_Arquitectura'!$B$107,0))</x:f>
        <x:v>0</x:v>
      </x:c>
      <x:c r="K220" s="10" t="n">
        <x:f>MAX(0,MIN(100,H220+I220+J220))</x:f>
        <x:v>40</x:v>
      </x:c>
      <x:c r="L220" s="10" t="str">
        <x:v>Pulsos y offsets: filtrar Instancias por escenario, turno y targetId. Base separada del nivel visible.</x:v>
      </x:c>
    </x:row>
    <x:row r="221" ht="34" customHeight="1">
      <x:c r="A221" s="5" t="str">
        <x:v>S2_VIAL</x:v>
      </x:c>
      <x:c r="B221" s="5" t="n">
        <x:v>1</x:v>
      </x:c>
      <x:c r="C221" s="5" t="str">
        <x:v>derechos</x:v>
      </x:c>
      <x:c r="D221" s="5" t="n">
        <x:f>'01_Indicadores'!$H$18</x:f>
        <x:v>55</x:v>
      </x:c>
      <x:c r="E221" s="5" t="n">
        <x:f>0+0</x:f>
        <x:v>0</x:v>
      </x:c>
      <x:c r="F221" s="5" t="n">
        <x:f>0</x:f>
        <x:v>0</x:v>
      </x:c>
      <x:c r="G221" s="5" t="n">
        <x:f>MAX(-'00_Arquitectura'!$B$106,MIN('00_Arquitectura'!$B$106,E221+F221))</x:f>
        <x:v>0</x:v>
      </x:c>
      <x:c r="H221" s="5" t="n">
        <x:f>MAX(0,MIN(100,D221+G221))</x:f>
        <x:v>55</x:v>
      </x:c>
      <x:c r="I221" s="5" t="n">
        <x:f>0</x:f>
        <x:v>0</x:v>
      </x:c>
      <x:c r="J221" s="5" t="n">
        <x:f>MAX(-'00_Arquitectura'!$B$107,MIN('00_Arquitectura'!$B$107,0))</x:f>
        <x:v>0</x:v>
      </x:c>
      <x:c r="K221" s="5" t="n">
        <x:f>MAX(0,MIN(100,H221+I221+J221))</x:f>
        <x:v>55</x:v>
      </x:c>
      <x:c r="L221" s="5" t="str">
        <x:v>Pulsos y offsets: filtrar Instancias por escenario, turno y targetId. Base separada del nivel visible.</x:v>
      </x:c>
    </x:row>
    <x:row r="222" ht="34" customHeight="1">
      <x:c r="A222" s="10" t="str">
        <x:v>S2_VIAL</x:v>
      </x:c>
      <x:c r="B222" s="10" t="n">
        <x:v>1</x:v>
      </x:c>
      <x:c r="C222" s="10" t="str">
        <x:v>ambiente</x:v>
      </x:c>
      <x:c r="D222" s="10" t="n">
        <x:f>'01_Indicadores'!$H$19</x:f>
        <x:v>50</x:v>
      </x:c>
      <x:c r="E222" s="10" t="n">
        <x:f>0+0</x:f>
        <x:v>0</x:v>
      </x:c>
      <x:c r="F222" s="10" t="n">
        <x:f>0</x:f>
        <x:v>0</x:v>
      </x:c>
      <x:c r="G222" s="10" t="n">
        <x:f>MAX(-'00_Arquitectura'!$B$106,MIN('00_Arquitectura'!$B$106,E222+F222))</x:f>
        <x:v>0</x:v>
      </x:c>
      <x:c r="H222" s="10" t="n">
        <x:f>MAX(0,MIN(100,D222+G222))</x:f>
        <x:v>50</x:v>
      </x:c>
      <x:c r="I222" s="10" t="n">
        <x:f>0</x:f>
        <x:v>0</x:v>
      </x:c>
      <x:c r="J222" s="10" t="n">
        <x:f>MAX(-'00_Arquitectura'!$B$107,MIN('00_Arquitectura'!$B$107,0))</x:f>
        <x:v>0</x:v>
      </x:c>
      <x:c r="K222" s="10" t="n">
        <x:f>MAX(0,MIN(100,H222+I222+J222))</x:f>
        <x:v>50</x:v>
      </x:c>
      <x:c r="L222" s="10" t="str">
        <x:v>Pulsos y offsets: filtrar Instancias por escenario, turno y targetId. Base separada del nivel visible.</x:v>
      </x:c>
    </x:row>
    <x:row r="223" ht="42" customHeight="1">
      <x:c r="A223" s="5" t="str">
        <x:v>S2_VIAL</x:v>
      </x:c>
      <x:c r="B223" s="5" t="n">
        <x:v>2</x:v>
      </x:c>
      <x:c r="C223" s="5" t="str">
        <x:v>inflacion</x:v>
      </x:c>
      <x:c r="D223" s="5" t="n">
        <x:f>$H$209</x:f>
        <x:v>40</x:v>
      </x:c>
      <x:c r="E223" s="5" t="n">
        <x:f>0+0</x:f>
        <x:v>0</x:v>
      </x:c>
      <x:c r="F223" s="5" t="n">
        <x:f>-'00_Arquitectura'!$B$96*($H$209-40)</x:f>
        <x:v>0</x:v>
      </x:c>
      <x:c r="G223" s="5" t="n">
        <x:f>MAX(-'00_Arquitectura'!$B$106,MIN('00_Arquitectura'!$B$106,E223+F223))</x:f>
        <x:v>0</x:v>
      </x:c>
      <x:c r="H223" s="5" t="n">
        <x:f>MAX(0,MIN(100,D223+G223))</x:f>
        <x:v>40</x:v>
      </x:c>
      <x:c r="I223" s="5" t="n">
        <x:f>0</x:f>
        <x:v>0</x:v>
      </x:c>
      <x:c r="J223" s="5" t="n">
        <x:f>MAX(-'00_Arquitectura'!$B$107,MIN('00_Arquitectura'!$B$107,0))</x:f>
        <x:v>0</x:v>
      </x:c>
      <x:c r="K223" s="5" t="n">
        <x:f>MAX(0,MIN(100,H223+I223+J223))</x:f>
        <x:v>40</x:v>
      </x:c>
      <x:c r="L223" s="5" t="str">
        <x:v>Aplica link L01. Pulsos y offsets: filtrar Instancias por escenario, turno y targetId. Base separada del nivel visible.</x:v>
      </x:c>
    </x:row>
    <x:row r="224" ht="42" customHeight="1">
      <x:c r="A224" s="10" t="str">
        <x:v>S2_VIAL</x:v>
      </x:c>
      <x:c r="B224" s="10" t="n">
        <x:v>2</x:v>
      </x:c>
      <x:c r="C224" s="10" t="str">
        <x:v>actividad</x:v>
      </x:c>
      <x:c r="D224" s="10" t="n">
        <x:f>$H$210</x:f>
        <x:v>50</x:v>
      </x:c>
      <x:c r="E224" s="10" t="n">
        <x:f>0+0</x:f>
        <x:v>0</x:v>
      </x:c>
      <x:c r="F224" s="10" t="n">
        <x:f>-'00_Arquitectura'!$B$97*($H$210-50)+'00_Arquitectura'!$B$98*($K$212-45)+'00_Arquitectura'!$B$99*($K$215-45)+'00_Arquitectura'!$B$100*($K$214-45)</x:f>
        <x:v>0</x:v>
      </x:c>
      <x:c r="G224" s="10" t="n">
        <x:f>MAX(-'00_Arquitectura'!$B$106,MIN('00_Arquitectura'!$B$106,E224+F224))</x:f>
        <x:v>0</x:v>
      </x:c>
      <x:c r="H224" s="10" t="n">
        <x:f>MAX(0,MIN(100,D224+G224))</x:f>
        <x:v>50</x:v>
      </x:c>
      <x:c r="I224" s="10" t="n">
        <x:f>SUM($I$1694)</x:f>
        <x:v>2</x:v>
      </x:c>
      <x:c r="J224" s="10" t="n">
        <x:f>MAX(-'00_Arquitectura'!$B$107,MIN('00_Arquitectura'!$B$107,$J$953+$J$956+$J$957))</x:f>
        <x:v>0</x:v>
      </x:c>
      <x:c r="K224" s="10" t="n">
        <x:f>MAX(0,MIN(100,H224+I224+J224))</x:f>
        <x:v>52</x:v>
      </x:c>
      <x:c r="L224" s="10" t="str">
        <x:v>Aplica link L02. Pulsos y offsets: filtrar Instancias por escenario, turno y targetId. Base separada del nivel visible.</x:v>
      </x:c>
    </x:row>
    <x:row r="225" ht="42" customHeight="1">
      <x:c r="A225" s="5" t="str">
        <x:v>S2_VIAL</x:v>
      </x:c>
      <x:c r="B225" s="5" t="n">
        <x:v>2</x:v>
      </x:c>
      <x:c r="C225" s="5" t="str">
        <x:v>ingreso_real</x:v>
      </x:c>
      <x:c r="D225" s="5" t="n">
        <x:f>$H$211</x:f>
        <x:v>45</x:v>
      </x:c>
      <x:c r="E225" s="5" t="n">
        <x:f>0+0</x:f>
        <x:v>0</x:v>
      </x:c>
      <x:c r="F225" s="5" t="n">
        <x:f>'00_Arquitectura'!$B$101*($K$210-'01_Indicadores'!$H$7)+'00_Arquitectura'!$B$102*($K$209-'01_Indicadores'!$H$6)</x:f>
        <x:v>0</x:v>
      </x:c>
      <x:c r="G225" s="5" t="n">
        <x:f>MAX(-'00_Arquitectura'!$B$106,MIN('00_Arquitectura'!$B$106,E225+F225))</x:f>
        <x:v>0</x:v>
      </x:c>
      <x:c r="H225" s="5" t="n">
        <x:f>MAX(0,MIN(100,D225+G225))</x:f>
        <x:v>45</x:v>
      </x:c>
      <x:c r="I225" s="5" t="n">
        <x:f>0</x:f>
        <x:v>0</x:v>
      </x:c>
      <x:c r="J225" s="5" t="n">
        <x:f>MAX(-'00_Arquitectura'!$B$107,MIN('00_Arquitectura'!$B$107,0))</x:f>
        <x:v>0</x:v>
      </x:c>
      <x:c r="K225" s="5" t="n">
        <x:f>MAX(0,MIN(100,H225+I225+J225))</x:f>
        <x:v>45</x:v>
      </x:c>
      <x:c r="L225" s="5" t="str">
        <x:v>Aplica link L03. Pulsos y offsets: filtrar Instancias por escenario, turno y targetId. Base separada del nivel visible.</x:v>
      </x:c>
    </x:row>
    <x:row r="226" ht="42" customHeight="1">
      <x:c r="A226" s="10" t="str">
        <x:v>S2_VIAL</x:v>
      </x:c>
      <x:c r="B226" s="10" t="n">
        <x:v>2</x:v>
      </x:c>
      <x:c r="C226" s="10" t="str">
        <x:v>credito</x:v>
      </x:c>
      <x:c r="D226" s="10" t="n">
        <x:f>$H$212</x:f>
        <x:v>45</x:v>
      </x:c>
      <x:c r="E226" s="10" t="n">
        <x:f>0+0</x:f>
        <x:v>0</x:v>
      </x:c>
      <x:c r="F226" s="10" t="n">
        <x:f>-'00_Arquitectura'!$B$103*($H$212-45)+'00_Arquitectura'!$B$104*($K$209-'01_Indicadores'!$H$6)+'00_Arquitectura'!$B$105*($K$213-'00_Arquitectura'!$B$117)</x:f>
        <x:v>0</x:v>
      </x:c>
      <x:c r="G226" s="10" t="n">
        <x:f>MAX(-'00_Arquitectura'!$B$106,MIN('00_Arquitectura'!$B$106,E226+F226))</x:f>
        <x:v>0</x:v>
      </x:c>
      <x:c r="H226" s="10" t="n">
        <x:f>MAX(0,MIN(100,D226+G226))</x:f>
        <x:v>45</x:v>
      </x:c>
      <x:c r="I226" s="10" t="n">
        <x:f>0</x:f>
        <x:v>0</x:v>
      </x:c>
      <x:c r="J226" s="10" t="n">
        <x:f>MAX(-'00_Arquitectura'!$B$107,MIN('00_Arquitectura'!$B$107,$J$955))</x:f>
        <x:v>0</x:v>
      </x:c>
      <x:c r="K226" s="10" t="n">
        <x:f>MAX(0,MIN(100,H226+I226+J226))</x:f>
        <x:v>45</x:v>
      </x:c>
      <x:c r="L226" s="10" t="str">
        <x:v>Aplica link L04. Pulsos y offsets: filtrar Instancias por escenario, turno y targetId. Base separada del nivel visible.</x:v>
      </x:c>
    </x:row>
    <x:row r="227" ht="34" customHeight="1">
      <x:c r="A227" s="5" t="str">
        <x:v>S2_VIAL</x:v>
      </x:c>
      <x:c r="B227" s="5" t="n">
        <x:v>2</x:v>
      </x:c>
      <x:c r="C227" s="5" t="str">
        <x:v>fiscal</x:v>
      </x:c>
      <x:c r="D227" s="5" t="n">
        <x:f>$H$213</x:f>
        <x:v>58</x:v>
      </x:c>
      <x:c r="E227" s="5" t="n">
        <x:f>0+0</x:f>
        <x:v>0</x:v>
      </x:c>
      <x:c r="F227" s="5" t="n">
        <x:f>0</x:f>
        <x:v>0</x:v>
      </x:c>
      <x:c r="G227" s="5" t="n">
        <x:f>MAX(-'00_Arquitectura'!$B$106,MIN('00_Arquitectura'!$B$106,E227+F227))</x:f>
        <x:v>0</x:v>
      </x:c>
      <x:c r="H227" s="5" t="n">
        <x:f>$O$26</x:f>
        <x:v>58</x:v>
      </x:c>
      <x:c r="I227" s="5" t="n">
        <x:f>0</x:f>
        <x:v>0</x:v>
      </x:c>
      <x:c r="J227" s="5" t="n">
        <x:f>MAX(-'00_Arquitectura'!$B$107,MIN('00_Arquitectura'!$B$107,0))</x:f>
        <x:v>0</x:v>
      </x:c>
      <x:c r="K227" s="5" t="n">
        <x:f>MAX(0,MIN(100,H227+I227+J227))</x:f>
        <x:v>58</x:v>
      </x:c>
      <x:c r="L227" s="5" t="str">
        <x:v>Derivado de caja: ingreso recurrente, gasto, intereses y deuda. Nunca SUM de efectos fiscales directos.</x:v>
      </x:c>
    </x:row>
    <x:row r="228" ht="34" customHeight="1">
      <x:c r="A228" s="10" t="str">
        <x:v>S2_VIAL</x:v>
      </x:c>
      <x:c r="B228" s="10" t="n">
        <x:v>2</x:v>
      </x:c>
      <x:c r="C228" s="10" t="str">
        <x:v>externo</x:v>
      </x:c>
      <x:c r="D228" s="10" t="n">
        <x:f>$H$214</x:f>
        <x:v>45</x:v>
      </x:c>
      <x:c r="E228" s="10" t="n">
        <x:f>0+0</x:f>
        <x:v>0</x:v>
      </x:c>
      <x:c r="F228" s="10" t="n">
        <x:f>0</x:f>
        <x:v>0</x:v>
      </x:c>
      <x:c r="G228" s="10" t="n">
        <x:f>MAX(-'00_Arquitectura'!$B$106,MIN('00_Arquitectura'!$B$106,E228+F228))</x:f>
        <x:v>0</x:v>
      </x:c>
      <x:c r="H228" s="10" t="n">
        <x:f>MAX(0,MIN(100,D228+G228))</x:f>
        <x:v>45</x:v>
      </x:c>
      <x:c r="I228" s="10" t="n">
        <x:f>0</x:f>
        <x:v>0</x:v>
      </x:c>
      <x:c r="J228" s="10" t="n">
        <x:f>MAX(-'00_Arquitectura'!$B$107,MIN('00_Arquitectura'!$B$107,$J$954))</x:f>
        <x:v>0</x:v>
      </x:c>
      <x:c r="K228" s="10" t="n">
        <x:f>MAX(0,MIN(100,H228+I228+J228))</x:f>
        <x:v>45</x:v>
      </x:c>
      <x:c r="L228" s="10" t="str">
        <x:v>Pulsos y offsets: filtrar Instancias por escenario, turno y targetId. Base separada del nivel visible.</x:v>
      </x:c>
    </x:row>
    <x:row r="229" ht="34" customHeight="1">
      <x:c r="A229" s="5" t="str">
        <x:v>S2_VIAL</x:v>
      </x:c>
      <x:c r="B229" s="5" t="n">
        <x:v>2</x:v>
      </x:c>
      <x:c r="C229" s="5" t="str">
        <x:v>infraestructura</x:v>
      </x:c>
      <x:c r="D229" s="5" t="n">
        <x:f>$H$215</x:f>
        <x:v>45</x:v>
      </x:c>
      <x:c r="E229" s="5" t="n">
        <x:f>0+0</x:f>
        <x:v>0</x:v>
      </x:c>
      <x:c r="F229" s="5" t="n">
        <x:f>0</x:f>
        <x:v>0</x:v>
      </x:c>
      <x:c r="G229" s="5" t="n">
        <x:f>MAX(-'00_Arquitectura'!$B$106,MIN('00_Arquitectura'!$B$106,E229+F229))</x:f>
        <x:v>0</x:v>
      </x:c>
      <x:c r="H229" s="5" t="n">
        <x:f>MAX(0,MIN(100,D229+G229))</x:f>
        <x:v>45</x:v>
      </x:c>
      <x:c r="I229" s="5" t="n">
        <x:f>0</x:f>
        <x:v>0</x:v>
      </x:c>
      <x:c r="J229" s="5" t="n">
        <x:f>MAX(-'00_Arquitectura'!$B$107,MIN('00_Arquitectura'!$B$107,0))</x:f>
        <x:v>0</x:v>
      </x:c>
      <x:c r="K229" s="5" t="n">
        <x:f>MAX(0,MIN(100,H229+I229+J229))</x:f>
        <x:v>45</x:v>
      </x:c>
      <x:c r="L229" s="5" t="str">
        <x:v>Pulsos y offsets: filtrar Instancias por escenario, turno y targetId. Base separada del nivel visible.</x:v>
      </x:c>
    </x:row>
    <x:row r="230" ht="34" customHeight="1">
      <x:c r="A230" s="10" t="str">
        <x:v>S2_VIAL</x:v>
      </x:c>
      <x:c r="B230" s="10" t="n">
        <x:v>2</x:v>
      </x:c>
      <x:c r="C230" s="10" t="str">
        <x:v>educacion</x:v>
      </x:c>
      <x:c r="D230" s="10" t="n">
        <x:f>$H$216</x:f>
        <x:v>50</x:v>
      </x:c>
      <x:c r="E230" s="10" t="n">
        <x:f>0+0</x:f>
        <x:v>0</x:v>
      </x:c>
      <x:c r="F230" s="10" t="n">
        <x:f>0</x:f>
        <x:v>0</x:v>
      </x:c>
      <x:c r="G230" s="10" t="n">
        <x:f>MAX(-'00_Arquitectura'!$B$106,MIN('00_Arquitectura'!$B$106,E230+F230))</x:f>
        <x:v>0</x:v>
      </x:c>
      <x:c r="H230" s="10" t="n">
        <x:f>MAX(0,MIN(100,D230+G230))</x:f>
        <x:v>50</x:v>
      </x:c>
      <x:c r="I230" s="10" t="n">
        <x:f>0</x:f>
        <x:v>0</x:v>
      </x:c>
      <x:c r="J230" s="10" t="n">
        <x:f>MAX(-'00_Arquitectura'!$B$107,MIN('00_Arquitectura'!$B$107,$J$961))</x:f>
        <x:v>0</x:v>
      </x:c>
      <x:c r="K230" s="10" t="n">
        <x:f>MAX(0,MIN(100,H230+I230+J230))</x:f>
        <x:v>50</x:v>
      </x:c>
      <x:c r="L230" s="10" t="str">
        <x:v>Pulsos y offsets: filtrar Instancias por escenario, turno y targetId. Base separada del nivel visible.</x:v>
      </x:c>
    </x:row>
    <x:row r="231" ht="34" customHeight="1">
      <x:c r="A231" s="5" t="str">
        <x:v>S2_VIAL</x:v>
      </x:c>
      <x:c r="B231" s="5" t="n">
        <x:v>2</x:v>
      </x:c>
      <x:c r="C231" s="5" t="str">
        <x:v>salud</x:v>
      </x:c>
      <x:c r="D231" s="5" t="n">
        <x:f>$H$217</x:f>
        <x:v>50</x:v>
      </x:c>
      <x:c r="E231" s="5" t="n">
        <x:f>0+0</x:f>
        <x:v>0</x:v>
      </x:c>
      <x:c r="F231" s="5" t="n">
        <x:f>0</x:f>
        <x:v>0</x:v>
      </x:c>
      <x:c r="G231" s="5" t="n">
        <x:f>MAX(-'00_Arquitectura'!$B$106,MIN('00_Arquitectura'!$B$106,E231+F231))</x:f>
        <x:v>0</x:v>
      </x:c>
      <x:c r="H231" s="5" t="n">
        <x:f>MAX(0,MIN(100,D231+G231))</x:f>
        <x:v>50</x:v>
      </x:c>
      <x:c r="I231" s="5" t="n">
        <x:f>0</x:f>
        <x:v>0</x:v>
      </x:c>
      <x:c r="J231" s="5" t="n">
        <x:f>MAX(-'00_Arquitectura'!$B$107,MIN('00_Arquitectura'!$B$107,0))</x:f>
        <x:v>0</x:v>
      </x:c>
      <x:c r="K231" s="5" t="n">
        <x:f>MAX(0,MIN(100,H231+I231+J231))</x:f>
        <x:v>50</x:v>
      </x:c>
      <x:c r="L231" s="5" t="str">
        <x:v>Pulsos y offsets: filtrar Instancias por escenario, turno y targetId. Base separada del nivel visible.</x:v>
      </x:c>
    </x:row>
    <x:row r="232" ht="34" customHeight="1">
      <x:c r="A232" s="10" t="str">
        <x:v>S2_VIAL</x:v>
      </x:c>
      <x:c r="B232" s="10" t="n">
        <x:v>2</x:v>
      </x:c>
      <x:c r="C232" s="10" t="str">
        <x:v>proteccion</x:v>
      </x:c>
      <x:c r="D232" s="10" t="n">
        <x:f>$H$218</x:f>
        <x:v>45</x:v>
      </x:c>
      <x:c r="E232" s="10" t="n">
        <x:f>0+0</x:f>
        <x:v>0</x:v>
      </x:c>
      <x:c r="F232" s="10" t="n">
        <x:f>0</x:f>
        <x:v>0</x:v>
      </x:c>
      <x:c r="G232" s="10" t="n">
        <x:f>MAX(-'00_Arquitectura'!$B$106,MIN('00_Arquitectura'!$B$106,E232+F232))</x:f>
        <x:v>0</x:v>
      </x:c>
      <x:c r="H232" s="10" t="n">
        <x:f>MAX(0,MIN(100,D232+G232))</x:f>
        <x:v>45</x:v>
      </x:c>
      <x:c r="I232" s="10" t="n">
        <x:f>0</x:f>
        <x:v>0</x:v>
      </x:c>
      <x:c r="J232" s="10" t="n">
        <x:f>MAX(-'00_Arquitectura'!$B$107,MIN('00_Arquitectura'!$B$107,$J$959+$J$963))</x:f>
        <x:v>0</x:v>
      </x:c>
      <x:c r="K232" s="10" t="n">
        <x:f>MAX(0,MIN(100,H232+I232+J232))</x:f>
        <x:v>45</x:v>
      </x:c>
      <x:c r="L232" s="10" t="str">
        <x:v>Pulsos y offsets: filtrar Instancias por escenario, turno y targetId. Base separada del nivel visible.</x:v>
      </x:c>
    </x:row>
    <x:row r="233" ht="34" customHeight="1">
      <x:c r="A233" s="5" t="str">
        <x:v>S2_VIAL</x:v>
      </x:c>
      <x:c r="B233" s="5" t="n">
        <x:v>2</x:v>
      </x:c>
      <x:c r="C233" s="5" t="str">
        <x:v>seguridad</x:v>
      </x:c>
      <x:c r="D233" s="5" t="n">
        <x:f>$H$219</x:f>
        <x:v>45</x:v>
      </x:c>
      <x:c r="E233" s="5" t="n">
        <x:f>0+0</x:f>
        <x:v>0</x:v>
      </x:c>
      <x:c r="F233" s="5" t="n">
        <x:f>0</x:f>
        <x:v>0</x:v>
      </x:c>
      <x:c r="G233" s="5" t="n">
        <x:f>MAX(-'00_Arquitectura'!$B$106,MIN('00_Arquitectura'!$B$106,E233+F233))</x:f>
        <x:v>0</x:v>
      </x:c>
      <x:c r="H233" s="5" t="n">
        <x:f>MAX(0,MIN(100,D233+G233))</x:f>
        <x:v>45</x:v>
      </x:c>
      <x:c r="I233" s="5" t="n">
        <x:f>0</x:f>
        <x:v>0</x:v>
      </x:c>
      <x:c r="J233" s="5" t="n">
        <x:f>MAX(-'00_Arquitectura'!$B$107,MIN('00_Arquitectura'!$B$107,0))</x:f>
        <x:v>0</x:v>
      </x:c>
      <x:c r="K233" s="5" t="n">
        <x:f>MAX(0,MIN(100,H233+I233+J233))</x:f>
        <x:v>45</x:v>
      </x:c>
      <x:c r="L233" s="5" t="str">
        <x:v>Pulsos y offsets: filtrar Instancias por escenario, turno y targetId. Base separada del nivel visible.</x:v>
      </x:c>
    </x:row>
    <x:row r="234" ht="34" customHeight="1">
      <x:c r="A234" s="10" t="str">
        <x:v>S2_VIAL</x:v>
      </x:c>
      <x:c r="B234" s="10" t="n">
        <x:v>2</x:v>
      </x:c>
      <x:c r="C234" s="10" t="str">
        <x:v>ciencia</x:v>
      </x:c>
      <x:c r="D234" s="10" t="n">
        <x:f>$H$220</x:f>
        <x:v>40</x:v>
      </x:c>
      <x:c r="E234" s="10" t="n">
        <x:f>0+0</x:f>
        <x:v>0</x:v>
      </x:c>
      <x:c r="F234" s="10" t="n">
        <x:f>0</x:f>
        <x:v>0</x:v>
      </x:c>
      <x:c r="G234" s="10" t="n">
        <x:f>MAX(-'00_Arquitectura'!$B$106,MIN('00_Arquitectura'!$B$106,E234+F234))</x:f>
        <x:v>0</x:v>
      </x:c>
      <x:c r="H234" s="10" t="n">
        <x:f>MAX(0,MIN(100,D234+G234))</x:f>
        <x:v>40</x:v>
      </x:c>
      <x:c r="I234" s="10" t="n">
        <x:f>0</x:f>
        <x:v>0</x:v>
      </x:c>
      <x:c r="J234" s="10" t="n">
        <x:f>MAX(-'00_Arquitectura'!$B$107,MIN('00_Arquitectura'!$B$107,$J$962))</x:f>
        <x:v>0</x:v>
      </x:c>
      <x:c r="K234" s="10" t="n">
        <x:f>MAX(0,MIN(100,H234+I234+J234))</x:f>
        <x:v>40</x:v>
      </x:c>
      <x:c r="L234" s="10" t="str">
        <x:v>Pulsos y offsets: filtrar Instancias por escenario, turno y targetId. Base separada del nivel visible.</x:v>
      </x:c>
    </x:row>
    <x:row r="235" ht="34" customHeight="1">
      <x:c r="A235" s="5" t="str">
        <x:v>S2_VIAL</x:v>
      </x:c>
      <x:c r="B235" s="5" t="n">
        <x:v>2</x:v>
      </x:c>
      <x:c r="C235" s="5" t="str">
        <x:v>derechos</x:v>
      </x:c>
      <x:c r="D235" s="5" t="n">
        <x:f>$H$221</x:f>
        <x:v>55</x:v>
      </x:c>
      <x:c r="E235" s="5" t="n">
        <x:f>0+0</x:f>
        <x:v>0</x:v>
      </x:c>
      <x:c r="F235" s="5" t="n">
        <x:f>0</x:f>
        <x:v>0</x:v>
      </x:c>
      <x:c r="G235" s="5" t="n">
        <x:f>MAX(-'00_Arquitectura'!$B$106,MIN('00_Arquitectura'!$B$106,E235+F235))</x:f>
        <x:v>0</x:v>
      </x:c>
      <x:c r="H235" s="5" t="n">
        <x:f>MAX(0,MIN(100,D235+G235))</x:f>
        <x:v>55</x:v>
      </x:c>
      <x:c r="I235" s="5" t="n">
        <x:f>0</x:f>
        <x:v>0</x:v>
      </x:c>
      <x:c r="J235" s="5" t="n">
        <x:f>MAX(-'00_Arquitectura'!$B$107,MIN('00_Arquitectura'!$B$107,0))</x:f>
        <x:v>0</x:v>
      </x:c>
      <x:c r="K235" s="5" t="n">
        <x:f>MAX(0,MIN(100,H235+I235+J235))</x:f>
        <x:v>55</x:v>
      </x:c>
      <x:c r="L235" s="5" t="str">
        <x:v>Pulsos y offsets: filtrar Instancias por escenario, turno y targetId. Base separada del nivel visible.</x:v>
      </x:c>
    </x:row>
    <x:row r="236" ht="34" customHeight="1">
      <x:c r="A236" s="10" t="str">
        <x:v>S2_VIAL</x:v>
      </x:c>
      <x:c r="B236" s="10" t="n">
        <x:v>2</x:v>
      </x:c>
      <x:c r="C236" s="10" t="str">
        <x:v>ambiente</x:v>
      </x:c>
      <x:c r="D236" s="10" t="n">
        <x:f>$H$222</x:f>
        <x:v>50</x:v>
      </x:c>
      <x:c r="E236" s="10" t="n">
        <x:f>0+0</x:f>
        <x:v>0</x:v>
      </x:c>
      <x:c r="F236" s="10" t="n">
        <x:f>0</x:f>
        <x:v>0</x:v>
      </x:c>
      <x:c r="G236" s="10" t="n">
        <x:f>MAX(-'00_Arquitectura'!$B$106,MIN('00_Arquitectura'!$B$106,E236+F236))</x:f>
        <x:v>0</x:v>
      </x:c>
      <x:c r="H236" s="10" t="n">
        <x:f>MAX(0,MIN(100,D236+G236))</x:f>
        <x:v>50</x:v>
      </x:c>
      <x:c r="I236" s="10" t="n">
        <x:f>0</x:f>
        <x:v>0</x:v>
      </x:c>
      <x:c r="J236" s="10" t="n">
        <x:f>MAX(-'00_Arquitectura'!$B$107,MIN('00_Arquitectura'!$B$107,0))</x:f>
        <x:v>0</x:v>
      </x:c>
      <x:c r="K236" s="10" t="n">
        <x:f>MAX(0,MIN(100,H236+I236+J236))</x:f>
        <x:v>50</x:v>
      </x:c>
      <x:c r="L236" s="10" t="str">
        <x:v>Pulsos y offsets: filtrar Instancias por escenario, turno y targetId. Base separada del nivel visible.</x:v>
      </x:c>
    </x:row>
    <x:row r="237" ht="42" customHeight="1">
      <x:c r="A237" s="5" t="str">
        <x:v>S2_VIAL</x:v>
      </x:c>
      <x:c r="B237" s="5" t="n">
        <x:v>3</x:v>
      </x:c>
      <x:c r="C237" s="5" t="str">
        <x:v>inflacion</x:v>
      </x:c>
      <x:c r="D237" s="5" t="n">
        <x:f>$H$223</x:f>
        <x:v>40</x:v>
      </x:c>
      <x:c r="E237" s="5" t="n">
        <x:f>0+0</x:f>
        <x:v>0</x:v>
      </x:c>
      <x:c r="F237" s="5" t="n">
        <x:f>-'00_Arquitectura'!$B$96*($H$223-40)</x:f>
        <x:v>0</x:v>
      </x:c>
      <x:c r="G237" s="5" t="n">
        <x:f>MAX(-'00_Arquitectura'!$B$106,MIN('00_Arquitectura'!$B$106,E237+F237))</x:f>
        <x:v>0</x:v>
      </x:c>
      <x:c r="H237" s="5" t="n">
        <x:f>MAX(0,MIN(100,D237+G237))</x:f>
        <x:v>40</x:v>
      </x:c>
      <x:c r="I237" s="5" t="n">
        <x:f>0</x:f>
        <x:v>0</x:v>
      </x:c>
      <x:c r="J237" s="5" t="n">
        <x:f>MAX(-'00_Arquitectura'!$B$107,MIN('00_Arquitectura'!$B$107,0))</x:f>
        <x:v>0</x:v>
      </x:c>
      <x:c r="K237" s="5" t="n">
        <x:f>MAX(0,MIN(100,H237+I237+J237))</x:f>
        <x:v>40</x:v>
      </x:c>
      <x:c r="L237" s="5" t="str">
        <x:v>Aplica link L01. Pulsos y offsets: filtrar Instancias por escenario, turno y targetId. Base separada del nivel visible.</x:v>
      </x:c>
    </x:row>
    <x:row r="238" ht="42" customHeight="1">
      <x:c r="A238" s="10" t="str">
        <x:v>S2_VIAL</x:v>
      </x:c>
      <x:c r="B238" s="10" t="n">
        <x:v>3</x:v>
      </x:c>
      <x:c r="C238" s="10" t="str">
        <x:v>actividad</x:v>
      </x:c>
      <x:c r="D238" s="10" t="n">
        <x:f>$H$224</x:f>
        <x:v>50</x:v>
      </x:c>
      <x:c r="E238" s="10" t="n">
        <x:f>0+0</x:f>
        <x:v>0</x:v>
      </x:c>
      <x:c r="F238" s="10" t="n">
        <x:f>-'00_Arquitectura'!$B$97*($H$224-50)+'00_Arquitectura'!$B$98*($K$226-45)+'00_Arquitectura'!$B$99*($K$229-45)+'00_Arquitectura'!$B$100*($K$228-45)</x:f>
        <x:v>0</x:v>
      </x:c>
      <x:c r="G238" s="10" t="n">
        <x:f>MAX(-'00_Arquitectura'!$B$106,MIN('00_Arquitectura'!$B$106,E238+F238))</x:f>
        <x:v>0</x:v>
      </x:c>
      <x:c r="H238" s="10" t="n">
        <x:f>MAX(0,MIN(100,D238+G238))</x:f>
        <x:v>50</x:v>
      </x:c>
      <x:c r="I238" s="10" t="n">
        <x:f>SUM($I$1695)</x:f>
        <x:v>2</x:v>
      </x:c>
      <x:c r="J238" s="10" t="n">
        <x:f>MAX(-'00_Arquitectura'!$B$107,MIN('00_Arquitectura'!$B$107,$J$971+$J$974+$J$975))</x:f>
        <x:v>0</x:v>
      </x:c>
      <x:c r="K238" s="10" t="n">
        <x:f>MAX(0,MIN(100,H238+I238+J238))</x:f>
        <x:v>52</x:v>
      </x:c>
      <x:c r="L238" s="10" t="str">
        <x:v>Aplica link L02. Pulsos y offsets: filtrar Instancias por escenario, turno y targetId. Base separada del nivel visible.</x:v>
      </x:c>
    </x:row>
    <x:row r="239" ht="42" customHeight="1">
      <x:c r="A239" s="5" t="str">
        <x:v>S2_VIAL</x:v>
      </x:c>
      <x:c r="B239" s="5" t="n">
        <x:v>3</x:v>
      </x:c>
      <x:c r="C239" s="5" t="str">
        <x:v>ingreso_real</x:v>
      </x:c>
      <x:c r="D239" s="5" t="n">
        <x:f>$H$225</x:f>
        <x:v>45</x:v>
      </x:c>
      <x:c r="E239" s="5" t="n">
        <x:f>0+0</x:f>
        <x:v>0</x:v>
      </x:c>
      <x:c r="F239" s="5" t="n">
        <x:f>'00_Arquitectura'!$B$101*($K$224-$K$210)+'00_Arquitectura'!$B$102*($K$223-$K$209)</x:f>
        <x:v>0.3</x:v>
      </x:c>
      <x:c r="G239" s="5" t="n">
        <x:f>MAX(-'00_Arquitectura'!$B$106,MIN('00_Arquitectura'!$B$106,E239+F239))</x:f>
        <x:v>0.3</x:v>
      </x:c>
      <x:c r="H239" s="5" t="n">
        <x:f>MAX(0,MIN(100,D239+G239))</x:f>
        <x:v>45.3</x:v>
      </x:c>
      <x:c r="I239" s="5" t="n">
        <x:f>0</x:f>
        <x:v>0</x:v>
      </x:c>
      <x:c r="J239" s="5" t="n">
        <x:f>MAX(-'00_Arquitectura'!$B$107,MIN('00_Arquitectura'!$B$107,0))</x:f>
        <x:v>0</x:v>
      </x:c>
      <x:c r="K239" s="5" t="n">
        <x:f>MAX(0,MIN(100,H239+I239+J239))</x:f>
        <x:v>45.3</x:v>
      </x:c>
      <x:c r="L239" s="5" t="str">
        <x:v>Aplica link L03. Pulsos y offsets: filtrar Instancias por escenario, turno y targetId. Base separada del nivel visible.</x:v>
      </x:c>
    </x:row>
    <x:row r="240" ht="42" customHeight="1">
      <x:c r="A240" s="10" t="str">
        <x:v>S2_VIAL</x:v>
      </x:c>
      <x:c r="B240" s="10" t="n">
        <x:v>3</x:v>
      </x:c>
      <x:c r="C240" s="10" t="str">
        <x:v>credito</x:v>
      </x:c>
      <x:c r="D240" s="10" t="n">
        <x:f>$H$226</x:f>
        <x:v>45</x:v>
      </x:c>
      <x:c r="E240" s="10" t="n">
        <x:f>0+0</x:f>
        <x:v>0</x:v>
      </x:c>
      <x:c r="F240" s="10" t="n">
        <x:f>-'00_Arquitectura'!$B$103*($H$226-45)+'00_Arquitectura'!$B$104*($K$223-$K$209)+'00_Arquitectura'!$B$105*($K$227-'00_Arquitectura'!$B$117)</x:f>
        <x:v>0</x:v>
      </x:c>
      <x:c r="G240" s="10" t="n">
        <x:f>MAX(-'00_Arquitectura'!$B$106,MIN('00_Arquitectura'!$B$106,E240+F240))</x:f>
        <x:v>0</x:v>
      </x:c>
      <x:c r="H240" s="10" t="n">
        <x:f>MAX(0,MIN(100,D240+G240))</x:f>
        <x:v>45</x:v>
      </x:c>
      <x:c r="I240" s="10" t="n">
        <x:f>0</x:f>
        <x:v>0</x:v>
      </x:c>
      <x:c r="J240" s="10" t="n">
        <x:f>MAX(-'00_Arquitectura'!$B$107,MIN('00_Arquitectura'!$B$107,$J$973))</x:f>
        <x:v>0</x:v>
      </x:c>
      <x:c r="K240" s="10" t="n">
        <x:f>MAX(0,MIN(100,H240+I240+J240))</x:f>
        <x:v>45</x:v>
      </x:c>
      <x:c r="L240" s="10" t="str">
        <x:v>Aplica link L04. Pulsos y offsets: filtrar Instancias por escenario, turno y targetId. Base separada del nivel visible.</x:v>
      </x:c>
    </x:row>
    <x:row r="241" ht="34" customHeight="1">
      <x:c r="A241" s="5" t="str">
        <x:v>S2_VIAL</x:v>
      </x:c>
      <x:c r="B241" s="5" t="n">
        <x:v>3</x:v>
      </x:c>
      <x:c r="C241" s="5" t="str">
        <x:v>fiscal</x:v>
      </x:c>
      <x:c r="D241" s="5" t="n">
        <x:f>$H$227</x:f>
        <x:v>58</x:v>
      </x:c>
      <x:c r="E241" s="5" t="n">
        <x:f>0+0</x:f>
        <x:v>0</x:v>
      </x:c>
      <x:c r="F241" s="5" t="n">
        <x:f>0</x:f>
        <x:v>0</x:v>
      </x:c>
      <x:c r="G241" s="5" t="n">
        <x:f>MAX(-'00_Arquitectura'!$B$106,MIN('00_Arquitectura'!$B$106,E241+F241))</x:f>
        <x:v>0</x:v>
      </x:c>
      <x:c r="H241" s="5" t="n">
        <x:f>$O$27</x:f>
        <x:v>58.4</x:v>
      </x:c>
      <x:c r="I241" s="5" t="n">
        <x:f>0</x:f>
        <x:v>0</x:v>
      </x:c>
      <x:c r="J241" s="5" t="n">
        <x:f>MAX(-'00_Arquitectura'!$B$107,MIN('00_Arquitectura'!$B$107,0))</x:f>
        <x:v>0</x:v>
      </x:c>
      <x:c r="K241" s="5" t="n">
        <x:f>MAX(0,MIN(100,H241+I241+J241))</x:f>
        <x:v>58.4</x:v>
      </x:c>
      <x:c r="L241" s="5" t="str">
        <x:v>Derivado de caja: ingreso recurrente, gasto, intereses y deuda. Nunca SUM de efectos fiscales directos.</x:v>
      </x:c>
    </x:row>
    <x:row r="242" ht="34" customHeight="1">
      <x:c r="A242" s="10" t="str">
        <x:v>S2_VIAL</x:v>
      </x:c>
      <x:c r="B242" s="10" t="n">
        <x:v>3</x:v>
      </x:c>
      <x:c r="C242" s="10" t="str">
        <x:v>externo</x:v>
      </x:c>
      <x:c r="D242" s="10" t="n">
        <x:f>$H$228</x:f>
        <x:v>45</x:v>
      </x:c>
      <x:c r="E242" s="10" t="n">
        <x:f>0+0</x:f>
        <x:v>0</x:v>
      </x:c>
      <x:c r="F242" s="10" t="n">
        <x:f>0</x:f>
        <x:v>0</x:v>
      </x:c>
      <x:c r="G242" s="10" t="n">
        <x:f>MAX(-'00_Arquitectura'!$B$106,MIN('00_Arquitectura'!$B$106,E242+F242))</x:f>
        <x:v>0</x:v>
      </x:c>
      <x:c r="H242" s="10" t="n">
        <x:f>MAX(0,MIN(100,D242+G242))</x:f>
        <x:v>45</x:v>
      </x:c>
      <x:c r="I242" s="10" t="n">
        <x:f>0</x:f>
        <x:v>0</x:v>
      </x:c>
      <x:c r="J242" s="10" t="n">
        <x:f>MAX(-'00_Arquitectura'!$B$107,MIN('00_Arquitectura'!$B$107,$J$972))</x:f>
        <x:v>0</x:v>
      </x:c>
      <x:c r="K242" s="10" t="n">
        <x:f>MAX(0,MIN(100,H242+I242+J242))</x:f>
        <x:v>45</x:v>
      </x:c>
      <x:c r="L242" s="10" t="str">
        <x:v>Pulsos y offsets: filtrar Instancias por escenario, turno y targetId. Base separada del nivel visible.</x:v>
      </x:c>
    </x:row>
    <x:row r="243" ht="34" customHeight="1">
      <x:c r="A243" s="5" t="str">
        <x:v>S2_VIAL</x:v>
      </x:c>
      <x:c r="B243" s="5" t="n">
        <x:v>3</x:v>
      </x:c>
      <x:c r="C243" s="5" t="str">
        <x:v>infraestructura</x:v>
      </x:c>
      <x:c r="D243" s="5" t="n">
        <x:f>$H$229</x:f>
        <x:v>45</x:v>
      </x:c>
      <x:c r="E243" s="5" t="n">
        <x:f>0+0</x:f>
        <x:v>0</x:v>
      </x:c>
      <x:c r="F243" s="5" t="n">
        <x:f>0</x:f>
        <x:v>0</x:v>
      </x:c>
      <x:c r="G243" s="5" t="n">
        <x:f>MAX(-'00_Arquitectura'!$B$106,MIN('00_Arquitectura'!$B$106,E243+F243))</x:f>
        <x:v>0</x:v>
      </x:c>
      <x:c r="H243" s="5" t="n">
        <x:f>MAX(0,MIN(100,D243+G243))</x:f>
        <x:v>45</x:v>
      </x:c>
      <x:c r="I243" s="5" t="n">
        <x:f>0</x:f>
        <x:v>0</x:v>
      </x:c>
      <x:c r="J243" s="5" t="n">
        <x:f>MAX(-'00_Arquitectura'!$B$107,MIN('00_Arquitectura'!$B$107,0))</x:f>
        <x:v>0</x:v>
      </x:c>
      <x:c r="K243" s="5" t="n">
        <x:f>MAX(0,MIN(100,H243+I243+J243))</x:f>
        <x:v>45</x:v>
      </x:c>
      <x:c r="L243" s="5" t="str">
        <x:v>Pulsos y offsets: filtrar Instancias por escenario, turno y targetId. Base separada del nivel visible.</x:v>
      </x:c>
    </x:row>
    <x:row r="244" ht="34" customHeight="1">
      <x:c r="A244" s="10" t="str">
        <x:v>S2_VIAL</x:v>
      </x:c>
      <x:c r="B244" s="10" t="n">
        <x:v>3</x:v>
      </x:c>
      <x:c r="C244" s="10" t="str">
        <x:v>educacion</x:v>
      </x:c>
      <x:c r="D244" s="10" t="n">
        <x:f>$H$230</x:f>
        <x:v>50</x:v>
      </x:c>
      <x:c r="E244" s="10" t="n">
        <x:f>0+0</x:f>
        <x:v>0</x:v>
      </x:c>
      <x:c r="F244" s="10" t="n">
        <x:f>0</x:f>
        <x:v>0</x:v>
      </x:c>
      <x:c r="G244" s="10" t="n">
        <x:f>MAX(-'00_Arquitectura'!$B$106,MIN('00_Arquitectura'!$B$106,E244+F244))</x:f>
        <x:v>0</x:v>
      </x:c>
      <x:c r="H244" s="10" t="n">
        <x:f>MAX(0,MIN(100,D244+G244))</x:f>
        <x:v>50</x:v>
      </x:c>
      <x:c r="I244" s="10" t="n">
        <x:f>0</x:f>
        <x:v>0</x:v>
      </x:c>
      <x:c r="J244" s="10" t="n">
        <x:f>MAX(-'00_Arquitectura'!$B$107,MIN('00_Arquitectura'!$B$107,$J$979))</x:f>
        <x:v>0</x:v>
      </x:c>
      <x:c r="K244" s="10" t="n">
        <x:f>MAX(0,MIN(100,H244+I244+J244))</x:f>
        <x:v>50</x:v>
      </x:c>
      <x:c r="L244" s="10" t="str">
        <x:v>Pulsos y offsets: filtrar Instancias por escenario, turno y targetId. Base separada del nivel visible.</x:v>
      </x:c>
    </x:row>
    <x:row r="245" ht="34" customHeight="1">
      <x:c r="A245" s="5" t="str">
        <x:v>S2_VIAL</x:v>
      </x:c>
      <x:c r="B245" s="5" t="n">
        <x:v>3</x:v>
      </x:c>
      <x:c r="C245" s="5" t="str">
        <x:v>salud</x:v>
      </x:c>
      <x:c r="D245" s="5" t="n">
        <x:f>$H$231</x:f>
        <x:v>50</x:v>
      </x:c>
      <x:c r="E245" s="5" t="n">
        <x:f>0+0</x:f>
        <x:v>0</x:v>
      </x:c>
      <x:c r="F245" s="5" t="n">
        <x:f>0</x:f>
        <x:v>0</x:v>
      </x:c>
      <x:c r="G245" s="5" t="n">
        <x:f>MAX(-'00_Arquitectura'!$B$106,MIN('00_Arquitectura'!$B$106,E245+F245))</x:f>
        <x:v>0</x:v>
      </x:c>
      <x:c r="H245" s="5" t="n">
        <x:f>MAX(0,MIN(100,D245+G245))</x:f>
        <x:v>50</x:v>
      </x:c>
      <x:c r="I245" s="5" t="n">
        <x:f>0</x:f>
        <x:v>0</x:v>
      </x:c>
      <x:c r="J245" s="5" t="n">
        <x:f>MAX(-'00_Arquitectura'!$B$107,MIN('00_Arquitectura'!$B$107,0))</x:f>
        <x:v>0</x:v>
      </x:c>
      <x:c r="K245" s="5" t="n">
        <x:f>MAX(0,MIN(100,H245+I245+J245))</x:f>
        <x:v>50</x:v>
      </x:c>
      <x:c r="L245" s="5" t="str">
        <x:v>Pulsos y offsets: filtrar Instancias por escenario, turno y targetId. Base separada del nivel visible.</x:v>
      </x:c>
    </x:row>
    <x:row r="246" ht="34" customHeight="1">
      <x:c r="A246" s="10" t="str">
        <x:v>S2_VIAL</x:v>
      </x:c>
      <x:c r="B246" s="10" t="n">
        <x:v>3</x:v>
      </x:c>
      <x:c r="C246" s="10" t="str">
        <x:v>proteccion</x:v>
      </x:c>
      <x:c r="D246" s="10" t="n">
        <x:f>$H$232</x:f>
        <x:v>45</x:v>
      </x:c>
      <x:c r="E246" s="10" t="n">
        <x:f>0+0</x:f>
        <x:v>0</x:v>
      </x:c>
      <x:c r="F246" s="10" t="n">
        <x:f>0</x:f>
        <x:v>0</x:v>
      </x:c>
      <x:c r="G246" s="10" t="n">
        <x:f>MAX(-'00_Arquitectura'!$B$106,MIN('00_Arquitectura'!$B$106,E246+F246))</x:f>
        <x:v>0</x:v>
      </x:c>
      <x:c r="H246" s="10" t="n">
        <x:f>MAX(0,MIN(100,D246+G246))</x:f>
        <x:v>45</x:v>
      </x:c>
      <x:c r="I246" s="10" t="n">
        <x:f>0</x:f>
        <x:v>0</x:v>
      </x:c>
      <x:c r="J246" s="10" t="n">
        <x:f>MAX(-'00_Arquitectura'!$B$107,MIN('00_Arquitectura'!$B$107,$J$977+$J$981))</x:f>
        <x:v>0</x:v>
      </x:c>
      <x:c r="K246" s="10" t="n">
        <x:f>MAX(0,MIN(100,H246+I246+J246))</x:f>
        <x:v>45</x:v>
      </x:c>
      <x:c r="L246" s="10" t="str">
        <x:v>Pulsos y offsets: filtrar Instancias por escenario, turno y targetId. Base separada del nivel visible.</x:v>
      </x:c>
    </x:row>
    <x:row r="247" ht="34" customHeight="1">
      <x:c r="A247" s="5" t="str">
        <x:v>S2_VIAL</x:v>
      </x:c>
      <x:c r="B247" s="5" t="n">
        <x:v>3</x:v>
      </x:c>
      <x:c r="C247" s="5" t="str">
        <x:v>seguridad</x:v>
      </x:c>
      <x:c r="D247" s="5" t="n">
        <x:f>$H$233</x:f>
        <x:v>45</x:v>
      </x:c>
      <x:c r="E247" s="5" t="n">
        <x:f>0+0</x:f>
        <x:v>0</x:v>
      </x:c>
      <x:c r="F247" s="5" t="n">
        <x:f>0</x:f>
        <x:v>0</x:v>
      </x:c>
      <x:c r="G247" s="5" t="n">
        <x:f>MAX(-'00_Arquitectura'!$B$106,MIN('00_Arquitectura'!$B$106,E247+F247))</x:f>
        <x:v>0</x:v>
      </x:c>
      <x:c r="H247" s="5" t="n">
        <x:f>MAX(0,MIN(100,D247+G247))</x:f>
        <x:v>45</x:v>
      </x:c>
      <x:c r="I247" s="5" t="n">
        <x:f>0</x:f>
        <x:v>0</x:v>
      </x:c>
      <x:c r="J247" s="5" t="n">
        <x:f>MAX(-'00_Arquitectura'!$B$107,MIN('00_Arquitectura'!$B$107,0))</x:f>
        <x:v>0</x:v>
      </x:c>
      <x:c r="K247" s="5" t="n">
        <x:f>MAX(0,MIN(100,H247+I247+J247))</x:f>
        <x:v>45</x:v>
      </x:c>
      <x:c r="L247" s="5" t="str">
        <x:v>Pulsos y offsets: filtrar Instancias por escenario, turno y targetId. Base separada del nivel visible.</x:v>
      </x:c>
    </x:row>
    <x:row r="248" ht="34" customHeight="1">
      <x:c r="A248" s="10" t="str">
        <x:v>S2_VIAL</x:v>
      </x:c>
      <x:c r="B248" s="10" t="n">
        <x:v>3</x:v>
      </x:c>
      <x:c r="C248" s="10" t="str">
        <x:v>ciencia</x:v>
      </x:c>
      <x:c r="D248" s="10" t="n">
        <x:f>$H$234</x:f>
        <x:v>40</x:v>
      </x:c>
      <x:c r="E248" s="10" t="n">
        <x:f>0+0</x:f>
        <x:v>0</x:v>
      </x:c>
      <x:c r="F248" s="10" t="n">
        <x:f>0</x:f>
        <x:v>0</x:v>
      </x:c>
      <x:c r="G248" s="10" t="n">
        <x:f>MAX(-'00_Arquitectura'!$B$106,MIN('00_Arquitectura'!$B$106,E248+F248))</x:f>
        <x:v>0</x:v>
      </x:c>
      <x:c r="H248" s="10" t="n">
        <x:f>MAX(0,MIN(100,D248+G248))</x:f>
        <x:v>40</x:v>
      </x:c>
      <x:c r="I248" s="10" t="n">
        <x:f>0</x:f>
        <x:v>0</x:v>
      </x:c>
      <x:c r="J248" s="10" t="n">
        <x:f>MAX(-'00_Arquitectura'!$B$107,MIN('00_Arquitectura'!$B$107,$J$980))</x:f>
        <x:v>0</x:v>
      </x:c>
      <x:c r="K248" s="10" t="n">
        <x:f>MAX(0,MIN(100,H248+I248+J248))</x:f>
        <x:v>40</x:v>
      </x:c>
      <x:c r="L248" s="10" t="str">
        <x:v>Pulsos y offsets: filtrar Instancias por escenario, turno y targetId. Base separada del nivel visible.</x:v>
      </x:c>
    </x:row>
    <x:row r="249" ht="34" customHeight="1">
      <x:c r="A249" s="5" t="str">
        <x:v>S2_VIAL</x:v>
      </x:c>
      <x:c r="B249" s="5" t="n">
        <x:v>3</x:v>
      </x:c>
      <x:c r="C249" s="5" t="str">
        <x:v>derechos</x:v>
      </x:c>
      <x:c r="D249" s="5" t="n">
        <x:f>$H$235</x:f>
        <x:v>55</x:v>
      </x:c>
      <x:c r="E249" s="5" t="n">
        <x:f>0+0</x:f>
        <x:v>0</x:v>
      </x:c>
      <x:c r="F249" s="5" t="n">
        <x:f>0</x:f>
        <x:v>0</x:v>
      </x:c>
      <x:c r="G249" s="5" t="n">
        <x:f>MAX(-'00_Arquitectura'!$B$106,MIN('00_Arquitectura'!$B$106,E249+F249))</x:f>
        <x:v>0</x:v>
      </x:c>
      <x:c r="H249" s="5" t="n">
        <x:f>MAX(0,MIN(100,D249+G249))</x:f>
        <x:v>55</x:v>
      </x:c>
      <x:c r="I249" s="5" t="n">
        <x:f>0</x:f>
        <x:v>0</x:v>
      </x:c>
      <x:c r="J249" s="5" t="n">
        <x:f>MAX(-'00_Arquitectura'!$B$107,MIN('00_Arquitectura'!$B$107,0))</x:f>
        <x:v>0</x:v>
      </x:c>
      <x:c r="K249" s="5" t="n">
        <x:f>MAX(0,MIN(100,H249+I249+J249))</x:f>
        <x:v>55</x:v>
      </x:c>
      <x:c r="L249" s="5" t="str">
        <x:v>Pulsos y offsets: filtrar Instancias por escenario, turno y targetId. Base separada del nivel visible.</x:v>
      </x:c>
    </x:row>
    <x:row r="250" ht="34" customHeight="1">
      <x:c r="A250" s="10" t="str">
        <x:v>S2_VIAL</x:v>
      </x:c>
      <x:c r="B250" s="10" t="n">
        <x:v>3</x:v>
      </x:c>
      <x:c r="C250" s="10" t="str">
        <x:v>ambiente</x:v>
      </x:c>
      <x:c r="D250" s="10" t="n">
        <x:f>$H$236</x:f>
        <x:v>50</x:v>
      </x:c>
      <x:c r="E250" s="10" t="n">
        <x:f>0+0</x:f>
        <x:v>0</x:v>
      </x:c>
      <x:c r="F250" s="10" t="n">
        <x:f>0</x:f>
        <x:v>0</x:v>
      </x:c>
      <x:c r="G250" s="10" t="n">
        <x:f>MAX(-'00_Arquitectura'!$B$106,MIN('00_Arquitectura'!$B$106,E250+F250))</x:f>
        <x:v>0</x:v>
      </x:c>
      <x:c r="H250" s="10" t="n">
        <x:f>MAX(0,MIN(100,D250+G250))</x:f>
        <x:v>50</x:v>
      </x:c>
      <x:c r="I250" s="10" t="n">
        <x:f>0</x:f>
        <x:v>0</x:v>
      </x:c>
      <x:c r="J250" s="10" t="n">
        <x:f>MAX(-'00_Arquitectura'!$B$107,MIN('00_Arquitectura'!$B$107,0))</x:f>
        <x:v>0</x:v>
      </x:c>
      <x:c r="K250" s="10" t="n">
        <x:f>MAX(0,MIN(100,H250+I250+J250))</x:f>
        <x:v>50</x:v>
      </x:c>
      <x:c r="L250" s="10" t="str">
        <x:v>Pulsos y offsets: filtrar Instancias por escenario, turno y targetId. Base separada del nivel visible.</x:v>
      </x:c>
    </x:row>
    <x:row r="251" ht="42" customHeight="1">
      <x:c r="A251" s="5" t="str">
        <x:v>S2_VIAL</x:v>
      </x:c>
      <x:c r="B251" s="5" t="n">
        <x:v>4</x:v>
      </x:c>
      <x:c r="C251" s="5" t="str">
        <x:v>inflacion</x:v>
      </x:c>
      <x:c r="D251" s="5" t="n">
        <x:f>$H$237</x:f>
        <x:v>40</x:v>
      </x:c>
      <x:c r="E251" s="5" t="n">
        <x:f>0+0</x:f>
        <x:v>0</x:v>
      </x:c>
      <x:c r="F251" s="5" t="n">
        <x:f>-'00_Arquitectura'!$B$96*($H$237-40)</x:f>
        <x:v>0</x:v>
      </x:c>
      <x:c r="G251" s="5" t="n">
        <x:f>MAX(-'00_Arquitectura'!$B$106,MIN('00_Arquitectura'!$B$106,E251+F251))</x:f>
        <x:v>0</x:v>
      </x:c>
      <x:c r="H251" s="5" t="n">
        <x:f>MAX(0,MIN(100,D251+G251))</x:f>
        <x:v>40</x:v>
      </x:c>
      <x:c r="I251" s="5" t="n">
        <x:f>0</x:f>
        <x:v>0</x:v>
      </x:c>
      <x:c r="J251" s="5" t="n">
        <x:f>MAX(-'00_Arquitectura'!$B$107,MIN('00_Arquitectura'!$B$107,0))</x:f>
        <x:v>0</x:v>
      </x:c>
      <x:c r="K251" s="5" t="n">
        <x:f>MAX(0,MIN(100,H251+I251+J251))</x:f>
        <x:v>40</x:v>
      </x:c>
      <x:c r="L251" s="5" t="str">
        <x:v>Aplica link L01. Pulsos y offsets: filtrar Instancias por escenario, turno y targetId. Base separada del nivel visible.</x:v>
      </x:c>
    </x:row>
    <x:row r="252" ht="42" customHeight="1">
      <x:c r="A252" s="10" t="str">
        <x:v>S2_VIAL</x:v>
      </x:c>
      <x:c r="B252" s="10" t="n">
        <x:v>4</x:v>
      </x:c>
      <x:c r="C252" s="10" t="str">
        <x:v>actividad</x:v>
      </x:c>
      <x:c r="D252" s="10" t="n">
        <x:f>$H$238</x:f>
        <x:v>50</x:v>
      </x:c>
      <x:c r="E252" s="10" t="n">
        <x:f>0+0</x:f>
        <x:v>0</x:v>
      </x:c>
      <x:c r="F252" s="10" t="n">
        <x:f>-'00_Arquitectura'!$B$97*($H$238-50)+'00_Arquitectura'!$B$98*($K$240-45)+'00_Arquitectura'!$B$99*($K$243-45)+'00_Arquitectura'!$B$100*($K$242-45)</x:f>
        <x:v>0</x:v>
      </x:c>
      <x:c r="G252" s="10" t="n">
        <x:f>MAX(-'00_Arquitectura'!$B$106,MIN('00_Arquitectura'!$B$106,E252+F252))</x:f>
        <x:v>0</x:v>
      </x:c>
      <x:c r="H252" s="10" t="n">
        <x:f>MAX(0,MIN(100,D252+G252))</x:f>
        <x:v>50</x:v>
      </x:c>
      <x:c r="I252" s="10" t="n">
        <x:f>0</x:f>
        <x:v>0</x:v>
      </x:c>
      <x:c r="J252" s="10" t="n">
        <x:f>MAX(-'00_Arquitectura'!$B$107,MIN('00_Arquitectura'!$B$107,$J$989+$J$992+$J$993))</x:f>
        <x:v>0</x:v>
      </x:c>
      <x:c r="K252" s="10" t="n">
        <x:f>MAX(0,MIN(100,H252+I252+J252))</x:f>
        <x:v>50</x:v>
      </x:c>
      <x:c r="L252" s="10" t="str">
        <x:v>Aplica link L02. Pulsos y offsets: filtrar Instancias por escenario, turno y targetId. Base separada del nivel visible.</x:v>
      </x:c>
    </x:row>
    <x:row r="253" ht="42" customHeight="1">
      <x:c r="A253" s="5" t="str">
        <x:v>S2_VIAL</x:v>
      </x:c>
      <x:c r="B253" s="5" t="n">
        <x:v>4</x:v>
      </x:c>
      <x:c r="C253" s="5" t="str">
        <x:v>ingreso_real</x:v>
      </x:c>
      <x:c r="D253" s="5" t="n">
        <x:f>$H$239</x:f>
        <x:v>45.3</x:v>
      </x:c>
      <x:c r="E253" s="5" t="n">
        <x:f>0+0</x:f>
        <x:v>0</x:v>
      </x:c>
      <x:c r="F253" s="5" t="n">
        <x:f>'00_Arquitectura'!$B$101*($K$238-$K$224)+'00_Arquitectura'!$B$102*($K$237-$K$223)</x:f>
        <x:v>0</x:v>
      </x:c>
      <x:c r="G253" s="5" t="n">
        <x:f>MAX(-'00_Arquitectura'!$B$106,MIN('00_Arquitectura'!$B$106,E253+F253))</x:f>
        <x:v>0</x:v>
      </x:c>
      <x:c r="H253" s="5" t="n">
        <x:f>MAX(0,MIN(100,D253+G253))</x:f>
        <x:v>45.3</x:v>
      </x:c>
      <x:c r="I253" s="5" t="n">
        <x:f>0</x:f>
        <x:v>0</x:v>
      </x:c>
      <x:c r="J253" s="5" t="n">
        <x:f>MAX(-'00_Arquitectura'!$B$107,MIN('00_Arquitectura'!$B$107,0))</x:f>
        <x:v>0</x:v>
      </x:c>
      <x:c r="K253" s="5" t="n">
        <x:f>MAX(0,MIN(100,H253+I253+J253))</x:f>
        <x:v>45.3</x:v>
      </x:c>
      <x:c r="L253" s="5" t="str">
        <x:v>Aplica link L03. Pulsos y offsets: filtrar Instancias por escenario, turno y targetId. Base separada del nivel visible.</x:v>
      </x:c>
    </x:row>
    <x:row r="254" ht="42" customHeight="1">
      <x:c r="A254" s="10" t="str">
        <x:v>S2_VIAL</x:v>
      </x:c>
      <x:c r="B254" s="10" t="n">
        <x:v>4</x:v>
      </x:c>
      <x:c r="C254" s="10" t="str">
        <x:v>credito</x:v>
      </x:c>
      <x:c r="D254" s="10" t="n">
        <x:f>$H$240</x:f>
        <x:v>45</x:v>
      </x:c>
      <x:c r="E254" s="10" t="n">
        <x:f>0+0</x:f>
        <x:v>0</x:v>
      </x:c>
      <x:c r="F254" s="10" t="n">
        <x:f>-'00_Arquitectura'!$B$103*($H$240-45)+'00_Arquitectura'!$B$104*($K$237-$K$223)+'00_Arquitectura'!$B$105*($K$241-'00_Arquitectura'!$B$117)</x:f>
        <x:v>0.007999999999999972</x:v>
      </x:c>
      <x:c r="G254" s="10" t="n">
        <x:f>MAX(-'00_Arquitectura'!$B$106,MIN('00_Arquitectura'!$B$106,E254+F254))</x:f>
        <x:v>0.007999999999999972</x:v>
      </x:c>
      <x:c r="H254" s="10" t="n">
        <x:f>MAX(0,MIN(100,D254+G254))</x:f>
        <x:v>45.008</x:v>
      </x:c>
      <x:c r="I254" s="10" t="n">
        <x:f>0</x:f>
        <x:v>0</x:v>
      </x:c>
      <x:c r="J254" s="10" t="n">
        <x:f>MAX(-'00_Arquitectura'!$B$107,MIN('00_Arquitectura'!$B$107,$J$991))</x:f>
        <x:v>0</x:v>
      </x:c>
      <x:c r="K254" s="10" t="n">
        <x:f>MAX(0,MIN(100,H254+I254+J254))</x:f>
        <x:v>45.008</x:v>
      </x:c>
      <x:c r="L254" s="10" t="str">
        <x:v>Aplica link L04. Pulsos y offsets: filtrar Instancias por escenario, turno y targetId. Base separada del nivel visible.</x:v>
      </x:c>
    </x:row>
    <x:row r="255" ht="34" customHeight="1">
      <x:c r="A255" s="5" t="str">
        <x:v>S2_VIAL</x:v>
      </x:c>
      <x:c r="B255" s="5" t="n">
        <x:v>4</x:v>
      </x:c>
      <x:c r="C255" s="5" t="str">
        <x:v>fiscal</x:v>
      </x:c>
      <x:c r="D255" s="5" t="n">
        <x:f>$H$241</x:f>
        <x:v>58.4</x:v>
      </x:c>
      <x:c r="E255" s="5" t="n">
        <x:f>0+0</x:f>
        <x:v>0</x:v>
      </x:c>
      <x:c r="F255" s="5" t="n">
        <x:f>0</x:f>
        <x:v>0</x:v>
      </x:c>
      <x:c r="G255" s="5" t="n">
        <x:f>MAX(-'00_Arquitectura'!$B$106,MIN('00_Arquitectura'!$B$106,E255+F255))</x:f>
        <x:v>0</x:v>
      </x:c>
      <x:c r="H255" s="5" t="n">
        <x:f>$O$28</x:f>
        <x:v>58.4</x:v>
      </x:c>
      <x:c r="I255" s="5" t="n">
        <x:f>0</x:f>
        <x:v>0</x:v>
      </x:c>
      <x:c r="J255" s="5" t="n">
        <x:f>MAX(-'00_Arquitectura'!$B$107,MIN('00_Arquitectura'!$B$107,0))</x:f>
        <x:v>0</x:v>
      </x:c>
      <x:c r="K255" s="5" t="n">
        <x:f>MAX(0,MIN(100,H255+I255+J255))</x:f>
        <x:v>58.4</x:v>
      </x:c>
      <x:c r="L255" s="5" t="str">
        <x:v>Derivado de caja: ingreso recurrente, gasto, intereses y deuda. Nunca SUM de efectos fiscales directos.</x:v>
      </x:c>
    </x:row>
    <x:row r="256" ht="34" customHeight="1">
      <x:c r="A256" s="10" t="str">
        <x:v>S2_VIAL</x:v>
      </x:c>
      <x:c r="B256" s="10" t="n">
        <x:v>4</x:v>
      </x:c>
      <x:c r="C256" s="10" t="str">
        <x:v>externo</x:v>
      </x:c>
      <x:c r="D256" s="10" t="n">
        <x:f>$H$242</x:f>
        <x:v>45</x:v>
      </x:c>
      <x:c r="E256" s="10" t="n">
        <x:f>0+0</x:f>
        <x:v>0</x:v>
      </x:c>
      <x:c r="F256" s="10" t="n">
        <x:f>0</x:f>
        <x:v>0</x:v>
      </x:c>
      <x:c r="G256" s="10" t="n">
        <x:f>MAX(-'00_Arquitectura'!$B$106,MIN('00_Arquitectura'!$B$106,E256+F256))</x:f>
        <x:v>0</x:v>
      </x:c>
      <x:c r="H256" s="10" t="n">
        <x:f>MAX(0,MIN(100,D256+G256))</x:f>
        <x:v>45</x:v>
      </x:c>
      <x:c r="I256" s="10" t="n">
        <x:f>0</x:f>
        <x:v>0</x:v>
      </x:c>
      <x:c r="J256" s="10" t="n">
        <x:f>MAX(-'00_Arquitectura'!$B$107,MIN('00_Arquitectura'!$B$107,$J$990))</x:f>
        <x:v>0</x:v>
      </x:c>
      <x:c r="K256" s="10" t="n">
        <x:f>MAX(0,MIN(100,H256+I256+J256))</x:f>
        <x:v>45</x:v>
      </x:c>
      <x:c r="L256" s="10" t="str">
        <x:v>Pulsos y offsets: filtrar Instancias por escenario, turno y targetId. Base separada del nivel visible.</x:v>
      </x:c>
    </x:row>
    <x:row r="257" ht="34" customHeight="1">
      <x:c r="A257" s="5" t="str">
        <x:v>S2_VIAL</x:v>
      </x:c>
      <x:c r="B257" s="5" t="n">
        <x:v>4</x:v>
      </x:c>
      <x:c r="C257" s="5" t="str">
        <x:v>infraestructura</x:v>
      </x:c>
      <x:c r="D257" s="5" t="n">
        <x:f>$H$243</x:f>
        <x:v>45</x:v>
      </x:c>
      <x:c r="E257" s="5" t="n">
        <x:f>SUM($I$1696)+0</x:f>
        <x:v>6</x:v>
      </x:c>
      <x:c r="F257" s="5" t="n">
        <x:f>0</x:f>
        <x:v>0</x:v>
      </x:c>
      <x:c r="G257" s="5" t="n">
        <x:f>MAX(-'00_Arquitectura'!$B$106,MIN('00_Arquitectura'!$B$106,E257+F257))</x:f>
        <x:v>6</x:v>
      </x:c>
      <x:c r="H257" s="5" t="n">
        <x:f>MAX(0,MIN(100,D257+G257))</x:f>
        <x:v>51</x:v>
      </x:c>
      <x:c r="I257" s="5" t="n">
        <x:f>0</x:f>
        <x:v>0</x:v>
      </x:c>
      <x:c r="J257" s="5" t="n">
        <x:f>MAX(-'00_Arquitectura'!$B$107,MIN('00_Arquitectura'!$B$107,0))</x:f>
        <x:v>0</x:v>
      </x:c>
      <x:c r="K257" s="5" t="n">
        <x:f>MAX(0,MIN(100,H257+I257+J257))</x:f>
        <x:v>51</x:v>
      </x:c>
      <x:c r="L257" s="5" t="str">
        <x:v>Pulsos y offsets: filtrar Instancias por escenario, turno y targetId. Base separada del nivel visible.</x:v>
      </x:c>
    </x:row>
    <x:row r="258" ht="34" customHeight="1">
      <x:c r="A258" s="10" t="str">
        <x:v>S2_VIAL</x:v>
      </x:c>
      <x:c r="B258" s="10" t="n">
        <x:v>4</x:v>
      </x:c>
      <x:c r="C258" s="10" t="str">
        <x:v>educacion</x:v>
      </x:c>
      <x:c r="D258" s="10" t="n">
        <x:f>$H$244</x:f>
        <x:v>50</x:v>
      </x:c>
      <x:c r="E258" s="10" t="n">
        <x:f>0+0</x:f>
        <x:v>0</x:v>
      </x:c>
      <x:c r="F258" s="10" t="n">
        <x:f>0</x:f>
        <x:v>0</x:v>
      </x:c>
      <x:c r="G258" s="10" t="n">
        <x:f>MAX(-'00_Arquitectura'!$B$106,MIN('00_Arquitectura'!$B$106,E258+F258))</x:f>
        <x:v>0</x:v>
      </x:c>
      <x:c r="H258" s="10" t="n">
        <x:f>MAX(0,MIN(100,D258+G258))</x:f>
        <x:v>50</x:v>
      </x:c>
      <x:c r="I258" s="10" t="n">
        <x:f>0</x:f>
        <x:v>0</x:v>
      </x:c>
      <x:c r="J258" s="10" t="n">
        <x:f>MAX(-'00_Arquitectura'!$B$107,MIN('00_Arquitectura'!$B$107,$J$997))</x:f>
        <x:v>0</x:v>
      </x:c>
      <x:c r="K258" s="10" t="n">
        <x:f>MAX(0,MIN(100,H258+I258+J258))</x:f>
        <x:v>50</x:v>
      </x:c>
      <x:c r="L258" s="10" t="str">
        <x:v>Pulsos y offsets: filtrar Instancias por escenario, turno y targetId. Base separada del nivel visible.</x:v>
      </x:c>
    </x:row>
    <x:row r="259" ht="34" customHeight="1">
      <x:c r="A259" s="5" t="str">
        <x:v>S2_VIAL</x:v>
      </x:c>
      <x:c r="B259" s="5" t="n">
        <x:v>4</x:v>
      </x:c>
      <x:c r="C259" s="5" t="str">
        <x:v>salud</x:v>
      </x:c>
      <x:c r="D259" s="5" t="n">
        <x:f>$H$245</x:f>
        <x:v>50</x:v>
      </x:c>
      <x:c r="E259" s="5" t="n">
        <x:f>0+0</x:f>
        <x:v>0</x:v>
      </x:c>
      <x:c r="F259" s="5" t="n">
        <x:f>0</x:f>
        <x:v>0</x:v>
      </x:c>
      <x:c r="G259" s="5" t="n">
        <x:f>MAX(-'00_Arquitectura'!$B$106,MIN('00_Arquitectura'!$B$106,E259+F259))</x:f>
        <x:v>0</x:v>
      </x:c>
      <x:c r="H259" s="5" t="n">
        <x:f>MAX(0,MIN(100,D259+G259))</x:f>
        <x:v>50</x:v>
      </x:c>
      <x:c r="I259" s="5" t="n">
        <x:f>0</x:f>
        <x:v>0</x:v>
      </x:c>
      <x:c r="J259" s="5" t="n">
        <x:f>MAX(-'00_Arquitectura'!$B$107,MIN('00_Arquitectura'!$B$107,0))</x:f>
        <x:v>0</x:v>
      </x:c>
      <x:c r="K259" s="5" t="n">
        <x:f>MAX(0,MIN(100,H259+I259+J259))</x:f>
        <x:v>50</x:v>
      </x:c>
      <x:c r="L259" s="5" t="str">
        <x:v>Pulsos y offsets: filtrar Instancias por escenario, turno y targetId. Base separada del nivel visible.</x:v>
      </x:c>
    </x:row>
    <x:row r="260" ht="34" customHeight="1">
      <x:c r="A260" s="10" t="str">
        <x:v>S2_VIAL</x:v>
      </x:c>
      <x:c r="B260" s="10" t="n">
        <x:v>4</x:v>
      </x:c>
      <x:c r="C260" s="10" t="str">
        <x:v>proteccion</x:v>
      </x:c>
      <x:c r="D260" s="10" t="n">
        <x:f>$H$246</x:f>
        <x:v>45</x:v>
      </x:c>
      <x:c r="E260" s="10" t="n">
        <x:f>0+0</x:f>
        <x:v>0</x:v>
      </x:c>
      <x:c r="F260" s="10" t="n">
        <x:f>0</x:f>
        <x:v>0</x:v>
      </x:c>
      <x:c r="G260" s="10" t="n">
        <x:f>MAX(-'00_Arquitectura'!$B$106,MIN('00_Arquitectura'!$B$106,E260+F260))</x:f>
        <x:v>0</x:v>
      </x:c>
      <x:c r="H260" s="10" t="n">
        <x:f>MAX(0,MIN(100,D260+G260))</x:f>
        <x:v>45</x:v>
      </x:c>
      <x:c r="I260" s="10" t="n">
        <x:f>0</x:f>
        <x:v>0</x:v>
      </x:c>
      <x:c r="J260" s="10" t="n">
        <x:f>MAX(-'00_Arquitectura'!$B$107,MIN('00_Arquitectura'!$B$107,$J$995+$J$999))</x:f>
        <x:v>0</x:v>
      </x:c>
      <x:c r="K260" s="10" t="n">
        <x:f>MAX(0,MIN(100,H260+I260+J260))</x:f>
        <x:v>45</x:v>
      </x:c>
      <x:c r="L260" s="10" t="str">
        <x:v>Pulsos y offsets: filtrar Instancias por escenario, turno y targetId. Base separada del nivel visible.</x:v>
      </x:c>
    </x:row>
    <x:row r="261" ht="34" customHeight="1">
      <x:c r="A261" s="5" t="str">
        <x:v>S2_VIAL</x:v>
      </x:c>
      <x:c r="B261" s="5" t="n">
        <x:v>4</x:v>
      </x:c>
      <x:c r="C261" s="5" t="str">
        <x:v>seguridad</x:v>
      </x:c>
      <x:c r="D261" s="5" t="n">
        <x:f>$H$247</x:f>
        <x:v>45</x:v>
      </x:c>
      <x:c r="E261" s="5" t="n">
        <x:f>0+0</x:f>
        <x:v>0</x:v>
      </x:c>
      <x:c r="F261" s="5" t="n">
        <x:f>0</x:f>
        <x:v>0</x:v>
      </x:c>
      <x:c r="G261" s="5" t="n">
        <x:f>MAX(-'00_Arquitectura'!$B$106,MIN('00_Arquitectura'!$B$106,E261+F261))</x:f>
        <x:v>0</x:v>
      </x:c>
      <x:c r="H261" s="5" t="n">
        <x:f>MAX(0,MIN(100,D261+G261))</x:f>
        <x:v>45</x:v>
      </x:c>
      <x:c r="I261" s="5" t="n">
        <x:f>0</x:f>
        <x:v>0</x:v>
      </x:c>
      <x:c r="J261" s="5" t="n">
        <x:f>MAX(-'00_Arquitectura'!$B$107,MIN('00_Arquitectura'!$B$107,0))</x:f>
        <x:v>0</x:v>
      </x:c>
      <x:c r="K261" s="5" t="n">
        <x:f>MAX(0,MIN(100,H261+I261+J261))</x:f>
        <x:v>45</x:v>
      </x:c>
      <x:c r="L261" s="5" t="str">
        <x:v>Pulsos y offsets: filtrar Instancias por escenario, turno y targetId. Base separada del nivel visible.</x:v>
      </x:c>
    </x:row>
    <x:row r="262" ht="34" customHeight="1">
      <x:c r="A262" s="10" t="str">
        <x:v>S2_VIAL</x:v>
      </x:c>
      <x:c r="B262" s="10" t="n">
        <x:v>4</x:v>
      </x:c>
      <x:c r="C262" s="10" t="str">
        <x:v>ciencia</x:v>
      </x:c>
      <x:c r="D262" s="10" t="n">
        <x:f>$H$248</x:f>
        <x:v>40</x:v>
      </x:c>
      <x:c r="E262" s="10" t="n">
        <x:f>0+0</x:f>
        <x:v>0</x:v>
      </x:c>
      <x:c r="F262" s="10" t="n">
        <x:f>0</x:f>
        <x:v>0</x:v>
      </x:c>
      <x:c r="G262" s="10" t="n">
        <x:f>MAX(-'00_Arquitectura'!$B$106,MIN('00_Arquitectura'!$B$106,E262+F262))</x:f>
        <x:v>0</x:v>
      </x:c>
      <x:c r="H262" s="10" t="n">
        <x:f>MAX(0,MIN(100,D262+G262))</x:f>
        <x:v>40</x:v>
      </x:c>
      <x:c r="I262" s="10" t="n">
        <x:f>0</x:f>
        <x:v>0</x:v>
      </x:c>
      <x:c r="J262" s="10" t="n">
        <x:f>MAX(-'00_Arquitectura'!$B$107,MIN('00_Arquitectura'!$B$107,$J$998))</x:f>
        <x:v>0</x:v>
      </x:c>
      <x:c r="K262" s="10" t="n">
        <x:f>MAX(0,MIN(100,H262+I262+J262))</x:f>
        <x:v>40</x:v>
      </x:c>
      <x:c r="L262" s="10" t="str">
        <x:v>Pulsos y offsets: filtrar Instancias por escenario, turno y targetId. Base separada del nivel visible.</x:v>
      </x:c>
    </x:row>
    <x:row r="263" ht="34" customHeight="1">
      <x:c r="A263" s="5" t="str">
        <x:v>S2_VIAL</x:v>
      </x:c>
      <x:c r="B263" s="5" t="n">
        <x:v>4</x:v>
      </x:c>
      <x:c r="C263" s="5" t="str">
        <x:v>derechos</x:v>
      </x:c>
      <x:c r="D263" s="5" t="n">
        <x:f>$H$249</x:f>
        <x:v>55</x:v>
      </x:c>
      <x:c r="E263" s="5" t="n">
        <x:f>0+0</x:f>
        <x:v>0</x:v>
      </x:c>
      <x:c r="F263" s="5" t="n">
        <x:f>0</x:f>
        <x:v>0</x:v>
      </x:c>
      <x:c r="G263" s="5" t="n">
        <x:f>MAX(-'00_Arquitectura'!$B$106,MIN('00_Arquitectura'!$B$106,E263+F263))</x:f>
        <x:v>0</x:v>
      </x:c>
      <x:c r="H263" s="5" t="n">
        <x:f>MAX(0,MIN(100,D263+G263))</x:f>
        <x:v>55</x:v>
      </x:c>
      <x:c r="I263" s="5" t="n">
        <x:f>0</x:f>
        <x:v>0</x:v>
      </x:c>
      <x:c r="J263" s="5" t="n">
        <x:f>MAX(-'00_Arquitectura'!$B$107,MIN('00_Arquitectura'!$B$107,0))</x:f>
        <x:v>0</x:v>
      </x:c>
      <x:c r="K263" s="5" t="n">
        <x:f>MAX(0,MIN(100,H263+I263+J263))</x:f>
        <x:v>55</x:v>
      </x:c>
      <x:c r="L263" s="5" t="str">
        <x:v>Pulsos y offsets: filtrar Instancias por escenario, turno y targetId. Base separada del nivel visible.</x:v>
      </x:c>
    </x:row>
    <x:row r="264" ht="34" customHeight="1">
      <x:c r="A264" s="10" t="str">
        <x:v>S2_VIAL</x:v>
      </x:c>
      <x:c r="B264" s="10" t="n">
        <x:v>4</x:v>
      </x:c>
      <x:c r="C264" s="10" t="str">
        <x:v>ambiente</x:v>
      </x:c>
      <x:c r="D264" s="10" t="n">
        <x:f>$H$250</x:f>
        <x:v>50</x:v>
      </x:c>
      <x:c r="E264" s="10" t="n">
        <x:f>SUM($I$1698)+0</x:f>
        <x:v>-2</x:v>
      </x:c>
      <x:c r="F264" s="10" t="n">
        <x:f>0</x:f>
        <x:v>0</x:v>
      </x:c>
      <x:c r="G264" s="10" t="n">
        <x:f>MAX(-'00_Arquitectura'!$B$106,MIN('00_Arquitectura'!$B$106,E264+F264))</x:f>
        <x:v>-2</x:v>
      </x:c>
      <x:c r="H264" s="10" t="n">
        <x:f>MAX(0,MIN(100,D264+G264))</x:f>
        <x:v>48</x:v>
      </x:c>
      <x:c r="I264" s="10" t="n">
        <x:f>0</x:f>
        <x:v>0</x:v>
      </x:c>
      <x:c r="J264" s="10" t="n">
        <x:f>MAX(-'00_Arquitectura'!$B$107,MIN('00_Arquitectura'!$B$107,0))</x:f>
        <x:v>0</x:v>
      </x:c>
      <x:c r="K264" s="10" t="n">
        <x:f>MAX(0,MIN(100,H264+I264+J264))</x:f>
        <x:v>48</x:v>
      </x:c>
      <x:c r="L264" s="10" t="str">
        <x:v>Pulsos y offsets: filtrar Instancias por escenario, turno y targetId. Base separada del nivel visible.</x:v>
      </x:c>
    </x:row>
    <x:row r="265" ht="42" customHeight="1">
      <x:c r="A265" s="5" t="str">
        <x:v>S2_VIAL</x:v>
      </x:c>
      <x:c r="B265" s="5" t="n">
        <x:v>5</x:v>
      </x:c>
      <x:c r="C265" s="5" t="str">
        <x:v>inflacion</x:v>
      </x:c>
      <x:c r="D265" s="5" t="n">
        <x:f>$H$251</x:f>
        <x:v>40</x:v>
      </x:c>
      <x:c r="E265" s="5" t="n">
        <x:f>0+0</x:f>
        <x:v>0</x:v>
      </x:c>
      <x:c r="F265" s="5" t="n">
        <x:f>-'00_Arquitectura'!$B$96*($H$251-40)</x:f>
        <x:v>0</x:v>
      </x:c>
      <x:c r="G265" s="5" t="n">
        <x:f>MAX(-'00_Arquitectura'!$B$106,MIN('00_Arquitectura'!$B$106,E265+F265))</x:f>
        <x:v>0</x:v>
      </x:c>
      <x:c r="H265" s="5" t="n">
        <x:f>MAX(0,MIN(100,D265+G265))</x:f>
        <x:v>40</x:v>
      </x:c>
      <x:c r="I265" s="5" t="n">
        <x:f>0</x:f>
        <x:v>0</x:v>
      </x:c>
      <x:c r="J265" s="5" t="n">
        <x:f>MAX(-'00_Arquitectura'!$B$107,MIN('00_Arquitectura'!$B$107,0))</x:f>
        <x:v>0</x:v>
      </x:c>
      <x:c r="K265" s="5" t="n">
        <x:f>MAX(0,MIN(100,H265+I265+J265))</x:f>
        <x:v>40</x:v>
      </x:c>
      <x:c r="L265" s="5" t="str">
        <x:v>Aplica link L01. Pulsos y offsets: filtrar Instancias por escenario, turno y targetId. Base separada del nivel visible.</x:v>
      </x:c>
    </x:row>
    <x:row r="266" ht="42" customHeight="1">
      <x:c r="A266" s="10" t="str">
        <x:v>S2_VIAL</x:v>
      </x:c>
      <x:c r="B266" s="10" t="n">
        <x:v>5</x:v>
      </x:c>
      <x:c r="C266" s="10" t="str">
        <x:v>actividad</x:v>
      </x:c>
      <x:c r="D266" s="10" t="n">
        <x:f>$H$252</x:f>
        <x:v>50</x:v>
      </x:c>
      <x:c r="E266" s="10" t="n">
        <x:f>0+0</x:f>
        <x:v>0</x:v>
      </x:c>
      <x:c r="F266" s="10" t="n">
        <x:f>-'00_Arquitectura'!$B$97*($H$252-50)+'00_Arquitectura'!$B$98*($K$254-45)+'00_Arquitectura'!$B$99*($K$257-45)+'00_Arquitectura'!$B$100*($K$256-45)</x:f>
        <x:v>0.3606400000000002</x:v>
      </x:c>
      <x:c r="G266" s="10" t="n">
        <x:f>MAX(-'00_Arquitectura'!$B$106,MIN('00_Arquitectura'!$B$106,E266+F266))</x:f>
        <x:v>0.3606400000000002</x:v>
      </x:c>
      <x:c r="H266" s="10" t="n">
        <x:f>MAX(0,MIN(100,D266+G266))</x:f>
        <x:v>50.360640000000004</x:v>
      </x:c>
      <x:c r="I266" s="10" t="n">
        <x:f>0</x:f>
        <x:v>0</x:v>
      </x:c>
      <x:c r="J266" s="10" t="n">
        <x:f>MAX(-'00_Arquitectura'!$B$107,MIN('00_Arquitectura'!$B$107,$J$1007+$J$1010+$J$1011))</x:f>
        <x:v>0</x:v>
      </x:c>
      <x:c r="K266" s="10" t="n">
        <x:f>MAX(0,MIN(100,H266+I266+J266))</x:f>
        <x:v>50.360640000000004</x:v>
      </x:c>
      <x:c r="L266" s="10" t="str">
        <x:v>Aplica link L02. Pulsos y offsets: filtrar Instancias por escenario, turno y targetId. Base separada del nivel visible.</x:v>
      </x:c>
    </x:row>
    <x:row r="267" ht="42" customHeight="1">
      <x:c r="A267" s="5" t="str">
        <x:v>S2_VIAL</x:v>
      </x:c>
      <x:c r="B267" s="5" t="n">
        <x:v>5</x:v>
      </x:c>
      <x:c r="C267" s="5" t="str">
        <x:v>ingreso_real</x:v>
      </x:c>
      <x:c r="D267" s="5" t="n">
        <x:f>$H$253</x:f>
        <x:v>45.3</x:v>
      </x:c>
      <x:c r="E267" s="5" t="n">
        <x:f>0+0</x:f>
        <x:v>0</x:v>
      </x:c>
      <x:c r="F267" s="5" t="n">
        <x:f>'00_Arquitectura'!$B$101*($K$252-$K$238)+'00_Arquitectura'!$B$102*($K$251-$K$237)</x:f>
        <x:v>-0.3</x:v>
      </x:c>
      <x:c r="G267" s="5" t="n">
        <x:f>MAX(-'00_Arquitectura'!$B$106,MIN('00_Arquitectura'!$B$106,E267+F267))</x:f>
        <x:v>-0.3</x:v>
      </x:c>
      <x:c r="H267" s="5" t="n">
        <x:f>MAX(0,MIN(100,D267+G267))</x:f>
        <x:v>45</x:v>
      </x:c>
      <x:c r="I267" s="5" t="n">
        <x:f>0</x:f>
        <x:v>0</x:v>
      </x:c>
      <x:c r="J267" s="5" t="n">
        <x:f>MAX(-'00_Arquitectura'!$B$107,MIN('00_Arquitectura'!$B$107,0))</x:f>
        <x:v>0</x:v>
      </x:c>
      <x:c r="K267" s="5" t="n">
        <x:f>MAX(0,MIN(100,H267+I267+J267))</x:f>
        <x:v>45</x:v>
      </x:c>
      <x:c r="L267" s="5" t="str">
        <x:v>Aplica link L03. Pulsos y offsets: filtrar Instancias por escenario, turno y targetId. Base separada del nivel visible.</x:v>
      </x:c>
    </x:row>
    <x:row r="268" ht="42" customHeight="1">
      <x:c r="A268" s="10" t="str">
        <x:v>S2_VIAL</x:v>
      </x:c>
      <x:c r="B268" s="10" t="n">
        <x:v>5</x:v>
      </x:c>
      <x:c r="C268" s="10" t="str">
        <x:v>credito</x:v>
      </x:c>
      <x:c r="D268" s="10" t="n">
        <x:f>$H$254</x:f>
        <x:v>45.008</x:v>
      </x:c>
      <x:c r="E268" s="10" t="n">
        <x:f>0+0</x:f>
        <x:v>0</x:v>
      </x:c>
      <x:c r="F268" s="10" t="n">
        <x:f>-'00_Arquitectura'!$B$103*($H$254-45)+'00_Arquitectura'!$B$104*($K$251-$K$237)+'00_Arquitectura'!$B$105*($K$255-'00_Arquitectura'!$B$117)</x:f>
        <x:v>0.006799999999999572</x:v>
      </x:c>
      <x:c r="G268" s="10" t="n">
        <x:f>MAX(-'00_Arquitectura'!$B$106,MIN('00_Arquitectura'!$B$106,E268+F268))</x:f>
        <x:v>0.006799999999999572</x:v>
      </x:c>
      <x:c r="H268" s="10" t="n">
        <x:f>MAX(0,MIN(100,D268+G268))</x:f>
        <x:v>45.0148</x:v>
      </x:c>
      <x:c r="I268" s="10" t="n">
        <x:f>0</x:f>
        <x:v>0</x:v>
      </x:c>
      <x:c r="J268" s="10" t="n">
        <x:f>MAX(-'00_Arquitectura'!$B$107,MIN('00_Arquitectura'!$B$107,$J$1009))</x:f>
        <x:v>0</x:v>
      </x:c>
      <x:c r="K268" s="10" t="n">
        <x:f>MAX(0,MIN(100,H268+I268+J268))</x:f>
        <x:v>45.0148</x:v>
      </x:c>
      <x:c r="L268" s="10" t="str">
        <x:v>Aplica link L04. Pulsos y offsets: filtrar Instancias por escenario, turno y targetId. Base separada del nivel visible.</x:v>
      </x:c>
    </x:row>
    <x:row r="269" ht="34" customHeight="1">
      <x:c r="A269" s="5" t="str">
        <x:v>S2_VIAL</x:v>
      </x:c>
      <x:c r="B269" s="5" t="n">
        <x:v>5</x:v>
      </x:c>
      <x:c r="C269" s="5" t="str">
        <x:v>fiscal</x:v>
      </x:c>
      <x:c r="D269" s="5" t="n">
        <x:f>$H$255</x:f>
        <x:v>58.4</x:v>
      </x:c>
      <x:c r="E269" s="5" t="n">
        <x:f>0+0</x:f>
        <x:v>0</x:v>
      </x:c>
      <x:c r="F269" s="5" t="n">
        <x:f>0</x:f>
        <x:v>0</x:v>
      </x:c>
      <x:c r="G269" s="5" t="n">
        <x:f>MAX(-'00_Arquitectura'!$B$106,MIN('00_Arquitectura'!$B$106,E269+F269))</x:f>
        <x:v>0</x:v>
      </x:c>
      <x:c r="H269" s="5" t="n">
        <x:f>$O$29</x:f>
        <x:v>55</x:v>
      </x:c>
      <x:c r="I269" s="5" t="n">
        <x:f>0</x:f>
        <x:v>0</x:v>
      </x:c>
      <x:c r="J269" s="5" t="n">
        <x:f>MAX(-'00_Arquitectura'!$B$107,MIN('00_Arquitectura'!$B$107,0))</x:f>
        <x:v>0</x:v>
      </x:c>
      <x:c r="K269" s="5" t="n">
        <x:f>MAX(0,MIN(100,H269+I269+J269))</x:f>
        <x:v>55</x:v>
      </x:c>
      <x:c r="L269" s="5" t="str">
        <x:v>Derivado de caja: ingreso recurrente, gasto, intereses y deuda. Nunca SUM de efectos fiscales directos.</x:v>
      </x:c>
    </x:row>
    <x:row r="270" ht="34" customHeight="1">
      <x:c r="A270" s="10" t="str">
        <x:v>S2_VIAL</x:v>
      </x:c>
      <x:c r="B270" s="10" t="n">
        <x:v>5</x:v>
      </x:c>
      <x:c r="C270" s="10" t="str">
        <x:v>externo</x:v>
      </x:c>
      <x:c r="D270" s="10" t="n">
        <x:f>$H$256</x:f>
        <x:v>45</x:v>
      </x:c>
      <x:c r="E270" s="10" t="n">
        <x:f>SUM($I$1697)+0</x:f>
        <x:v>3</x:v>
      </x:c>
      <x:c r="F270" s="10" t="n">
        <x:f>0</x:f>
        <x:v>0</x:v>
      </x:c>
      <x:c r="G270" s="10" t="n">
        <x:f>MAX(-'00_Arquitectura'!$B$106,MIN('00_Arquitectura'!$B$106,E270+F270))</x:f>
        <x:v>3</x:v>
      </x:c>
      <x:c r="H270" s="10" t="n">
        <x:f>MAX(0,MIN(100,D270+G270))</x:f>
        <x:v>48</x:v>
      </x:c>
      <x:c r="I270" s="10" t="n">
        <x:f>0</x:f>
        <x:v>0</x:v>
      </x:c>
      <x:c r="J270" s="10" t="n">
        <x:f>MAX(-'00_Arquitectura'!$B$107,MIN('00_Arquitectura'!$B$107,$J$1008))</x:f>
        <x:v>0</x:v>
      </x:c>
      <x:c r="K270" s="10" t="n">
        <x:f>MAX(0,MIN(100,H270+I270+J270))</x:f>
        <x:v>48</x:v>
      </x:c>
      <x:c r="L270" s="10" t="str">
        <x:v>Pulsos y offsets: filtrar Instancias por escenario, turno y targetId. Base separada del nivel visible.</x:v>
      </x:c>
    </x:row>
    <x:row r="271" ht="34" customHeight="1">
      <x:c r="A271" s="5" t="str">
        <x:v>S2_VIAL</x:v>
      </x:c>
      <x:c r="B271" s="5" t="n">
        <x:v>5</x:v>
      </x:c>
      <x:c r="C271" s="5" t="str">
        <x:v>infraestructura</x:v>
      </x:c>
      <x:c r="D271" s="5" t="n">
        <x:f>$H$257</x:f>
        <x:v>51</x:v>
      </x:c>
      <x:c r="E271" s="5" t="n">
        <x:f>0+0</x:f>
        <x:v>0</x:v>
      </x:c>
      <x:c r="F271" s="5" t="n">
        <x:f>0</x:f>
        <x:v>0</x:v>
      </x:c>
      <x:c r="G271" s="5" t="n">
        <x:f>MAX(-'00_Arquitectura'!$B$106,MIN('00_Arquitectura'!$B$106,E271+F271))</x:f>
        <x:v>0</x:v>
      </x:c>
      <x:c r="H271" s="5" t="n">
        <x:f>MAX(0,MIN(100,D271+G271))</x:f>
        <x:v>51</x:v>
      </x:c>
      <x:c r="I271" s="5" t="n">
        <x:f>0</x:f>
        <x:v>0</x:v>
      </x:c>
      <x:c r="J271" s="5" t="n">
        <x:f>MAX(-'00_Arquitectura'!$B$107,MIN('00_Arquitectura'!$B$107,0))</x:f>
        <x:v>0</x:v>
      </x:c>
      <x:c r="K271" s="5" t="n">
        <x:f>MAX(0,MIN(100,H271+I271+J271))</x:f>
        <x:v>51</x:v>
      </x:c>
      <x:c r="L271" s="5" t="str">
        <x:v>Pulsos y offsets: filtrar Instancias por escenario, turno y targetId. Base separada del nivel visible.</x:v>
      </x:c>
    </x:row>
    <x:row r="272" ht="34" customHeight="1">
      <x:c r="A272" s="10" t="str">
        <x:v>S2_VIAL</x:v>
      </x:c>
      <x:c r="B272" s="10" t="n">
        <x:v>5</x:v>
      </x:c>
      <x:c r="C272" s="10" t="str">
        <x:v>educacion</x:v>
      </x:c>
      <x:c r="D272" s="10" t="n">
        <x:f>$H$258</x:f>
        <x:v>50</x:v>
      </x:c>
      <x:c r="E272" s="10" t="n">
        <x:f>0+0</x:f>
        <x:v>0</x:v>
      </x:c>
      <x:c r="F272" s="10" t="n">
        <x:f>0</x:f>
        <x:v>0</x:v>
      </x:c>
      <x:c r="G272" s="10" t="n">
        <x:f>MAX(-'00_Arquitectura'!$B$106,MIN('00_Arquitectura'!$B$106,E272+F272))</x:f>
        <x:v>0</x:v>
      </x:c>
      <x:c r="H272" s="10" t="n">
        <x:f>MAX(0,MIN(100,D272+G272))</x:f>
        <x:v>50</x:v>
      </x:c>
      <x:c r="I272" s="10" t="n">
        <x:f>0</x:f>
        <x:v>0</x:v>
      </x:c>
      <x:c r="J272" s="10" t="n">
        <x:f>MAX(-'00_Arquitectura'!$B$107,MIN('00_Arquitectura'!$B$107,$J$1015))</x:f>
        <x:v>0</x:v>
      </x:c>
      <x:c r="K272" s="10" t="n">
        <x:f>MAX(0,MIN(100,H272+I272+J272))</x:f>
        <x:v>50</x:v>
      </x:c>
      <x:c r="L272" s="10" t="str">
        <x:v>Pulsos y offsets: filtrar Instancias por escenario, turno y targetId. Base separada del nivel visible.</x:v>
      </x:c>
    </x:row>
    <x:row r="273" ht="34" customHeight="1">
      <x:c r="A273" s="5" t="str">
        <x:v>S2_VIAL</x:v>
      </x:c>
      <x:c r="B273" s="5" t="n">
        <x:v>5</x:v>
      </x:c>
      <x:c r="C273" s="5" t="str">
        <x:v>salud</x:v>
      </x:c>
      <x:c r="D273" s="5" t="n">
        <x:f>$H$259</x:f>
        <x:v>50</x:v>
      </x:c>
      <x:c r="E273" s="5" t="n">
        <x:f>0+0</x:f>
        <x:v>0</x:v>
      </x:c>
      <x:c r="F273" s="5" t="n">
        <x:f>0</x:f>
        <x:v>0</x:v>
      </x:c>
      <x:c r="G273" s="5" t="n">
        <x:f>MAX(-'00_Arquitectura'!$B$106,MIN('00_Arquitectura'!$B$106,E273+F273))</x:f>
        <x:v>0</x:v>
      </x:c>
      <x:c r="H273" s="5" t="n">
        <x:f>MAX(0,MIN(100,D273+G273))</x:f>
        <x:v>50</x:v>
      </x:c>
      <x:c r="I273" s="5" t="n">
        <x:f>0</x:f>
        <x:v>0</x:v>
      </x:c>
      <x:c r="J273" s="5" t="n">
        <x:f>MAX(-'00_Arquitectura'!$B$107,MIN('00_Arquitectura'!$B$107,0))</x:f>
        <x:v>0</x:v>
      </x:c>
      <x:c r="K273" s="5" t="n">
        <x:f>MAX(0,MIN(100,H273+I273+J273))</x:f>
        <x:v>50</x:v>
      </x:c>
      <x:c r="L273" s="5" t="str">
        <x:v>Pulsos y offsets: filtrar Instancias por escenario, turno y targetId. Base separada del nivel visible.</x:v>
      </x:c>
    </x:row>
    <x:row r="274" ht="34" customHeight="1">
      <x:c r="A274" s="10" t="str">
        <x:v>S2_VIAL</x:v>
      </x:c>
      <x:c r="B274" s="10" t="n">
        <x:v>5</x:v>
      </x:c>
      <x:c r="C274" s="10" t="str">
        <x:v>proteccion</x:v>
      </x:c>
      <x:c r="D274" s="10" t="n">
        <x:f>$H$260</x:f>
        <x:v>45</x:v>
      </x:c>
      <x:c r="E274" s="10" t="n">
        <x:f>0+0</x:f>
        <x:v>0</x:v>
      </x:c>
      <x:c r="F274" s="10" t="n">
        <x:f>0</x:f>
        <x:v>0</x:v>
      </x:c>
      <x:c r="G274" s="10" t="n">
        <x:f>MAX(-'00_Arquitectura'!$B$106,MIN('00_Arquitectura'!$B$106,E274+F274))</x:f>
        <x:v>0</x:v>
      </x:c>
      <x:c r="H274" s="10" t="n">
        <x:f>MAX(0,MIN(100,D274+G274))</x:f>
        <x:v>45</x:v>
      </x:c>
      <x:c r="I274" s="10" t="n">
        <x:f>0</x:f>
        <x:v>0</x:v>
      </x:c>
      <x:c r="J274" s="10" t="n">
        <x:f>MAX(-'00_Arquitectura'!$B$107,MIN('00_Arquitectura'!$B$107,$J$1013+$J$1017))</x:f>
        <x:v>0</x:v>
      </x:c>
      <x:c r="K274" s="10" t="n">
        <x:f>MAX(0,MIN(100,H274+I274+J274))</x:f>
        <x:v>45</x:v>
      </x:c>
      <x:c r="L274" s="10" t="str">
        <x:v>Pulsos y offsets: filtrar Instancias por escenario, turno y targetId. Base separada del nivel visible.</x:v>
      </x:c>
    </x:row>
    <x:row r="275" ht="34" customHeight="1">
      <x:c r="A275" s="5" t="str">
        <x:v>S2_VIAL</x:v>
      </x:c>
      <x:c r="B275" s="5" t="n">
        <x:v>5</x:v>
      </x:c>
      <x:c r="C275" s="5" t="str">
        <x:v>seguridad</x:v>
      </x:c>
      <x:c r="D275" s="5" t="n">
        <x:f>$H$261</x:f>
        <x:v>45</x:v>
      </x:c>
      <x:c r="E275" s="5" t="n">
        <x:f>0+0</x:f>
        <x:v>0</x:v>
      </x:c>
      <x:c r="F275" s="5" t="n">
        <x:f>0</x:f>
        <x:v>0</x:v>
      </x:c>
      <x:c r="G275" s="5" t="n">
        <x:f>MAX(-'00_Arquitectura'!$B$106,MIN('00_Arquitectura'!$B$106,E275+F275))</x:f>
        <x:v>0</x:v>
      </x:c>
      <x:c r="H275" s="5" t="n">
        <x:f>MAX(0,MIN(100,D275+G275))</x:f>
        <x:v>45</x:v>
      </x:c>
      <x:c r="I275" s="5" t="n">
        <x:f>0</x:f>
        <x:v>0</x:v>
      </x:c>
      <x:c r="J275" s="5" t="n">
        <x:f>MAX(-'00_Arquitectura'!$B$107,MIN('00_Arquitectura'!$B$107,0))</x:f>
        <x:v>0</x:v>
      </x:c>
      <x:c r="K275" s="5" t="n">
        <x:f>MAX(0,MIN(100,H275+I275+J275))</x:f>
        <x:v>45</x:v>
      </x:c>
      <x:c r="L275" s="5" t="str">
        <x:v>Pulsos y offsets: filtrar Instancias por escenario, turno y targetId. Base separada del nivel visible.</x:v>
      </x:c>
    </x:row>
    <x:row r="276" ht="34" customHeight="1">
      <x:c r="A276" s="10" t="str">
        <x:v>S2_VIAL</x:v>
      </x:c>
      <x:c r="B276" s="10" t="n">
        <x:v>5</x:v>
      </x:c>
      <x:c r="C276" s="10" t="str">
        <x:v>ciencia</x:v>
      </x:c>
      <x:c r="D276" s="10" t="n">
        <x:f>$H$262</x:f>
        <x:v>40</x:v>
      </x:c>
      <x:c r="E276" s="10" t="n">
        <x:f>0+0</x:f>
        <x:v>0</x:v>
      </x:c>
      <x:c r="F276" s="10" t="n">
        <x:f>0</x:f>
        <x:v>0</x:v>
      </x:c>
      <x:c r="G276" s="10" t="n">
        <x:f>MAX(-'00_Arquitectura'!$B$106,MIN('00_Arquitectura'!$B$106,E276+F276))</x:f>
        <x:v>0</x:v>
      </x:c>
      <x:c r="H276" s="10" t="n">
        <x:f>MAX(0,MIN(100,D276+G276))</x:f>
        <x:v>40</x:v>
      </x:c>
      <x:c r="I276" s="10" t="n">
        <x:f>0</x:f>
        <x:v>0</x:v>
      </x:c>
      <x:c r="J276" s="10" t="n">
        <x:f>MAX(-'00_Arquitectura'!$B$107,MIN('00_Arquitectura'!$B$107,$J$1016))</x:f>
        <x:v>0</x:v>
      </x:c>
      <x:c r="K276" s="10" t="n">
        <x:f>MAX(0,MIN(100,H276+I276+J276))</x:f>
        <x:v>40</x:v>
      </x:c>
      <x:c r="L276" s="10" t="str">
        <x:v>Pulsos y offsets: filtrar Instancias por escenario, turno y targetId. Base separada del nivel visible.</x:v>
      </x:c>
    </x:row>
    <x:row r="277" ht="34" customHeight="1">
      <x:c r="A277" s="5" t="str">
        <x:v>S2_VIAL</x:v>
      </x:c>
      <x:c r="B277" s="5" t="n">
        <x:v>5</x:v>
      </x:c>
      <x:c r="C277" s="5" t="str">
        <x:v>derechos</x:v>
      </x:c>
      <x:c r="D277" s="5" t="n">
        <x:f>$H$263</x:f>
        <x:v>55</x:v>
      </x:c>
      <x:c r="E277" s="5" t="n">
        <x:f>0+0</x:f>
        <x:v>0</x:v>
      </x:c>
      <x:c r="F277" s="5" t="n">
        <x:f>0</x:f>
        <x:v>0</x:v>
      </x:c>
      <x:c r="G277" s="5" t="n">
        <x:f>MAX(-'00_Arquitectura'!$B$106,MIN('00_Arquitectura'!$B$106,E277+F277))</x:f>
        <x:v>0</x:v>
      </x:c>
      <x:c r="H277" s="5" t="n">
        <x:f>MAX(0,MIN(100,D277+G277))</x:f>
        <x:v>55</x:v>
      </x:c>
      <x:c r="I277" s="5" t="n">
        <x:f>0</x:f>
        <x:v>0</x:v>
      </x:c>
      <x:c r="J277" s="5" t="n">
        <x:f>MAX(-'00_Arquitectura'!$B$107,MIN('00_Arquitectura'!$B$107,0))</x:f>
        <x:v>0</x:v>
      </x:c>
      <x:c r="K277" s="5" t="n">
        <x:f>MAX(0,MIN(100,H277+I277+J277))</x:f>
        <x:v>55</x:v>
      </x:c>
      <x:c r="L277" s="5" t="str">
        <x:v>Pulsos y offsets: filtrar Instancias por escenario, turno y targetId. Base separada del nivel visible.</x:v>
      </x:c>
    </x:row>
    <x:row r="278" ht="34" customHeight="1">
      <x:c r="A278" s="10" t="str">
        <x:v>S2_VIAL</x:v>
      </x:c>
      <x:c r="B278" s="10" t="n">
        <x:v>5</x:v>
      </x:c>
      <x:c r="C278" s="10" t="str">
        <x:v>ambiente</x:v>
      </x:c>
      <x:c r="D278" s="10" t="n">
        <x:f>$H$264</x:f>
        <x:v>48</x:v>
      </x:c>
      <x:c r="E278" s="10" t="n">
        <x:f>0+0</x:f>
        <x:v>0</x:v>
      </x:c>
      <x:c r="F278" s="10" t="n">
        <x:f>0</x:f>
        <x:v>0</x:v>
      </x:c>
      <x:c r="G278" s="10" t="n">
        <x:f>MAX(-'00_Arquitectura'!$B$106,MIN('00_Arquitectura'!$B$106,E278+F278))</x:f>
        <x:v>0</x:v>
      </x:c>
      <x:c r="H278" s="10" t="n">
        <x:f>MAX(0,MIN(100,D278+G278))</x:f>
        <x:v>48</x:v>
      </x:c>
      <x:c r="I278" s="10" t="n">
        <x:f>0</x:f>
        <x:v>0</x:v>
      </x:c>
      <x:c r="J278" s="10" t="n">
        <x:f>MAX(-'00_Arquitectura'!$B$107,MIN('00_Arquitectura'!$B$107,0))</x:f>
        <x:v>0</x:v>
      </x:c>
      <x:c r="K278" s="10" t="n">
        <x:f>MAX(0,MIN(100,H278+I278+J278))</x:f>
        <x:v>48</x:v>
      </x:c>
      <x:c r="L278" s="10" t="str">
        <x:v>Pulsos y offsets: filtrar Instancias por escenario, turno y targetId. Base separada del nivel visible.</x:v>
      </x:c>
    </x:row>
    <x:row r="279" ht="42" customHeight="1">
      <x:c r="A279" s="5" t="str">
        <x:v>S2_VIAL</x:v>
      </x:c>
      <x:c r="B279" s="5" t="n">
        <x:v>6</x:v>
      </x:c>
      <x:c r="C279" s="5" t="str">
        <x:v>inflacion</x:v>
      </x:c>
      <x:c r="D279" s="5" t="n">
        <x:f>$H$265</x:f>
        <x:v>40</x:v>
      </x:c>
      <x:c r="E279" s="5" t="n">
        <x:f>0+0</x:f>
        <x:v>0</x:v>
      </x:c>
      <x:c r="F279" s="5" t="n">
        <x:f>-'00_Arquitectura'!$B$96*($H$265-40)</x:f>
        <x:v>0</x:v>
      </x:c>
      <x:c r="G279" s="5" t="n">
        <x:f>MAX(-'00_Arquitectura'!$B$106,MIN('00_Arquitectura'!$B$106,E279+F279))</x:f>
        <x:v>0</x:v>
      </x:c>
      <x:c r="H279" s="5" t="n">
        <x:f>MAX(0,MIN(100,D279+G279))</x:f>
        <x:v>40</x:v>
      </x:c>
      <x:c r="I279" s="5" t="n">
        <x:f>0</x:f>
        <x:v>0</x:v>
      </x:c>
      <x:c r="J279" s="5" t="n">
        <x:f>MAX(-'00_Arquitectura'!$B$107,MIN('00_Arquitectura'!$B$107,0))</x:f>
        <x:v>0</x:v>
      </x:c>
      <x:c r="K279" s="5" t="n">
        <x:f>MAX(0,MIN(100,H279+I279+J279))</x:f>
        <x:v>40</x:v>
      </x:c>
      <x:c r="L279" s="5" t="str">
        <x:v>Aplica link L01. Pulsos y offsets: filtrar Instancias por escenario, turno y targetId. Base separada del nivel visible.</x:v>
      </x:c>
    </x:row>
    <x:row r="280" ht="42" customHeight="1">
      <x:c r="A280" s="10" t="str">
        <x:v>S2_VIAL</x:v>
      </x:c>
      <x:c r="B280" s="10" t="n">
        <x:v>6</x:v>
      </x:c>
      <x:c r="C280" s="10" t="str">
        <x:v>actividad</x:v>
      </x:c>
      <x:c r="D280" s="10" t="n">
        <x:f>$H$266</x:f>
        <x:v>50.360640000000004</x:v>
      </x:c>
      <x:c r="E280" s="10" t="n">
        <x:f>0+0</x:f>
        <x:v>0</x:v>
      </x:c>
      <x:c r="F280" s="10" t="n">
        <x:f>-'00_Arquitectura'!$B$97*($H$266-50)+'00_Arquitectura'!$B$98*($K$268-45)+'00_Arquitectura'!$B$99*($K$271-45)+'00_Arquitectura'!$B$100*($K$270-45)</x:f>
        <x:v>0.43905599999999934</x:v>
      </x:c>
      <x:c r="G280" s="10" t="n">
        <x:f>MAX(-'00_Arquitectura'!$B$106,MIN('00_Arquitectura'!$B$106,E280+F280))</x:f>
        <x:v>0.43905599999999934</x:v>
      </x:c>
      <x:c r="H280" s="10" t="n">
        <x:f>MAX(0,MIN(100,D280+G280))</x:f>
        <x:v>50.799696000000004</x:v>
      </x:c>
      <x:c r="I280" s="10" t="n">
        <x:f>0</x:f>
        <x:v>0</x:v>
      </x:c>
      <x:c r="J280" s="10" t="n">
        <x:f>MAX(-'00_Arquitectura'!$B$107,MIN('00_Arquitectura'!$B$107,$J$1025+$J$1028+$J$1029))</x:f>
        <x:v>0</x:v>
      </x:c>
      <x:c r="K280" s="10" t="n">
        <x:f>MAX(0,MIN(100,H280+I280+J280))</x:f>
        <x:v>50.799696000000004</x:v>
      </x:c>
      <x:c r="L280" s="10" t="str">
        <x:v>Aplica link L02. Pulsos y offsets: filtrar Instancias por escenario, turno y targetId. Base separada del nivel visible.</x:v>
      </x:c>
    </x:row>
    <x:row r="281" ht="42" customHeight="1">
      <x:c r="A281" s="5" t="str">
        <x:v>S2_VIAL</x:v>
      </x:c>
      <x:c r="B281" s="5" t="n">
        <x:v>6</x:v>
      </x:c>
      <x:c r="C281" s="5" t="str">
        <x:v>ingreso_real</x:v>
      </x:c>
      <x:c r="D281" s="5" t="n">
        <x:f>$H$267</x:f>
        <x:v>45</x:v>
      </x:c>
      <x:c r="E281" s="5" t="n">
        <x:f>0+0</x:f>
        <x:v>0</x:v>
      </x:c>
      <x:c r="F281" s="5" t="n">
        <x:f>'00_Arquitectura'!$B$101*($K$266-$K$252)+'00_Arquitectura'!$B$102*($K$265-$K$251)</x:f>
        <x:v>0.05409600000000054</x:v>
      </x:c>
      <x:c r="G281" s="5" t="n">
        <x:f>MAX(-'00_Arquitectura'!$B$106,MIN('00_Arquitectura'!$B$106,E281+F281))</x:f>
        <x:v>0.05409600000000054</x:v>
      </x:c>
      <x:c r="H281" s="5" t="n">
        <x:f>MAX(0,MIN(100,D281+G281))</x:f>
        <x:v>45.054096</x:v>
      </x:c>
      <x:c r="I281" s="5" t="n">
        <x:f>0</x:f>
        <x:v>0</x:v>
      </x:c>
      <x:c r="J281" s="5" t="n">
        <x:f>MAX(-'00_Arquitectura'!$B$107,MIN('00_Arquitectura'!$B$107,0))</x:f>
        <x:v>0</x:v>
      </x:c>
      <x:c r="K281" s="5" t="n">
        <x:f>MAX(0,MIN(100,H281+I281+J281))</x:f>
        <x:v>45.054096</x:v>
      </x:c>
      <x:c r="L281" s="5" t="str">
        <x:v>Aplica link L03. Pulsos y offsets: filtrar Instancias por escenario, turno y targetId. Base separada del nivel visible.</x:v>
      </x:c>
    </x:row>
    <x:row r="282" ht="42" customHeight="1">
      <x:c r="A282" s="10" t="str">
        <x:v>S2_VIAL</x:v>
      </x:c>
      <x:c r="B282" s="10" t="n">
        <x:v>6</x:v>
      </x:c>
      <x:c r="C282" s="10" t="str">
        <x:v>credito</x:v>
      </x:c>
      <x:c r="D282" s="10" t="n">
        <x:f>$H$268</x:f>
        <x:v>45.0148</x:v>
      </x:c>
      <x:c r="E282" s="10" t="n">
        <x:f>0+0</x:f>
        <x:v>0</x:v>
      </x:c>
      <x:c r="F282" s="10" t="n">
        <x:f>-'00_Arquitectura'!$B$103*($H$268-45)+'00_Arquitectura'!$B$104*($K$265-$K$251)+'00_Arquitectura'!$B$105*($K$269-'00_Arquitectura'!$B$117)</x:f>
        <x:v>-0.06222000000000015</x:v>
      </x:c>
      <x:c r="G282" s="10" t="n">
        <x:f>MAX(-'00_Arquitectura'!$B$106,MIN('00_Arquitectura'!$B$106,E282+F282))</x:f>
        <x:v>-0.06222000000000015</x:v>
      </x:c>
      <x:c r="H282" s="10" t="n">
        <x:f>MAX(0,MIN(100,D282+G282))</x:f>
        <x:v>44.95258</x:v>
      </x:c>
      <x:c r="I282" s="10" t="n">
        <x:f>0</x:f>
        <x:v>0</x:v>
      </x:c>
      <x:c r="J282" s="10" t="n">
        <x:f>MAX(-'00_Arquitectura'!$B$107,MIN('00_Arquitectura'!$B$107,$J$1027))</x:f>
        <x:v>0</x:v>
      </x:c>
      <x:c r="K282" s="10" t="n">
        <x:f>MAX(0,MIN(100,H282+I282+J282))</x:f>
        <x:v>44.95258</x:v>
      </x:c>
      <x:c r="L282" s="10" t="str">
        <x:v>Aplica link L04. Pulsos y offsets: filtrar Instancias por escenario, turno y targetId. Base separada del nivel visible.</x:v>
      </x:c>
    </x:row>
    <x:row r="283" ht="34" customHeight="1">
      <x:c r="A283" s="5" t="str">
        <x:v>S2_VIAL</x:v>
      </x:c>
      <x:c r="B283" s="5" t="n">
        <x:v>6</x:v>
      </x:c>
      <x:c r="C283" s="5" t="str">
        <x:v>fiscal</x:v>
      </x:c>
      <x:c r="D283" s="5" t="n">
        <x:f>$H$269</x:f>
        <x:v>55</x:v>
      </x:c>
      <x:c r="E283" s="5" t="n">
        <x:f>0+0</x:f>
        <x:v>0</x:v>
      </x:c>
      <x:c r="F283" s="5" t="n">
        <x:f>0</x:f>
        <x:v>0</x:v>
      </x:c>
      <x:c r="G283" s="5" t="n">
        <x:f>MAX(-'00_Arquitectura'!$B$106,MIN('00_Arquitectura'!$B$106,E283+F283))</x:f>
        <x:v>0</x:v>
      </x:c>
      <x:c r="H283" s="5" t="n">
        <x:f>$O$30</x:f>
        <x:v>55.072128</x:v>
      </x:c>
      <x:c r="I283" s="5" t="n">
        <x:f>0</x:f>
        <x:v>0</x:v>
      </x:c>
      <x:c r="J283" s="5" t="n">
        <x:f>MAX(-'00_Arquitectura'!$B$107,MIN('00_Arquitectura'!$B$107,0))</x:f>
        <x:v>0</x:v>
      </x:c>
      <x:c r="K283" s="5" t="n">
        <x:f>MAX(0,MIN(100,H283+I283+J283))</x:f>
        <x:v>55.072128</x:v>
      </x:c>
      <x:c r="L283" s="5" t="str">
        <x:v>Derivado de caja: ingreso recurrente, gasto, intereses y deuda. Nunca SUM de efectos fiscales directos.</x:v>
      </x:c>
    </x:row>
    <x:row r="284" ht="34" customHeight="1">
      <x:c r="A284" s="10" t="str">
        <x:v>S2_VIAL</x:v>
      </x:c>
      <x:c r="B284" s="10" t="n">
        <x:v>6</x:v>
      </x:c>
      <x:c r="C284" s="10" t="str">
        <x:v>externo</x:v>
      </x:c>
      <x:c r="D284" s="10" t="n">
        <x:f>$H$270</x:f>
        <x:v>48</x:v>
      </x:c>
      <x:c r="E284" s="10" t="n">
        <x:f>0+0</x:f>
        <x:v>0</x:v>
      </x:c>
      <x:c r="F284" s="10" t="n">
        <x:f>0</x:f>
        <x:v>0</x:v>
      </x:c>
      <x:c r="G284" s="10" t="n">
        <x:f>MAX(-'00_Arquitectura'!$B$106,MIN('00_Arquitectura'!$B$106,E284+F284))</x:f>
        <x:v>0</x:v>
      </x:c>
      <x:c r="H284" s="10" t="n">
        <x:f>MAX(0,MIN(100,D284+G284))</x:f>
        <x:v>48</x:v>
      </x:c>
      <x:c r="I284" s="10" t="n">
        <x:f>0</x:f>
        <x:v>0</x:v>
      </x:c>
      <x:c r="J284" s="10" t="n">
        <x:f>MAX(-'00_Arquitectura'!$B$107,MIN('00_Arquitectura'!$B$107,$J$1026))</x:f>
        <x:v>0</x:v>
      </x:c>
      <x:c r="K284" s="10" t="n">
        <x:f>MAX(0,MIN(100,H284+I284+J284))</x:f>
        <x:v>48</x:v>
      </x:c>
      <x:c r="L284" s="10" t="str">
        <x:v>Pulsos y offsets: filtrar Instancias por escenario, turno y targetId. Base separada del nivel visible.</x:v>
      </x:c>
    </x:row>
    <x:row r="285" ht="34" customHeight="1">
      <x:c r="A285" s="5" t="str">
        <x:v>S2_VIAL</x:v>
      </x:c>
      <x:c r="B285" s="5" t="n">
        <x:v>6</x:v>
      </x:c>
      <x:c r="C285" s="5" t="str">
        <x:v>infraestructura</x:v>
      </x:c>
      <x:c r="D285" s="5" t="n">
        <x:f>$H$271</x:f>
        <x:v>51</x:v>
      </x:c>
      <x:c r="E285" s="5" t="n">
        <x:f>0+0</x:f>
        <x:v>0</x:v>
      </x:c>
      <x:c r="F285" s="5" t="n">
        <x:f>0</x:f>
        <x:v>0</x:v>
      </x:c>
      <x:c r="G285" s="5" t="n">
        <x:f>MAX(-'00_Arquitectura'!$B$106,MIN('00_Arquitectura'!$B$106,E285+F285))</x:f>
        <x:v>0</x:v>
      </x:c>
      <x:c r="H285" s="5" t="n">
        <x:f>MAX(0,MIN(100,D285+G285))</x:f>
        <x:v>51</x:v>
      </x:c>
      <x:c r="I285" s="5" t="n">
        <x:f>0</x:f>
        <x:v>0</x:v>
      </x:c>
      <x:c r="J285" s="5" t="n">
        <x:f>MAX(-'00_Arquitectura'!$B$107,MIN('00_Arquitectura'!$B$107,0))</x:f>
        <x:v>0</x:v>
      </x:c>
      <x:c r="K285" s="5" t="n">
        <x:f>MAX(0,MIN(100,H285+I285+J285))</x:f>
        <x:v>51</x:v>
      </x:c>
      <x:c r="L285" s="5" t="str">
        <x:v>Pulsos y offsets: filtrar Instancias por escenario, turno y targetId. Base separada del nivel visible.</x:v>
      </x:c>
    </x:row>
    <x:row r="286" ht="34" customHeight="1">
      <x:c r="A286" s="10" t="str">
        <x:v>S2_VIAL</x:v>
      </x:c>
      <x:c r="B286" s="10" t="n">
        <x:v>6</x:v>
      </x:c>
      <x:c r="C286" s="10" t="str">
        <x:v>educacion</x:v>
      </x:c>
      <x:c r="D286" s="10" t="n">
        <x:f>$H$272</x:f>
        <x:v>50</x:v>
      </x:c>
      <x:c r="E286" s="10" t="n">
        <x:f>0+0</x:f>
        <x:v>0</x:v>
      </x:c>
      <x:c r="F286" s="10" t="n">
        <x:f>0</x:f>
        <x:v>0</x:v>
      </x:c>
      <x:c r="G286" s="10" t="n">
        <x:f>MAX(-'00_Arquitectura'!$B$106,MIN('00_Arquitectura'!$B$106,E286+F286))</x:f>
        <x:v>0</x:v>
      </x:c>
      <x:c r="H286" s="10" t="n">
        <x:f>MAX(0,MIN(100,D286+G286))</x:f>
        <x:v>50</x:v>
      </x:c>
      <x:c r="I286" s="10" t="n">
        <x:f>0</x:f>
        <x:v>0</x:v>
      </x:c>
      <x:c r="J286" s="10" t="n">
        <x:f>MAX(-'00_Arquitectura'!$B$107,MIN('00_Arquitectura'!$B$107,$J$1033))</x:f>
        <x:v>0</x:v>
      </x:c>
      <x:c r="K286" s="10" t="n">
        <x:f>MAX(0,MIN(100,H286+I286+J286))</x:f>
        <x:v>50</x:v>
      </x:c>
      <x:c r="L286" s="10" t="str">
        <x:v>Pulsos y offsets: filtrar Instancias por escenario, turno y targetId. Base separada del nivel visible.</x:v>
      </x:c>
    </x:row>
    <x:row r="287" ht="34" customHeight="1">
      <x:c r="A287" s="5" t="str">
        <x:v>S2_VIAL</x:v>
      </x:c>
      <x:c r="B287" s="5" t="n">
        <x:v>6</x:v>
      </x:c>
      <x:c r="C287" s="5" t="str">
        <x:v>salud</x:v>
      </x:c>
      <x:c r="D287" s="5" t="n">
        <x:f>$H$273</x:f>
        <x:v>50</x:v>
      </x:c>
      <x:c r="E287" s="5" t="n">
        <x:f>0+0</x:f>
        <x:v>0</x:v>
      </x:c>
      <x:c r="F287" s="5" t="n">
        <x:f>0</x:f>
        <x:v>0</x:v>
      </x:c>
      <x:c r="G287" s="5" t="n">
        <x:f>MAX(-'00_Arquitectura'!$B$106,MIN('00_Arquitectura'!$B$106,E287+F287))</x:f>
        <x:v>0</x:v>
      </x:c>
      <x:c r="H287" s="5" t="n">
        <x:f>MAX(0,MIN(100,D287+G287))</x:f>
        <x:v>50</x:v>
      </x:c>
      <x:c r="I287" s="5" t="n">
        <x:f>0</x:f>
        <x:v>0</x:v>
      </x:c>
      <x:c r="J287" s="5" t="n">
        <x:f>MAX(-'00_Arquitectura'!$B$107,MIN('00_Arquitectura'!$B$107,0))</x:f>
        <x:v>0</x:v>
      </x:c>
      <x:c r="K287" s="5" t="n">
        <x:f>MAX(0,MIN(100,H287+I287+J287))</x:f>
        <x:v>50</x:v>
      </x:c>
      <x:c r="L287" s="5" t="str">
        <x:v>Pulsos y offsets: filtrar Instancias por escenario, turno y targetId. Base separada del nivel visible.</x:v>
      </x:c>
    </x:row>
    <x:row r="288" ht="34" customHeight="1">
      <x:c r="A288" s="10" t="str">
        <x:v>S2_VIAL</x:v>
      </x:c>
      <x:c r="B288" s="10" t="n">
        <x:v>6</x:v>
      </x:c>
      <x:c r="C288" s="10" t="str">
        <x:v>proteccion</x:v>
      </x:c>
      <x:c r="D288" s="10" t="n">
        <x:f>$H$274</x:f>
        <x:v>45</x:v>
      </x:c>
      <x:c r="E288" s="10" t="n">
        <x:f>0+0</x:f>
        <x:v>0</x:v>
      </x:c>
      <x:c r="F288" s="10" t="n">
        <x:f>0</x:f>
        <x:v>0</x:v>
      </x:c>
      <x:c r="G288" s="10" t="n">
        <x:f>MAX(-'00_Arquitectura'!$B$106,MIN('00_Arquitectura'!$B$106,E288+F288))</x:f>
        <x:v>0</x:v>
      </x:c>
      <x:c r="H288" s="10" t="n">
        <x:f>MAX(0,MIN(100,D288+G288))</x:f>
        <x:v>45</x:v>
      </x:c>
      <x:c r="I288" s="10" t="n">
        <x:f>0</x:f>
        <x:v>0</x:v>
      </x:c>
      <x:c r="J288" s="10" t="n">
        <x:f>MAX(-'00_Arquitectura'!$B$107,MIN('00_Arquitectura'!$B$107,$J$1031+$J$1035))</x:f>
        <x:v>0</x:v>
      </x:c>
      <x:c r="K288" s="10" t="n">
        <x:f>MAX(0,MIN(100,H288+I288+J288))</x:f>
        <x:v>45</x:v>
      </x:c>
      <x:c r="L288" s="10" t="str">
        <x:v>Pulsos y offsets: filtrar Instancias por escenario, turno y targetId. Base separada del nivel visible.</x:v>
      </x:c>
    </x:row>
    <x:row r="289" ht="34" customHeight="1">
      <x:c r="A289" s="5" t="str">
        <x:v>S2_VIAL</x:v>
      </x:c>
      <x:c r="B289" s="5" t="n">
        <x:v>6</x:v>
      </x:c>
      <x:c r="C289" s="5" t="str">
        <x:v>seguridad</x:v>
      </x:c>
      <x:c r="D289" s="5" t="n">
        <x:f>$H$275</x:f>
        <x:v>45</x:v>
      </x:c>
      <x:c r="E289" s="5" t="n">
        <x:f>0+0</x:f>
        <x:v>0</x:v>
      </x:c>
      <x:c r="F289" s="5" t="n">
        <x:f>0</x:f>
        <x:v>0</x:v>
      </x:c>
      <x:c r="G289" s="5" t="n">
        <x:f>MAX(-'00_Arquitectura'!$B$106,MIN('00_Arquitectura'!$B$106,E289+F289))</x:f>
        <x:v>0</x:v>
      </x:c>
      <x:c r="H289" s="5" t="n">
        <x:f>MAX(0,MIN(100,D289+G289))</x:f>
        <x:v>45</x:v>
      </x:c>
      <x:c r="I289" s="5" t="n">
        <x:f>0</x:f>
        <x:v>0</x:v>
      </x:c>
      <x:c r="J289" s="5" t="n">
        <x:f>MAX(-'00_Arquitectura'!$B$107,MIN('00_Arquitectura'!$B$107,0))</x:f>
        <x:v>0</x:v>
      </x:c>
      <x:c r="K289" s="5" t="n">
        <x:f>MAX(0,MIN(100,H289+I289+J289))</x:f>
        <x:v>45</x:v>
      </x:c>
      <x:c r="L289" s="5" t="str">
        <x:v>Pulsos y offsets: filtrar Instancias por escenario, turno y targetId. Base separada del nivel visible.</x:v>
      </x:c>
    </x:row>
    <x:row r="290" ht="34" customHeight="1">
      <x:c r="A290" s="10" t="str">
        <x:v>S2_VIAL</x:v>
      </x:c>
      <x:c r="B290" s="10" t="n">
        <x:v>6</x:v>
      </x:c>
      <x:c r="C290" s="10" t="str">
        <x:v>ciencia</x:v>
      </x:c>
      <x:c r="D290" s="10" t="n">
        <x:f>$H$276</x:f>
        <x:v>40</x:v>
      </x:c>
      <x:c r="E290" s="10" t="n">
        <x:f>0+0</x:f>
        <x:v>0</x:v>
      </x:c>
      <x:c r="F290" s="10" t="n">
        <x:f>0</x:f>
        <x:v>0</x:v>
      </x:c>
      <x:c r="G290" s="10" t="n">
        <x:f>MAX(-'00_Arquitectura'!$B$106,MIN('00_Arquitectura'!$B$106,E290+F290))</x:f>
        <x:v>0</x:v>
      </x:c>
      <x:c r="H290" s="10" t="n">
        <x:f>MAX(0,MIN(100,D290+G290))</x:f>
        <x:v>40</x:v>
      </x:c>
      <x:c r="I290" s="10" t="n">
        <x:f>0</x:f>
        <x:v>0</x:v>
      </x:c>
      <x:c r="J290" s="10" t="n">
        <x:f>MAX(-'00_Arquitectura'!$B$107,MIN('00_Arquitectura'!$B$107,$J$1034))</x:f>
        <x:v>0</x:v>
      </x:c>
      <x:c r="K290" s="10" t="n">
        <x:f>MAX(0,MIN(100,H290+I290+J290))</x:f>
        <x:v>40</x:v>
      </x:c>
      <x:c r="L290" s="10" t="str">
        <x:v>Pulsos y offsets: filtrar Instancias por escenario, turno y targetId. Base separada del nivel visible.</x:v>
      </x:c>
    </x:row>
    <x:row r="291" ht="34" customHeight="1">
      <x:c r="A291" s="5" t="str">
        <x:v>S2_VIAL</x:v>
      </x:c>
      <x:c r="B291" s="5" t="n">
        <x:v>6</x:v>
      </x:c>
      <x:c r="C291" s="5" t="str">
        <x:v>derechos</x:v>
      </x:c>
      <x:c r="D291" s="5" t="n">
        <x:f>$H$277</x:f>
        <x:v>55</x:v>
      </x:c>
      <x:c r="E291" s="5" t="n">
        <x:f>0+0</x:f>
        <x:v>0</x:v>
      </x:c>
      <x:c r="F291" s="5" t="n">
        <x:f>0</x:f>
        <x:v>0</x:v>
      </x:c>
      <x:c r="G291" s="5" t="n">
        <x:f>MAX(-'00_Arquitectura'!$B$106,MIN('00_Arquitectura'!$B$106,E291+F291))</x:f>
        <x:v>0</x:v>
      </x:c>
      <x:c r="H291" s="5" t="n">
        <x:f>MAX(0,MIN(100,D291+G291))</x:f>
        <x:v>55</x:v>
      </x:c>
      <x:c r="I291" s="5" t="n">
        <x:f>0</x:f>
        <x:v>0</x:v>
      </x:c>
      <x:c r="J291" s="5" t="n">
        <x:f>MAX(-'00_Arquitectura'!$B$107,MIN('00_Arquitectura'!$B$107,0))</x:f>
        <x:v>0</x:v>
      </x:c>
      <x:c r="K291" s="5" t="n">
        <x:f>MAX(0,MIN(100,H291+I291+J291))</x:f>
        <x:v>55</x:v>
      </x:c>
      <x:c r="L291" s="5" t="str">
        <x:v>Pulsos y offsets: filtrar Instancias por escenario, turno y targetId. Base separada del nivel visible.</x:v>
      </x:c>
    </x:row>
    <x:row r="292" ht="34" customHeight="1">
      <x:c r="A292" s="10" t="str">
        <x:v>S2_VIAL</x:v>
      </x:c>
      <x:c r="B292" s="10" t="n">
        <x:v>6</x:v>
      </x:c>
      <x:c r="C292" s="10" t="str">
        <x:v>ambiente</x:v>
      </x:c>
      <x:c r="D292" s="10" t="n">
        <x:f>$H$278</x:f>
        <x:v>48</x:v>
      </x:c>
      <x:c r="E292" s="10" t="n">
        <x:f>0+0</x:f>
        <x:v>0</x:v>
      </x:c>
      <x:c r="F292" s="10" t="n">
        <x:f>0</x:f>
        <x:v>0</x:v>
      </x:c>
      <x:c r="G292" s="10" t="n">
        <x:f>MAX(-'00_Arquitectura'!$B$106,MIN('00_Arquitectura'!$B$106,E292+F292))</x:f>
        <x:v>0</x:v>
      </x:c>
      <x:c r="H292" s="10" t="n">
        <x:f>MAX(0,MIN(100,D292+G292))</x:f>
        <x:v>48</x:v>
      </x:c>
      <x:c r="I292" s="10" t="n">
        <x:f>0</x:f>
        <x:v>0</x:v>
      </x:c>
      <x:c r="J292" s="10" t="n">
        <x:f>MAX(-'00_Arquitectura'!$B$107,MIN('00_Arquitectura'!$B$107,0))</x:f>
        <x:v>0</x:v>
      </x:c>
      <x:c r="K292" s="10" t="n">
        <x:f>MAX(0,MIN(100,H292+I292+J292))</x:f>
        <x:v>48</x:v>
      </x:c>
      <x:c r="L292" s="10" t="str">
        <x:v>Pulsos y offsets: filtrar Instancias por escenario, turno y targetId. Base separada del nivel visible.</x:v>
      </x:c>
    </x:row>
    <x:row r="293" ht="42" customHeight="1">
      <x:c r="A293" s="5" t="str">
        <x:v>S2_VIAL</x:v>
      </x:c>
      <x:c r="B293" s="5" t="n">
        <x:v>7</x:v>
      </x:c>
      <x:c r="C293" s="5" t="str">
        <x:v>inflacion</x:v>
      </x:c>
      <x:c r="D293" s="5" t="n">
        <x:f>$H$279</x:f>
        <x:v>40</x:v>
      </x:c>
      <x:c r="E293" s="5" t="n">
        <x:f>0+0</x:f>
        <x:v>0</x:v>
      </x:c>
      <x:c r="F293" s="5" t="n">
        <x:f>-'00_Arquitectura'!$B$96*($H$279-40)</x:f>
        <x:v>0</x:v>
      </x:c>
      <x:c r="G293" s="5" t="n">
        <x:f>MAX(-'00_Arquitectura'!$B$106,MIN('00_Arquitectura'!$B$106,E293+F293))</x:f>
        <x:v>0</x:v>
      </x:c>
      <x:c r="H293" s="5" t="n">
        <x:f>MAX(0,MIN(100,D293+G293))</x:f>
        <x:v>40</x:v>
      </x:c>
      <x:c r="I293" s="5" t="n">
        <x:f>0</x:f>
        <x:v>0</x:v>
      </x:c>
      <x:c r="J293" s="5" t="n">
        <x:f>MAX(-'00_Arquitectura'!$B$107,MIN('00_Arquitectura'!$B$107,0))</x:f>
        <x:v>0</x:v>
      </x:c>
      <x:c r="K293" s="5" t="n">
        <x:f>MAX(0,MIN(100,H293+I293+J293))</x:f>
        <x:v>40</x:v>
      </x:c>
      <x:c r="L293" s="5" t="str">
        <x:v>Aplica link L01. Pulsos y offsets: filtrar Instancias por escenario, turno y targetId. Base separada del nivel visible.</x:v>
      </x:c>
    </x:row>
    <x:row r="294" ht="42" customHeight="1">
      <x:c r="A294" s="10" t="str">
        <x:v>S2_VIAL</x:v>
      </x:c>
      <x:c r="B294" s="10" t="n">
        <x:v>7</x:v>
      </x:c>
      <x:c r="C294" s="10" t="str">
        <x:v>actividad</x:v>
      </x:c>
      <x:c r="D294" s="10" t="n">
        <x:f>$H$280</x:f>
        <x:v>50.799696000000004</x:v>
      </x:c>
      <x:c r="E294" s="10" t="n">
        <x:f>0+0</x:f>
        <x:v>0</x:v>
      </x:c>
      <x:c r="F294" s="10" t="n">
        <x:f>-'00_Arquitectura'!$B$97*($H$280-50)+'00_Arquitectura'!$B$98*($K$282-45)+'00_Arquitectura'!$B$99*($K$285-45)+'00_Arquitectura'!$B$100*($K$284-45)</x:f>
        <x:v>0.3462671999999989</x:v>
      </x:c>
      <x:c r="G294" s="10" t="n">
        <x:f>MAX(-'00_Arquitectura'!$B$106,MIN('00_Arquitectura'!$B$106,E294+F294))</x:f>
        <x:v>0.3462671999999989</x:v>
      </x:c>
      <x:c r="H294" s="10" t="n">
        <x:f>MAX(0,MIN(100,D294+G294))</x:f>
        <x:v>51.145963200000004</x:v>
      </x:c>
      <x:c r="I294" s="10" t="n">
        <x:f>0</x:f>
        <x:v>0</x:v>
      </x:c>
      <x:c r="J294" s="10" t="n">
        <x:f>MAX(-'00_Arquitectura'!$B$107,MIN('00_Arquitectura'!$B$107,$J$1043+$J$1046+$J$1047))</x:f>
        <x:v>0</x:v>
      </x:c>
      <x:c r="K294" s="10" t="n">
        <x:f>MAX(0,MIN(100,H294+I294+J294))</x:f>
        <x:v>51.145963200000004</x:v>
      </x:c>
      <x:c r="L294" s="10" t="str">
        <x:v>Aplica link L02. Pulsos y offsets: filtrar Instancias por escenario, turno y targetId. Base separada del nivel visible.</x:v>
      </x:c>
    </x:row>
    <x:row r="295" ht="42" customHeight="1">
      <x:c r="A295" s="5" t="str">
        <x:v>S2_VIAL</x:v>
      </x:c>
      <x:c r="B295" s="5" t="n">
        <x:v>7</x:v>
      </x:c>
      <x:c r="C295" s="5" t="str">
        <x:v>ingreso_real</x:v>
      </x:c>
      <x:c r="D295" s="5" t="n">
        <x:f>$H$281</x:f>
        <x:v>45.054096</x:v>
      </x:c>
      <x:c r="E295" s="5" t="n">
        <x:f>0+0</x:f>
        <x:v>0</x:v>
      </x:c>
      <x:c r="F295" s="5" t="n">
        <x:f>'00_Arquitectura'!$B$101*($K$280-$K$266)+'00_Arquitectura'!$B$102*($K$279-$K$265)</x:f>
        <x:v>0.06585840000000011</x:v>
      </x:c>
      <x:c r="G295" s="5" t="n">
        <x:f>MAX(-'00_Arquitectura'!$B$106,MIN('00_Arquitectura'!$B$106,E295+F295))</x:f>
        <x:v>0.06585840000000011</x:v>
      </x:c>
      <x:c r="H295" s="5" t="n">
        <x:f>MAX(0,MIN(100,D295+G295))</x:f>
        <x:v>45.119954400000005</x:v>
      </x:c>
      <x:c r="I295" s="5" t="n">
        <x:f>0</x:f>
        <x:v>0</x:v>
      </x:c>
      <x:c r="J295" s="5" t="n">
        <x:f>MAX(-'00_Arquitectura'!$B$107,MIN('00_Arquitectura'!$B$107,0))</x:f>
        <x:v>0</x:v>
      </x:c>
      <x:c r="K295" s="5" t="n">
        <x:f>MAX(0,MIN(100,H295+I295+J295))</x:f>
        <x:v>45.119954400000005</x:v>
      </x:c>
      <x:c r="L295" s="5" t="str">
        <x:v>Aplica link L03. Pulsos y offsets: filtrar Instancias por escenario, turno y targetId. Base separada del nivel visible.</x:v>
      </x:c>
    </x:row>
    <x:row r="296" ht="42" customHeight="1">
      <x:c r="A296" s="10" t="str">
        <x:v>S2_VIAL</x:v>
      </x:c>
      <x:c r="B296" s="10" t="n">
        <x:v>7</x:v>
      </x:c>
      <x:c r="C296" s="10" t="str">
        <x:v>credito</x:v>
      </x:c>
      <x:c r="D296" s="10" t="n">
        <x:f>$H$282</x:f>
        <x:v>44.95258</x:v>
      </x:c>
      <x:c r="E296" s="10" t="n">
        <x:f>0+0</x:f>
        <x:v>0</x:v>
      </x:c>
      <x:c r="F296" s="10" t="n">
        <x:f>-'00_Arquitectura'!$B$103*($H$282-45)+'00_Arquitectura'!$B$104*($K$279-$K$265)+'00_Arquitectura'!$B$105*($K$283-'00_Arquitectura'!$B$117)</x:f>
        <x:v>-0.05144443999999965</x:v>
      </x:c>
      <x:c r="G296" s="10" t="n">
        <x:f>MAX(-'00_Arquitectura'!$B$106,MIN('00_Arquitectura'!$B$106,E296+F296))</x:f>
        <x:v>-0.05144443999999965</x:v>
      </x:c>
      <x:c r="H296" s="10" t="n">
        <x:f>MAX(0,MIN(100,D296+G296))</x:f>
        <x:v>44.90113556</x:v>
      </x:c>
      <x:c r="I296" s="10" t="n">
        <x:f>0</x:f>
        <x:v>0</x:v>
      </x:c>
      <x:c r="J296" s="10" t="n">
        <x:f>MAX(-'00_Arquitectura'!$B$107,MIN('00_Arquitectura'!$B$107,$J$1045))</x:f>
        <x:v>0</x:v>
      </x:c>
      <x:c r="K296" s="10" t="n">
        <x:f>MAX(0,MIN(100,H296+I296+J296))</x:f>
        <x:v>44.90113556</x:v>
      </x:c>
      <x:c r="L296" s="10" t="str">
        <x:v>Aplica link L04. Pulsos y offsets: filtrar Instancias por escenario, turno y targetId. Base separada del nivel visible.</x:v>
      </x:c>
    </x:row>
    <x:row r="297" ht="34" customHeight="1">
      <x:c r="A297" s="5" t="str">
        <x:v>S2_VIAL</x:v>
      </x:c>
      <x:c r="B297" s="5" t="n">
        <x:v>7</x:v>
      </x:c>
      <x:c r="C297" s="5" t="str">
        <x:v>fiscal</x:v>
      </x:c>
      <x:c r="D297" s="5" t="n">
        <x:f>$H$283</x:f>
        <x:v>55.072128</x:v>
      </x:c>
      <x:c r="E297" s="5" t="n">
        <x:f>0+0</x:f>
        <x:v>0</x:v>
      </x:c>
      <x:c r="F297" s="5" t="n">
        <x:f>0</x:f>
        <x:v>0</x:v>
      </x:c>
      <x:c r="G297" s="5" t="n">
        <x:f>MAX(-'00_Arquitectura'!$B$106,MIN('00_Arquitectura'!$B$106,E297+F297))</x:f>
        <x:v>0</x:v>
      </x:c>
      <x:c r="H297" s="5" t="n">
        <x:f>$O$31</x:f>
        <x:v>55.159939200000004</x:v>
      </x:c>
      <x:c r="I297" s="5" t="n">
        <x:f>0</x:f>
        <x:v>0</x:v>
      </x:c>
      <x:c r="J297" s="5" t="n">
        <x:f>MAX(-'00_Arquitectura'!$B$107,MIN('00_Arquitectura'!$B$107,0))</x:f>
        <x:v>0</x:v>
      </x:c>
      <x:c r="K297" s="5" t="n">
        <x:f>MAX(0,MIN(100,H297+I297+J297))</x:f>
        <x:v>55.159939200000004</x:v>
      </x:c>
      <x:c r="L297" s="5" t="str">
        <x:v>Derivado de caja: ingreso recurrente, gasto, intereses y deuda. Nunca SUM de efectos fiscales directos.</x:v>
      </x:c>
    </x:row>
    <x:row r="298" ht="34" customHeight="1">
      <x:c r="A298" s="10" t="str">
        <x:v>S2_VIAL</x:v>
      </x:c>
      <x:c r="B298" s="10" t="n">
        <x:v>7</x:v>
      </x:c>
      <x:c r="C298" s="10" t="str">
        <x:v>externo</x:v>
      </x:c>
      <x:c r="D298" s="10" t="n">
        <x:f>$H$284</x:f>
        <x:v>48</x:v>
      </x:c>
      <x:c r="E298" s="10" t="n">
        <x:f>0+0</x:f>
        <x:v>0</x:v>
      </x:c>
      <x:c r="F298" s="10" t="n">
        <x:f>0</x:f>
        <x:v>0</x:v>
      </x:c>
      <x:c r="G298" s="10" t="n">
        <x:f>MAX(-'00_Arquitectura'!$B$106,MIN('00_Arquitectura'!$B$106,E298+F298))</x:f>
        <x:v>0</x:v>
      </x:c>
      <x:c r="H298" s="10" t="n">
        <x:f>MAX(0,MIN(100,D298+G298))</x:f>
        <x:v>48</x:v>
      </x:c>
      <x:c r="I298" s="10" t="n">
        <x:f>0</x:f>
        <x:v>0</x:v>
      </x:c>
      <x:c r="J298" s="10" t="n">
        <x:f>MAX(-'00_Arquitectura'!$B$107,MIN('00_Arquitectura'!$B$107,$J$1044))</x:f>
        <x:v>0</x:v>
      </x:c>
      <x:c r="K298" s="10" t="n">
        <x:f>MAX(0,MIN(100,H298+I298+J298))</x:f>
        <x:v>48</x:v>
      </x:c>
      <x:c r="L298" s="10" t="str">
        <x:v>Pulsos y offsets: filtrar Instancias por escenario, turno y targetId. Base separada del nivel visible.</x:v>
      </x:c>
    </x:row>
    <x:row r="299" ht="34" customHeight="1">
      <x:c r="A299" s="5" t="str">
        <x:v>S2_VIAL</x:v>
      </x:c>
      <x:c r="B299" s="5" t="n">
        <x:v>7</x:v>
      </x:c>
      <x:c r="C299" s="5" t="str">
        <x:v>infraestructura</x:v>
      </x:c>
      <x:c r="D299" s="5" t="n">
        <x:f>$H$285</x:f>
        <x:v>51</x:v>
      </x:c>
      <x:c r="E299" s="5" t="n">
        <x:f>0+0</x:f>
        <x:v>0</x:v>
      </x:c>
      <x:c r="F299" s="5" t="n">
        <x:f>0</x:f>
        <x:v>0</x:v>
      </x:c>
      <x:c r="G299" s="5" t="n">
        <x:f>MAX(-'00_Arquitectura'!$B$106,MIN('00_Arquitectura'!$B$106,E299+F299))</x:f>
        <x:v>0</x:v>
      </x:c>
      <x:c r="H299" s="5" t="n">
        <x:f>MAX(0,MIN(100,D299+G299))</x:f>
        <x:v>51</x:v>
      </x:c>
      <x:c r="I299" s="5" t="n">
        <x:f>0</x:f>
        <x:v>0</x:v>
      </x:c>
      <x:c r="J299" s="5" t="n">
        <x:f>MAX(-'00_Arquitectura'!$B$107,MIN('00_Arquitectura'!$B$107,0))</x:f>
        <x:v>0</x:v>
      </x:c>
      <x:c r="K299" s="5" t="n">
        <x:f>MAX(0,MIN(100,H299+I299+J299))</x:f>
        <x:v>51</x:v>
      </x:c>
      <x:c r="L299" s="5" t="str">
        <x:v>Pulsos y offsets: filtrar Instancias por escenario, turno y targetId. Base separada del nivel visible.</x:v>
      </x:c>
    </x:row>
    <x:row r="300" ht="34" customHeight="1">
      <x:c r="A300" s="10" t="str">
        <x:v>S2_VIAL</x:v>
      </x:c>
      <x:c r="B300" s="10" t="n">
        <x:v>7</x:v>
      </x:c>
      <x:c r="C300" s="10" t="str">
        <x:v>educacion</x:v>
      </x:c>
      <x:c r="D300" s="10" t="n">
        <x:f>$H$286</x:f>
        <x:v>50</x:v>
      </x:c>
      <x:c r="E300" s="10" t="n">
        <x:f>0+0</x:f>
        <x:v>0</x:v>
      </x:c>
      <x:c r="F300" s="10" t="n">
        <x:f>0</x:f>
        <x:v>0</x:v>
      </x:c>
      <x:c r="G300" s="10" t="n">
        <x:f>MAX(-'00_Arquitectura'!$B$106,MIN('00_Arquitectura'!$B$106,E300+F300))</x:f>
        <x:v>0</x:v>
      </x:c>
      <x:c r="H300" s="10" t="n">
        <x:f>MAX(0,MIN(100,D300+G300))</x:f>
        <x:v>50</x:v>
      </x:c>
      <x:c r="I300" s="10" t="n">
        <x:f>0</x:f>
        <x:v>0</x:v>
      </x:c>
      <x:c r="J300" s="10" t="n">
        <x:f>MAX(-'00_Arquitectura'!$B$107,MIN('00_Arquitectura'!$B$107,$J$1051))</x:f>
        <x:v>0</x:v>
      </x:c>
      <x:c r="K300" s="10" t="n">
        <x:f>MAX(0,MIN(100,H300+I300+J300))</x:f>
        <x:v>50</x:v>
      </x:c>
      <x:c r="L300" s="10" t="str">
        <x:v>Pulsos y offsets: filtrar Instancias por escenario, turno y targetId. Base separada del nivel visible.</x:v>
      </x:c>
    </x:row>
    <x:row r="301" ht="34" customHeight="1">
      <x:c r="A301" s="5" t="str">
        <x:v>S2_VIAL</x:v>
      </x:c>
      <x:c r="B301" s="5" t="n">
        <x:v>7</x:v>
      </x:c>
      <x:c r="C301" s="5" t="str">
        <x:v>salud</x:v>
      </x:c>
      <x:c r="D301" s="5" t="n">
        <x:f>$H$287</x:f>
        <x:v>50</x:v>
      </x:c>
      <x:c r="E301" s="5" t="n">
        <x:f>0+0</x:f>
        <x:v>0</x:v>
      </x:c>
      <x:c r="F301" s="5" t="n">
        <x:f>0</x:f>
        <x:v>0</x:v>
      </x:c>
      <x:c r="G301" s="5" t="n">
        <x:f>MAX(-'00_Arquitectura'!$B$106,MIN('00_Arquitectura'!$B$106,E301+F301))</x:f>
        <x:v>0</x:v>
      </x:c>
      <x:c r="H301" s="5" t="n">
        <x:f>MAX(0,MIN(100,D301+G301))</x:f>
        <x:v>50</x:v>
      </x:c>
      <x:c r="I301" s="5" t="n">
        <x:f>0</x:f>
        <x:v>0</x:v>
      </x:c>
      <x:c r="J301" s="5" t="n">
        <x:f>MAX(-'00_Arquitectura'!$B$107,MIN('00_Arquitectura'!$B$107,0))</x:f>
        <x:v>0</x:v>
      </x:c>
      <x:c r="K301" s="5" t="n">
        <x:f>MAX(0,MIN(100,H301+I301+J301))</x:f>
        <x:v>50</x:v>
      </x:c>
      <x:c r="L301" s="5" t="str">
        <x:v>Pulsos y offsets: filtrar Instancias por escenario, turno y targetId. Base separada del nivel visible.</x:v>
      </x:c>
    </x:row>
    <x:row r="302" ht="34" customHeight="1">
      <x:c r="A302" s="10" t="str">
        <x:v>S2_VIAL</x:v>
      </x:c>
      <x:c r="B302" s="10" t="n">
        <x:v>7</x:v>
      </x:c>
      <x:c r="C302" s="10" t="str">
        <x:v>proteccion</x:v>
      </x:c>
      <x:c r="D302" s="10" t="n">
        <x:f>$H$288</x:f>
        <x:v>45</x:v>
      </x:c>
      <x:c r="E302" s="10" t="n">
        <x:f>0+0</x:f>
        <x:v>0</x:v>
      </x:c>
      <x:c r="F302" s="10" t="n">
        <x:f>0</x:f>
        <x:v>0</x:v>
      </x:c>
      <x:c r="G302" s="10" t="n">
        <x:f>MAX(-'00_Arquitectura'!$B$106,MIN('00_Arquitectura'!$B$106,E302+F302))</x:f>
        <x:v>0</x:v>
      </x:c>
      <x:c r="H302" s="10" t="n">
        <x:f>MAX(0,MIN(100,D302+G302))</x:f>
        <x:v>45</x:v>
      </x:c>
      <x:c r="I302" s="10" t="n">
        <x:f>0</x:f>
        <x:v>0</x:v>
      </x:c>
      <x:c r="J302" s="10" t="n">
        <x:f>MAX(-'00_Arquitectura'!$B$107,MIN('00_Arquitectura'!$B$107,$J$1049+$J$1053))</x:f>
        <x:v>0</x:v>
      </x:c>
      <x:c r="K302" s="10" t="n">
        <x:f>MAX(0,MIN(100,H302+I302+J302))</x:f>
        <x:v>45</x:v>
      </x:c>
      <x:c r="L302" s="10" t="str">
        <x:v>Pulsos y offsets: filtrar Instancias por escenario, turno y targetId. Base separada del nivel visible.</x:v>
      </x:c>
    </x:row>
    <x:row r="303" ht="34" customHeight="1">
      <x:c r="A303" s="5" t="str">
        <x:v>S2_VIAL</x:v>
      </x:c>
      <x:c r="B303" s="5" t="n">
        <x:v>7</x:v>
      </x:c>
      <x:c r="C303" s="5" t="str">
        <x:v>seguridad</x:v>
      </x:c>
      <x:c r="D303" s="5" t="n">
        <x:f>$H$289</x:f>
        <x:v>45</x:v>
      </x:c>
      <x:c r="E303" s="5" t="n">
        <x:f>0+0</x:f>
        <x:v>0</x:v>
      </x:c>
      <x:c r="F303" s="5" t="n">
        <x:f>0</x:f>
        <x:v>0</x:v>
      </x:c>
      <x:c r="G303" s="5" t="n">
        <x:f>MAX(-'00_Arquitectura'!$B$106,MIN('00_Arquitectura'!$B$106,E303+F303))</x:f>
        <x:v>0</x:v>
      </x:c>
      <x:c r="H303" s="5" t="n">
        <x:f>MAX(0,MIN(100,D303+G303))</x:f>
        <x:v>45</x:v>
      </x:c>
      <x:c r="I303" s="5" t="n">
        <x:f>0</x:f>
        <x:v>0</x:v>
      </x:c>
      <x:c r="J303" s="5" t="n">
        <x:f>MAX(-'00_Arquitectura'!$B$107,MIN('00_Arquitectura'!$B$107,0))</x:f>
        <x:v>0</x:v>
      </x:c>
      <x:c r="K303" s="5" t="n">
        <x:f>MAX(0,MIN(100,H303+I303+J303))</x:f>
        <x:v>45</x:v>
      </x:c>
      <x:c r="L303" s="5" t="str">
        <x:v>Pulsos y offsets: filtrar Instancias por escenario, turno y targetId. Base separada del nivel visible.</x:v>
      </x:c>
    </x:row>
    <x:row r="304" ht="34" customHeight="1">
      <x:c r="A304" s="10" t="str">
        <x:v>S2_VIAL</x:v>
      </x:c>
      <x:c r="B304" s="10" t="n">
        <x:v>7</x:v>
      </x:c>
      <x:c r="C304" s="10" t="str">
        <x:v>ciencia</x:v>
      </x:c>
      <x:c r="D304" s="10" t="n">
        <x:f>$H$290</x:f>
        <x:v>40</x:v>
      </x:c>
      <x:c r="E304" s="10" t="n">
        <x:f>0+0</x:f>
        <x:v>0</x:v>
      </x:c>
      <x:c r="F304" s="10" t="n">
        <x:f>0</x:f>
        <x:v>0</x:v>
      </x:c>
      <x:c r="G304" s="10" t="n">
        <x:f>MAX(-'00_Arquitectura'!$B$106,MIN('00_Arquitectura'!$B$106,E304+F304))</x:f>
        <x:v>0</x:v>
      </x:c>
      <x:c r="H304" s="10" t="n">
        <x:f>MAX(0,MIN(100,D304+G304))</x:f>
        <x:v>40</x:v>
      </x:c>
      <x:c r="I304" s="10" t="n">
        <x:f>0</x:f>
        <x:v>0</x:v>
      </x:c>
      <x:c r="J304" s="10" t="n">
        <x:f>MAX(-'00_Arquitectura'!$B$107,MIN('00_Arquitectura'!$B$107,$J$1052))</x:f>
        <x:v>0</x:v>
      </x:c>
      <x:c r="K304" s="10" t="n">
        <x:f>MAX(0,MIN(100,H304+I304+J304))</x:f>
        <x:v>40</x:v>
      </x:c>
      <x:c r="L304" s="10" t="str">
        <x:v>Pulsos y offsets: filtrar Instancias por escenario, turno y targetId. Base separada del nivel visible.</x:v>
      </x:c>
    </x:row>
    <x:row r="305" ht="34" customHeight="1">
      <x:c r="A305" s="5" t="str">
        <x:v>S2_VIAL</x:v>
      </x:c>
      <x:c r="B305" s="5" t="n">
        <x:v>7</x:v>
      </x:c>
      <x:c r="C305" s="5" t="str">
        <x:v>derechos</x:v>
      </x:c>
      <x:c r="D305" s="5" t="n">
        <x:f>$H$291</x:f>
        <x:v>55</x:v>
      </x:c>
      <x:c r="E305" s="5" t="n">
        <x:f>0+0</x:f>
        <x:v>0</x:v>
      </x:c>
      <x:c r="F305" s="5" t="n">
        <x:f>0</x:f>
        <x:v>0</x:v>
      </x:c>
      <x:c r="G305" s="5" t="n">
        <x:f>MAX(-'00_Arquitectura'!$B$106,MIN('00_Arquitectura'!$B$106,E305+F305))</x:f>
        <x:v>0</x:v>
      </x:c>
      <x:c r="H305" s="5" t="n">
        <x:f>MAX(0,MIN(100,D305+G305))</x:f>
        <x:v>55</x:v>
      </x:c>
      <x:c r="I305" s="5" t="n">
        <x:f>0</x:f>
        <x:v>0</x:v>
      </x:c>
      <x:c r="J305" s="5" t="n">
        <x:f>MAX(-'00_Arquitectura'!$B$107,MIN('00_Arquitectura'!$B$107,0))</x:f>
        <x:v>0</x:v>
      </x:c>
      <x:c r="K305" s="5" t="n">
        <x:f>MAX(0,MIN(100,H305+I305+J305))</x:f>
        <x:v>55</x:v>
      </x:c>
      <x:c r="L305" s="5" t="str">
        <x:v>Pulsos y offsets: filtrar Instancias por escenario, turno y targetId. Base separada del nivel visible.</x:v>
      </x:c>
    </x:row>
    <x:row r="306" ht="34" customHeight="1">
      <x:c r="A306" s="10" t="str">
        <x:v>S2_VIAL</x:v>
      </x:c>
      <x:c r="B306" s="10" t="n">
        <x:v>7</x:v>
      </x:c>
      <x:c r="C306" s="10" t="str">
        <x:v>ambiente</x:v>
      </x:c>
      <x:c r="D306" s="10" t="n">
        <x:f>$H$292</x:f>
        <x:v>48</x:v>
      </x:c>
      <x:c r="E306" s="10" t="n">
        <x:f>0+0</x:f>
        <x:v>0</x:v>
      </x:c>
      <x:c r="F306" s="10" t="n">
        <x:f>0</x:f>
        <x:v>0</x:v>
      </x:c>
      <x:c r="G306" s="10" t="n">
        <x:f>MAX(-'00_Arquitectura'!$B$106,MIN('00_Arquitectura'!$B$106,E306+F306))</x:f>
        <x:v>0</x:v>
      </x:c>
      <x:c r="H306" s="10" t="n">
        <x:f>MAX(0,MIN(100,D306+G306))</x:f>
        <x:v>48</x:v>
      </x:c>
      <x:c r="I306" s="10" t="n">
        <x:f>0</x:f>
        <x:v>0</x:v>
      </x:c>
      <x:c r="J306" s="10" t="n">
        <x:f>MAX(-'00_Arquitectura'!$B$107,MIN('00_Arquitectura'!$B$107,0))</x:f>
        <x:v>0</x:v>
      </x:c>
      <x:c r="K306" s="10" t="n">
        <x:f>MAX(0,MIN(100,H306+I306+J306))</x:f>
        <x:v>48</x:v>
      </x:c>
      <x:c r="L306" s="10" t="str">
        <x:v>Pulsos y offsets: filtrar Instancias por escenario, turno y targetId. Base separada del nivel visible.</x:v>
      </x:c>
    </x:row>
    <x:row r="307" ht="42" customHeight="1">
      <x:c r="A307" s="5" t="str">
        <x:v>S2_VIAL</x:v>
      </x:c>
      <x:c r="B307" s="5" t="n">
        <x:v>8</x:v>
      </x:c>
      <x:c r="C307" s="5" t="str">
        <x:v>inflacion</x:v>
      </x:c>
      <x:c r="D307" s="5" t="n">
        <x:f>$H$293</x:f>
        <x:v>40</x:v>
      </x:c>
      <x:c r="E307" s="5" t="n">
        <x:f>0+0</x:f>
        <x:v>0</x:v>
      </x:c>
      <x:c r="F307" s="5" t="n">
        <x:f>-'00_Arquitectura'!$B$96*($H$293-40)</x:f>
        <x:v>0</x:v>
      </x:c>
      <x:c r="G307" s="5" t="n">
        <x:f>MAX(-'00_Arquitectura'!$B$106,MIN('00_Arquitectura'!$B$106,E307+F307))</x:f>
        <x:v>0</x:v>
      </x:c>
      <x:c r="H307" s="5" t="n">
        <x:f>MAX(0,MIN(100,D307+G307))</x:f>
        <x:v>40</x:v>
      </x:c>
      <x:c r="I307" s="5" t="n">
        <x:f>0</x:f>
        <x:v>0</x:v>
      </x:c>
      <x:c r="J307" s="5" t="n">
        <x:f>MAX(-'00_Arquitectura'!$B$107,MIN('00_Arquitectura'!$B$107,0))</x:f>
        <x:v>0</x:v>
      </x:c>
      <x:c r="K307" s="5" t="n">
        <x:f>MAX(0,MIN(100,H307+I307+J307))</x:f>
        <x:v>40</x:v>
      </x:c>
      <x:c r="L307" s="5" t="str">
        <x:v>Aplica link L01. Pulsos y offsets: filtrar Instancias por escenario, turno y targetId. Base separada del nivel visible.</x:v>
      </x:c>
    </x:row>
    <x:row r="308" ht="42" customHeight="1">
      <x:c r="A308" s="10" t="str">
        <x:v>S2_VIAL</x:v>
      </x:c>
      <x:c r="B308" s="10" t="n">
        <x:v>8</x:v>
      </x:c>
      <x:c r="C308" s="10" t="str">
        <x:v>actividad</x:v>
      </x:c>
      <x:c r="D308" s="10" t="n">
        <x:f>$H$294</x:f>
        <x:v>51.145963200000004</x:v>
      </x:c>
      <x:c r="E308" s="10" t="n">
        <x:f>0+0</x:f>
        <x:v>0</x:v>
      </x:c>
      <x:c r="F308" s="10" t="n">
        <x:f>-'00_Arquitectura'!$B$97*($H$294-50)+'00_Arquitectura'!$B$98*($K$296-45)+'00_Arquitectura'!$B$99*($K$299-45)+'00_Arquitectura'!$B$100*($K$298-45)</x:f>
        <x:v>0.27289820479999916</x:v>
      </x:c>
      <x:c r="G308" s="10" t="n">
        <x:f>MAX(-'00_Arquitectura'!$B$106,MIN('00_Arquitectura'!$B$106,E308+F308))</x:f>
        <x:v>0.27289820479999916</x:v>
      </x:c>
      <x:c r="H308" s="10" t="n">
        <x:f>MAX(0,MIN(100,D308+G308))</x:f>
        <x:v>51.418861404800005</x:v>
      </x:c>
      <x:c r="I308" s="10" t="n">
        <x:f>0</x:f>
        <x:v>0</x:v>
      </x:c>
      <x:c r="J308" s="10" t="n">
        <x:f>MAX(-'00_Arquitectura'!$B$107,MIN('00_Arquitectura'!$B$107,$J$1061+$J$1064+$J$1065))</x:f>
        <x:v>0</x:v>
      </x:c>
      <x:c r="K308" s="10" t="n">
        <x:f>MAX(0,MIN(100,H308+I308+J308))</x:f>
        <x:v>51.418861404800005</x:v>
      </x:c>
      <x:c r="L308" s="10" t="str">
        <x:v>Aplica link L02. Pulsos y offsets: filtrar Instancias por escenario, turno y targetId. Base separada del nivel visible.</x:v>
      </x:c>
    </x:row>
    <x:row r="309" ht="42" customHeight="1">
      <x:c r="A309" s="5" t="str">
        <x:v>S2_VIAL</x:v>
      </x:c>
      <x:c r="B309" s="5" t="n">
        <x:v>8</x:v>
      </x:c>
      <x:c r="C309" s="5" t="str">
        <x:v>ingreso_real</x:v>
      </x:c>
      <x:c r="D309" s="5" t="n">
        <x:f>$H$295</x:f>
        <x:v>45.119954400000005</x:v>
      </x:c>
      <x:c r="E309" s="5" t="n">
        <x:f>0+0</x:f>
        <x:v>0</x:v>
      </x:c>
      <x:c r="F309" s="5" t="n">
        <x:f>'00_Arquitectura'!$B$101*($K$294-$K$280)+'00_Arquitectura'!$B$102*($K$293-$K$279)</x:f>
        <x:v>0.051940079999999965</x:v>
      </x:c>
      <x:c r="G309" s="5" t="n">
        <x:f>MAX(-'00_Arquitectura'!$B$106,MIN('00_Arquitectura'!$B$106,E309+F309))</x:f>
        <x:v>0.051940079999999965</x:v>
      </x:c>
      <x:c r="H309" s="5" t="n">
        <x:f>MAX(0,MIN(100,D309+G309))</x:f>
        <x:v>45.171894480000006</x:v>
      </x:c>
      <x:c r="I309" s="5" t="n">
        <x:f>0</x:f>
        <x:v>0</x:v>
      </x:c>
      <x:c r="J309" s="5" t="n">
        <x:f>MAX(-'00_Arquitectura'!$B$107,MIN('00_Arquitectura'!$B$107,0))</x:f>
        <x:v>0</x:v>
      </x:c>
      <x:c r="K309" s="5" t="n">
        <x:f>MAX(0,MIN(100,H309+I309+J309))</x:f>
        <x:v>45.171894480000006</x:v>
      </x:c>
      <x:c r="L309" s="5" t="str">
        <x:v>Aplica link L03. Pulsos y offsets: filtrar Instancias por escenario, turno y targetId. Base separada del nivel visible.</x:v>
      </x:c>
    </x:row>
    <x:row r="310" ht="42" customHeight="1">
      <x:c r="A310" s="10" t="str">
        <x:v>S2_VIAL</x:v>
      </x:c>
      <x:c r="B310" s="10" t="n">
        <x:v>8</x:v>
      </x:c>
      <x:c r="C310" s="10" t="str">
        <x:v>credito</x:v>
      </x:c>
      <x:c r="D310" s="10" t="n">
        <x:f>$H$296</x:f>
        <x:v>44.90113556</x:v>
      </x:c>
      <x:c r="E310" s="10" t="n">
        <x:f>0+0</x:f>
        <x:v>0</x:v>
      </x:c>
      <x:c r="F310" s="10" t="n">
        <x:f>-'00_Arquitectura'!$B$103*($H$296-45)+'00_Arquitectura'!$B$104*($K$293-$K$279)+'00_Arquitectura'!$B$105*($K$297-'00_Arquitectura'!$B$117)</x:f>
        <x:v>-0.041971549999999955</x:v>
      </x:c>
      <x:c r="G310" s="10" t="n">
        <x:f>MAX(-'00_Arquitectura'!$B$106,MIN('00_Arquitectura'!$B$106,E310+F310))</x:f>
        <x:v>-0.041971549999999955</x:v>
      </x:c>
      <x:c r="H310" s="10" t="n">
        <x:f>MAX(0,MIN(100,D310+G310))</x:f>
        <x:v>44.85916401</x:v>
      </x:c>
      <x:c r="I310" s="10" t="n">
        <x:f>0</x:f>
        <x:v>0</x:v>
      </x:c>
      <x:c r="J310" s="10" t="n">
        <x:f>MAX(-'00_Arquitectura'!$B$107,MIN('00_Arquitectura'!$B$107,$J$1063))</x:f>
        <x:v>0</x:v>
      </x:c>
      <x:c r="K310" s="10" t="n">
        <x:f>MAX(0,MIN(100,H310+I310+J310))</x:f>
        <x:v>44.85916401</x:v>
      </x:c>
      <x:c r="L310" s="10" t="str">
        <x:v>Aplica link L04. Pulsos y offsets: filtrar Instancias por escenario, turno y targetId. Base separada del nivel visible.</x:v>
      </x:c>
    </x:row>
    <x:row r="311" ht="34" customHeight="1">
      <x:c r="A311" s="5" t="str">
        <x:v>S2_VIAL</x:v>
      </x:c>
      <x:c r="B311" s="5" t="n">
        <x:v>8</x:v>
      </x:c>
      <x:c r="C311" s="5" t="str">
        <x:v>fiscal</x:v>
      </x:c>
      <x:c r="D311" s="5" t="n">
        <x:f>$H$297</x:f>
        <x:v>55.159939200000004</x:v>
      </x:c>
      <x:c r="E311" s="5" t="n">
        <x:f>0+0</x:f>
        <x:v>0</x:v>
      </x:c>
      <x:c r="F311" s="5" t="n">
        <x:f>0</x:f>
        <x:v>0</x:v>
      </x:c>
      <x:c r="G311" s="5" t="n">
        <x:f>MAX(-'00_Arquitectura'!$B$106,MIN('00_Arquitectura'!$B$106,E311+F311))</x:f>
        <x:v>0</x:v>
      </x:c>
      <x:c r="H311" s="5" t="n">
        <x:f>$O$32</x:f>
        <x:v>55.22919264</x:v>
      </x:c>
      <x:c r="I311" s="5" t="n">
        <x:f>0</x:f>
        <x:v>0</x:v>
      </x:c>
      <x:c r="J311" s="5" t="n">
        <x:f>MAX(-'00_Arquitectura'!$B$107,MIN('00_Arquitectura'!$B$107,0))</x:f>
        <x:v>0</x:v>
      </x:c>
      <x:c r="K311" s="5" t="n">
        <x:f>MAX(0,MIN(100,H311+I311+J311))</x:f>
        <x:v>55.22919264</x:v>
      </x:c>
      <x:c r="L311" s="5" t="str">
        <x:v>Derivado de caja: ingreso recurrente, gasto, intereses y deuda. Nunca SUM de efectos fiscales directos.</x:v>
      </x:c>
    </x:row>
    <x:row r="312" ht="34" customHeight="1">
      <x:c r="A312" s="10" t="str">
        <x:v>S2_VIAL</x:v>
      </x:c>
      <x:c r="B312" s="10" t="n">
        <x:v>8</x:v>
      </x:c>
      <x:c r="C312" s="10" t="str">
        <x:v>externo</x:v>
      </x:c>
      <x:c r="D312" s="10" t="n">
        <x:f>$H$298</x:f>
        <x:v>48</x:v>
      </x:c>
      <x:c r="E312" s="10" t="n">
        <x:f>0+0</x:f>
        <x:v>0</x:v>
      </x:c>
      <x:c r="F312" s="10" t="n">
        <x:f>0</x:f>
        <x:v>0</x:v>
      </x:c>
      <x:c r="G312" s="10" t="n">
        <x:f>MAX(-'00_Arquitectura'!$B$106,MIN('00_Arquitectura'!$B$106,E312+F312))</x:f>
        <x:v>0</x:v>
      </x:c>
      <x:c r="H312" s="10" t="n">
        <x:f>MAX(0,MIN(100,D312+G312))</x:f>
        <x:v>48</x:v>
      </x:c>
      <x:c r="I312" s="10" t="n">
        <x:f>0</x:f>
        <x:v>0</x:v>
      </x:c>
      <x:c r="J312" s="10" t="n">
        <x:f>MAX(-'00_Arquitectura'!$B$107,MIN('00_Arquitectura'!$B$107,$J$1062))</x:f>
        <x:v>0</x:v>
      </x:c>
      <x:c r="K312" s="10" t="n">
        <x:f>MAX(0,MIN(100,H312+I312+J312))</x:f>
        <x:v>48</x:v>
      </x:c>
      <x:c r="L312" s="10" t="str">
        <x:v>Pulsos y offsets: filtrar Instancias por escenario, turno y targetId. Base separada del nivel visible.</x:v>
      </x:c>
    </x:row>
    <x:row r="313" ht="34" customHeight="1">
      <x:c r="A313" s="5" t="str">
        <x:v>S2_VIAL</x:v>
      </x:c>
      <x:c r="B313" s="5" t="n">
        <x:v>8</x:v>
      </x:c>
      <x:c r="C313" s="5" t="str">
        <x:v>infraestructura</x:v>
      </x:c>
      <x:c r="D313" s="5" t="n">
        <x:f>$H$299</x:f>
        <x:v>51</x:v>
      </x:c>
      <x:c r="E313" s="5" t="n">
        <x:f>0+0</x:f>
        <x:v>0</x:v>
      </x:c>
      <x:c r="F313" s="5" t="n">
        <x:f>0</x:f>
        <x:v>0</x:v>
      </x:c>
      <x:c r="G313" s="5" t="n">
        <x:f>MAX(-'00_Arquitectura'!$B$106,MIN('00_Arquitectura'!$B$106,E313+F313))</x:f>
        <x:v>0</x:v>
      </x:c>
      <x:c r="H313" s="5" t="n">
        <x:f>MAX(0,MIN(100,D313+G313))</x:f>
        <x:v>51</x:v>
      </x:c>
      <x:c r="I313" s="5" t="n">
        <x:f>0</x:f>
        <x:v>0</x:v>
      </x:c>
      <x:c r="J313" s="5" t="n">
        <x:f>MAX(-'00_Arquitectura'!$B$107,MIN('00_Arquitectura'!$B$107,0))</x:f>
        <x:v>0</x:v>
      </x:c>
      <x:c r="K313" s="5" t="n">
        <x:f>MAX(0,MIN(100,H313+I313+J313))</x:f>
        <x:v>51</x:v>
      </x:c>
      <x:c r="L313" s="5" t="str">
        <x:v>Pulsos y offsets: filtrar Instancias por escenario, turno y targetId. Base separada del nivel visible.</x:v>
      </x:c>
    </x:row>
    <x:row r="314" ht="34" customHeight="1">
      <x:c r="A314" s="10" t="str">
        <x:v>S2_VIAL</x:v>
      </x:c>
      <x:c r="B314" s="10" t="n">
        <x:v>8</x:v>
      </x:c>
      <x:c r="C314" s="10" t="str">
        <x:v>educacion</x:v>
      </x:c>
      <x:c r="D314" s="10" t="n">
        <x:f>$H$300</x:f>
        <x:v>50</x:v>
      </x:c>
      <x:c r="E314" s="10" t="n">
        <x:f>0+0</x:f>
        <x:v>0</x:v>
      </x:c>
      <x:c r="F314" s="10" t="n">
        <x:f>0</x:f>
        <x:v>0</x:v>
      </x:c>
      <x:c r="G314" s="10" t="n">
        <x:f>MAX(-'00_Arquitectura'!$B$106,MIN('00_Arquitectura'!$B$106,E314+F314))</x:f>
        <x:v>0</x:v>
      </x:c>
      <x:c r="H314" s="10" t="n">
        <x:f>MAX(0,MIN(100,D314+G314))</x:f>
        <x:v>50</x:v>
      </x:c>
      <x:c r="I314" s="10" t="n">
        <x:f>0</x:f>
        <x:v>0</x:v>
      </x:c>
      <x:c r="J314" s="10" t="n">
        <x:f>MAX(-'00_Arquitectura'!$B$107,MIN('00_Arquitectura'!$B$107,$J$1069))</x:f>
        <x:v>0</x:v>
      </x:c>
      <x:c r="K314" s="10" t="n">
        <x:f>MAX(0,MIN(100,H314+I314+J314))</x:f>
        <x:v>50</x:v>
      </x:c>
      <x:c r="L314" s="10" t="str">
        <x:v>Pulsos y offsets: filtrar Instancias por escenario, turno y targetId. Base separada del nivel visible.</x:v>
      </x:c>
    </x:row>
    <x:row r="315" ht="34" customHeight="1">
      <x:c r="A315" s="5" t="str">
        <x:v>S2_VIAL</x:v>
      </x:c>
      <x:c r="B315" s="5" t="n">
        <x:v>8</x:v>
      </x:c>
      <x:c r="C315" s="5" t="str">
        <x:v>salud</x:v>
      </x:c>
      <x:c r="D315" s="5" t="n">
        <x:f>$H$301</x:f>
        <x:v>50</x:v>
      </x:c>
      <x:c r="E315" s="5" t="n">
        <x:f>0+0</x:f>
        <x:v>0</x:v>
      </x:c>
      <x:c r="F315" s="5" t="n">
        <x:f>0</x:f>
        <x:v>0</x:v>
      </x:c>
      <x:c r="G315" s="5" t="n">
        <x:f>MAX(-'00_Arquitectura'!$B$106,MIN('00_Arquitectura'!$B$106,E315+F315))</x:f>
        <x:v>0</x:v>
      </x:c>
      <x:c r="H315" s="5" t="n">
        <x:f>MAX(0,MIN(100,D315+G315))</x:f>
        <x:v>50</x:v>
      </x:c>
      <x:c r="I315" s="5" t="n">
        <x:f>0</x:f>
        <x:v>0</x:v>
      </x:c>
      <x:c r="J315" s="5" t="n">
        <x:f>MAX(-'00_Arquitectura'!$B$107,MIN('00_Arquitectura'!$B$107,0))</x:f>
        <x:v>0</x:v>
      </x:c>
      <x:c r="K315" s="5" t="n">
        <x:f>MAX(0,MIN(100,H315+I315+J315))</x:f>
        <x:v>50</x:v>
      </x:c>
      <x:c r="L315" s="5" t="str">
        <x:v>Pulsos y offsets: filtrar Instancias por escenario, turno y targetId. Base separada del nivel visible.</x:v>
      </x:c>
    </x:row>
    <x:row r="316" ht="34" customHeight="1">
      <x:c r="A316" s="10" t="str">
        <x:v>S2_VIAL</x:v>
      </x:c>
      <x:c r="B316" s="10" t="n">
        <x:v>8</x:v>
      </x:c>
      <x:c r="C316" s="10" t="str">
        <x:v>proteccion</x:v>
      </x:c>
      <x:c r="D316" s="10" t="n">
        <x:f>$H$302</x:f>
        <x:v>45</x:v>
      </x:c>
      <x:c r="E316" s="10" t="n">
        <x:f>0+0</x:f>
        <x:v>0</x:v>
      </x:c>
      <x:c r="F316" s="10" t="n">
        <x:f>0</x:f>
        <x:v>0</x:v>
      </x:c>
      <x:c r="G316" s="10" t="n">
        <x:f>MAX(-'00_Arquitectura'!$B$106,MIN('00_Arquitectura'!$B$106,E316+F316))</x:f>
        <x:v>0</x:v>
      </x:c>
      <x:c r="H316" s="10" t="n">
        <x:f>MAX(0,MIN(100,D316+G316))</x:f>
        <x:v>45</x:v>
      </x:c>
      <x:c r="I316" s="10" t="n">
        <x:f>0</x:f>
        <x:v>0</x:v>
      </x:c>
      <x:c r="J316" s="10" t="n">
        <x:f>MAX(-'00_Arquitectura'!$B$107,MIN('00_Arquitectura'!$B$107,$J$1067+$J$1071))</x:f>
        <x:v>0</x:v>
      </x:c>
      <x:c r="K316" s="10" t="n">
        <x:f>MAX(0,MIN(100,H316+I316+J316))</x:f>
        <x:v>45</x:v>
      </x:c>
      <x:c r="L316" s="10" t="str">
        <x:v>Pulsos y offsets: filtrar Instancias por escenario, turno y targetId. Base separada del nivel visible.</x:v>
      </x:c>
    </x:row>
    <x:row r="317" ht="34" customHeight="1">
      <x:c r="A317" s="5" t="str">
        <x:v>S2_VIAL</x:v>
      </x:c>
      <x:c r="B317" s="5" t="n">
        <x:v>8</x:v>
      </x:c>
      <x:c r="C317" s="5" t="str">
        <x:v>seguridad</x:v>
      </x:c>
      <x:c r="D317" s="5" t="n">
        <x:f>$H$303</x:f>
        <x:v>45</x:v>
      </x:c>
      <x:c r="E317" s="5" t="n">
        <x:f>0+0</x:f>
        <x:v>0</x:v>
      </x:c>
      <x:c r="F317" s="5" t="n">
        <x:f>0</x:f>
        <x:v>0</x:v>
      </x:c>
      <x:c r="G317" s="5" t="n">
        <x:f>MAX(-'00_Arquitectura'!$B$106,MIN('00_Arquitectura'!$B$106,E317+F317))</x:f>
        <x:v>0</x:v>
      </x:c>
      <x:c r="H317" s="5" t="n">
        <x:f>MAX(0,MIN(100,D317+G317))</x:f>
        <x:v>45</x:v>
      </x:c>
      <x:c r="I317" s="5" t="n">
        <x:f>0</x:f>
        <x:v>0</x:v>
      </x:c>
      <x:c r="J317" s="5" t="n">
        <x:f>MAX(-'00_Arquitectura'!$B$107,MIN('00_Arquitectura'!$B$107,0))</x:f>
        <x:v>0</x:v>
      </x:c>
      <x:c r="K317" s="5" t="n">
        <x:f>MAX(0,MIN(100,H317+I317+J317))</x:f>
        <x:v>45</x:v>
      </x:c>
      <x:c r="L317" s="5" t="str">
        <x:v>Pulsos y offsets: filtrar Instancias por escenario, turno y targetId. Base separada del nivel visible.</x:v>
      </x:c>
    </x:row>
    <x:row r="318" ht="34" customHeight="1">
      <x:c r="A318" s="10" t="str">
        <x:v>S2_VIAL</x:v>
      </x:c>
      <x:c r="B318" s="10" t="n">
        <x:v>8</x:v>
      </x:c>
      <x:c r="C318" s="10" t="str">
        <x:v>ciencia</x:v>
      </x:c>
      <x:c r="D318" s="10" t="n">
        <x:f>$H$304</x:f>
        <x:v>40</x:v>
      </x:c>
      <x:c r="E318" s="10" t="n">
        <x:f>0+0</x:f>
        <x:v>0</x:v>
      </x:c>
      <x:c r="F318" s="10" t="n">
        <x:f>0</x:f>
        <x:v>0</x:v>
      </x:c>
      <x:c r="G318" s="10" t="n">
        <x:f>MAX(-'00_Arquitectura'!$B$106,MIN('00_Arquitectura'!$B$106,E318+F318))</x:f>
        <x:v>0</x:v>
      </x:c>
      <x:c r="H318" s="10" t="n">
        <x:f>MAX(0,MIN(100,D318+G318))</x:f>
        <x:v>40</x:v>
      </x:c>
      <x:c r="I318" s="10" t="n">
        <x:f>0</x:f>
        <x:v>0</x:v>
      </x:c>
      <x:c r="J318" s="10" t="n">
        <x:f>MAX(-'00_Arquitectura'!$B$107,MIN('00_Arquitectura'!$B$107,$J$1070))</x:f>
        <x:v>0</x:v>
      </x:c>
      <x:c r="K318" s="10" t="n">
        <x:f>MAX(0,MIN(100,H318+I318+J318))</x:f>
        <x:v>40</x:v>
      </x:c>
      <x:c r="L318" s="10" t="str">
        <x:v>Pulsos y offsets: filtrar Instancias por escenario, turno y targetId. Base separada del nivel visible.</x:v>
      </x:c>
    </x:row>
    <x:row r="319" ht="34" customHeight="1">
      <x:c r="A319" s="5" t="str">
        <x:v>S2_VIAL</x:v>
      </x:c>
      <x:c r="B319" s="5" t="n">
        <x:v>8</x:v>
      </x:c>
      <x:c r="C319" s="5" t="str">
        <x:v>derechos</x:v>
      </x:c>
      <x:c r="D319" s="5" t="n">
        <x:f>$H$305</x:f>
        <x:v>55</x:v>
      </x:c>
      <x:c r="E319" s="5" t="n">
        <x:f>0+0</x:f>
        <x:v>0</x:v>
      </x:c>
      <x:c r="F319" s="5" t="n">
        <x:f>0</x:f>
        <x:v>0</x:v>
      </x:c>
      <x:c r="G319" s="5" t="n">
        <x:f>MAX(-'00_Arquitectura'!$B$106,MIN('00_Arquitectura'!$B$106,E319+F319))</x:f>
        <x:v>0</x:v>
      </x:c>
      <x:c r="H319" s="5" t="n">
        <x:f>MAX(0,MIN(100,D319+G319))</x:f>
        <x:v>55</x:v>
      </x:c>
      <x:c r="I319" s="5" t="n">
        <x:f>0</x:f>
        <x:v>0</x:v>
      </x:c>
      <x:c r="J319" s="5" t="n">
        <x:f>MAX(-'00_Arquitectura'!$B$107,MIN('00_Arquitectura'!$B$107,0))</x:f>
        <x:v>0</x:v>
      </x:c>
      <x:c r="K319" s="5" t="n">
        <x:f>MAX(0,MIN(100,H319+I319+J319))</x:f>
        <x:v>55</x:v>
      </x:c>
      <x:c r="L319" s="5" t="str">
        <x:v>Pulsos y offsets: filtrar Instancias por escenario, turno y targetId. Base separada del nivel visible.</x:v>
      </x:c>
    </x:row>
    <x:row r="320" ht="34" customHeight="1">
      <x:c r="A320" s="10" t="str">
        <x:v>S2_VIAL</x:v>
      </x:c>
      <x:c r="B320" s="10" t="n">
        <x:v>8</x:v>
      </x:c>
      <x:c r="C320" s="10" t="str">
        <x:v>ambiente</x:v>
      </x:c>
      <x:c r="D320" s="10" t="n">
        <x:f>$H$306</x:f>
        <x:v>48</x:v>
      </x:c>
      <x:c r="E320" s="10" t="n">
        <x:f>0+0</x:f>
        <x:v>0</x:v>
      </x:c>
      <x:c r="F320" s="10" t="n">
        <x:f>0</x:f>
        <x:v>0</x:v>
      </x:c>
      <x:c r="G320" s="10" t="n">
        <x:f>MAX(-'00_Arquitectura'!$B$106,MIN('00_Arquitectura'!$B$106,E320+F320))</x:f>
        <x:v>0</x:v>
      </x:c>
      <x:c r="H320" s="10" t="n">
        <x:f>MAX(0,MIN(100,D320+G320))</x:f>
        <x:v>48</x:v>
      </x:c>
      <x:c r="I320" s="10" t="n">
        <x:f>0</x:f>
        <x:v>0</x:v>
      </x:c>
      <x:c r="J320" s="10" t="n">
        <x:f>MAX(-'00_Arquitectura'!$B$107,MIN('00_Arquitectura'!$B$107,0))</x:f>
        <x:v>0</x:v>
      </x:c>
      <x:c r="K320" s="10" t="n">
        <x:f>MAX(0,MIN(100,H320+I320+J320))</x:f>
        <x:v>48</x:v>
      </x:c>
      <x:c r="L320" s="10" t="str">
        <x:v>Pulsos y offsets: filtrar Instancias por escenario, turno y targetId. Base separada del nivel visible.</x:v>
      </x:c>
    </x:row>
    <x:row r="321" ht="42" customHeight="1">
      <x:c r="A321" s="5" t="str">
        <x:v>S2_VIAL</x:v>
      </x:c>
      <x:c r="B321" s="5" t="n">
        <x:v>9</x:v>
      </x:c>
      <x:c r="C321" s="5" t="str">
        <x:v>inflacion</x:v>
      </x:c>
      <x:c r="D321" s="5" t="n">
        <x:f>$H$307</x:f>
        <x:v>40</x:v>
      </x:c>
      <x:c r="E321" s="5" t="n">
        <x:f>0+0</x:f>
        <x:v>0</x:v>
      </x:c>
      <x:c r="F321" s="5" t="n">
        <x:f>-'00_Arquitectura'!$B$96*($H$307-40)</x:f>
        <x:v>0</x:v>
      </x:c>
      <x:c r="G321" s="5" t="n">
        <x:f>MAX(-'00_Arquitectura'!$B$106,MIN('00_Arquitectura'!$B$106,E321+F321))</x:f>
        <x:v>0</x:v>
      </x:c>
      <x:c r="H321" s="5" t="n">
        <x:f>MAX(0,MIN(100,D321+G321))</x:f>
        <x:v>40</x:v>
      </x:c>
      <x:c r="I321" s="5" t="n">
        <x:f>0</x:f>
        <x:v>0</x:v>
      </x:c>
      <x:c r="J321" s="5" t="n">
        <x:f>MAX(-'00_Arquitectura'!$B$107,MIN('00_Arquitectura'!$B$107,0))</x:f>
        <x:v>0</x:v>
      </x:c>
      <x:c r="K321" s="5" t="n">
        <x:f>MAX(0,MIN(100,H321+I321+J321))</x:f>
        <x:v>40</x:v>
      </x:c>
      <x:c r="L321" s="5" t="str">
        <x:v>Aplica link L01. Pulsos y offsets: filtrar Instancias por escenario, turno y targetId. Base separada del nivel visible.</x:v>
      </x:c>
    </x:row>
    <x:row r="322" ht="42" customHeight="1">
      <x:c r="A322" s="10" t="str">
        <x:v>S2_VIAL</x:v>
      </x:c>
      <x:c r="B322" s="10" t="n">
        <x:v>9</x:v>
      </x:c>
      <x:c r="C322" s="10" t="str">
        <x:v>actividad</x:v>
      </x:c>
      <x:c r="D322" s="10" t="n">
        <x:f>$H$308</x:f>
        <x:v>51.418861404800005</x:v>
      </x:c>
      <x:c r="E322" s="10" t="n">
        <x:f>0+0</x:f>
        <x:v>0</x:v>
      </x:c>
      <x:c r="F322" s="10" t="n">
        <x:f>-'00_Arquitectura'!$B$97*($H$308-50)+'00_Arquitectura'!$B$98*($K$310-45)+'00_Arquitectura'!$B$99*($K$313-45)+'00_Arquitectura'!$B$100*($K$312-45)</x:f>
        <x:v>0.21496083983999908</x:v>
      </x:c>
      <x:c r="G322" s="10" t="n">
        <x:f>MAX(-'00_Arquitectura'!$B$106,MIN('00_Arquitectura'!$B$106,E322+F322))</x:f>
        <x:v>0.21496083983999908</x:v>
      </x:c>
      <x:c r="H322" s="10" t="n">
        <x:f>MAX(0,MIN(100,D322+G322))</x:f>
        <x:v>51.63382224464</x:v>
      </x:c>
      <x:c r="I322" s="10" t="n">
        <x:f>0</x:f>
        <x:v>0</x:v>
      </x:c>
      <x:c r="J322" s="10" t="n">
        <x:f>MAX(-'00_Arquitectura'!$B$107,MIN('00_Arquitectura'!$B$107,$J$1079+$J$1082+$J$1083))</x:f>
        <x:v>0</x:v>
      </x:c>
      <x:c r="K322" s="10" t="n">
        <x:f>MAX(0,MIN(100,H322+I322+J322))</x:f>
        <x:v>51.63382224464</x:v>
      </x:c>
      <x:c r="L322" s="10" t="str">
        <x:v>Aplica link L02. Pulsos y offsets: filtrar Instancias por escenario, turno y targetId. Base separada del nivel visible.</x:v>
      </x:c>
    </x:row>
    <x:row r="323" ht="42" customHeight="1">
      <x:c r="A323" s="5" t="str">
        <x:v>S2_VIAL</x:v>
      </x:c>
      <x:c r="B323" s="5" t="n">
        <x:v>9</x:v>
      </x:c>
      <x:c r="C323" s="5" t="str">
        <x:v>ingreso_real</x:v>
      </x:c>
      <x:c r="D323" s="5" t="n">
        <x:f>$H$309</x:f>
        <x:v>45.171894480000006</x:v>
      </x:c>
      <x:c r="E323" s="5" t="n">
        <x:f>0+0</x:f>
        <x:v>0</x:v>
      </x:c>
      <x:c r="F323" s="5" t="n">
        <x:f>'00_Arquitectura'!$B$101*($K$308-$K$294)+'00_Arquitectura'!$B$102*($K$307-$K$293)</x:f>
        <x:v>0.04093473072000009</x:v>
      </x:c>
      <x:c r="G323" s="5" t="n">
        <x:f>MAX(-'00_Arquitectura'!$B$106,MIN('00_Arquitectura'!$B$106,E323+F323))</x:f>
        <x:v>0.04093473072000009</x:v>
      </x:c>
      <x:c r="H323" s="5" t="n">
        <x:f>MAX(0,MIN(100,D323+G323))</x:f>
        <x:v>45.21282921072</x:v>
      </x:c>
      <x:c r="I323" s="5" t="n">
        <x:f>0</x:f>
        <x:v>0</x:v>
      </x:c>
      <x:c r="J323" s="5" t="n">
        <x:f>MAX(-'00_Arquitectura'!$B$107,MIN('00_Arquitectura'!$B$107,0))</x:f>
        <x:v>0</x:v>
      </x:c>
      <x:c r="K323" s="5" t="n">
        <x:f>MAX(0,MIN(100,H323+I323+J323))</x:f>
        <x:v>45.21282921072</x:v>
      </x:c>
      <x:c r="L323" s="5" t="str">
        <x:v>Aplica link L03. Pulsos y offsets: filtrar Instancias por escenario, turno y targetId. Base separada del nivel visible.</x:v>
      </x:c>
    </x:row>
    <x:row r="324" ht="42" customHeight="1">
      <x:c r="A324" s="10" t="str">
        <x:v>S2_VIAL</x:v>
      </x:c>
      <x:c r="B324" s="10" t="n">
        <x:v>9</x:v>
      </x:c>
      <x:c r="C324" s="10" t="str">
        <x:v>credito</x:v>
      </x:c>
      <x:c r="D324" s="10" t="n">
        <x:f>$H$310</x:f>
        <x:v>44.85916401</x:v>
      </x:c>
      <x:c r="E324" s="10" t="n">
        <x:f>0+0</x:f>
        <x:v>0</x:v>
      </x:c>
      <x:c r="F324" s="10" t="n">
        <x:f>-'00_Arquitectura'!$B$103*($H$310-45)+'00_Arquitectura'!$B$104*($K$307-$K$293)+'00_Arquitectura'!$B$105*($K$311-'00_Arquitectura'!$B$117)</x:f>
        <x:v>-0.03429074870000008</x:v>
      </x:c>
      <x:c r="G324" s="10" t="n">
        <x:f>MAX(-'00_Arquitectura'!$B$106,MIN('00_Arquitectura'!$B$106,E324+F324))</x:f>
        <x:v>-0.03429074870000008</x:v>
      </x:c>
      <x:c r="H324" s="10" t="n">
        <x:f>MAX(0,MIN(100,D324+G324))</x:f>
        <x:v>44.8248732613</x:v>
      </x:c>
      <x:c r="I324" s="10" t="n">
        <x:f>0</x:f>
        <x:v>0</x:v>
      </x:c>
      <x:c r="J324" s="10" t="n">
        <x:f>MAX(-'00_Arquitectura'!$B$107,MIN('00_Arquitectura'!$B$107,$J$1081))</x:f>
        <x:v>0</x:v>
      </x:c>
      <x:c r="K324" s="10" t="n">
        <x:f>MAX(0,MIN(100,H324+I324+J324))</x:f>
        <x:v>44.8248732613</x:v>
      </x:c>
      <x:c r="L324" s="10" t="str">
        <x:v>Aplica link L04. Pulsos y offsets: filtrar Instancias por escenario, turno y targetId. Base separada del nivel visible.</x:v>
      </x:c>
    </x:row>
    <x:row r="325" ht="34" customHeight="1">
      <x:c r="A325" s="5" t="str">
        <x:v>S2_VIAL</x:v>
      </x:c>
      <x:c r="B325" s="5" t="n">
        <x:v>9</x:v>
      </x:c>
      <x:c r="C325" s="5" t="str">
        <x:v>fiscal</x:v>
      </x:c>
      <x:c r="D325" s="5" t="n">
        <x:f>$H$311</x:f>
        <x:v>55.22919264</x:v>
      </x:c>
      <x:c r="E325" s="5" t="n">
        <x:f>0+0</x:f>
        <x:v>0</x:v>
      </x:c>
      <x:c r="F325" s="5" t="n">
        <x:f>0</x:f>
        <x:v>0</x:v>
      </x:c>
      <x:c r="G325" s="5" t="n">
        <x:f>MAX(-'00_Arquitectura'!$B$106,MIN('00_Arquitectura'!$B$106,E325+F325))</x:f>
        <x:v>0</x:v>
      </x:c>
      <x:c r="H325" s="5" t="n">
        <x:f>$O$33</x:f>
        <x:v>55.28377228096</x:v>
      </x:c>
      <x:c r="I325" s="5" t="n">
        <x:f>0</x:f>
        <x:v>0</x:v>
      </x:c>
      <x:c r="J325" s="5" t="n">
        <x:f>MAX(-'00_Arquitectura'!$B$107,MIN('00_Arquitectura'!$B$107,0))</x:f>
        <x:v>0</x:v>
      </x:c>
      <x:c r="K325" s="5" t="n">
        <x:f>MAX(0,MIN(100,H325+I325+J325))</x:f>
        <x:v>55.28377228096</x:v>
      </x:c>
      <x:c r="L325" s="5" t="str">
        <x:v>Derivado de caja: ingreso recurrente, gasto, intereses y deuda. Nunca SUM de efectos fiscales directos.</x:v>
      </x:c>
    </x:row>
    <x:row r="326" ht="34" customHeight="1">
      <x:c r="A326" s="10" t="str">
        <x:v>S2_VIAL</x:v>
      </x:c>
      <x:c r="B326" s="10" t="n">
        <x:v>9</x:v>
      </x:c>
      <x:c r="C326" s="10" t="str">
        <x:v>externo</x:v>
      </x:c>
      <x:c r="D326" s="10" t="n">
        <x:f>$H$312</x:f>
        <x:v>48</x:v>
      </x:c>
      <x:c r="E326" s="10" t="n">
        <x:f>0+0</x:f>
        <x:v>0</x:v>
      </x:c>
      <x:c r="F326" s="10" t="n">
        <x:f>0</x:f>
        <x:v>0</x:v>
      </x:c>
      <x:c r="G326" s="10" t="n">
        <x:f>MAX(-'00_Arquitectura'!$B$106,MIN('00_Arquitectura'!$B$106,E326+F326))</x:f>
        <x:v>0</x:v>
      </x:c>
      <x:c r="H326" s="10" t="n">
        <x:f>MAX(0,MIN(100,D326+G326))</x:f>
        <x:v>48</x:v>
      </x:c>
      <x:c r="I326" s="10" t="n">
        <x:f>0</x:f>
        <x:v>0</x:v>
      </x:c>
      <x:c r="J326" s="10" t="n">
        <x:f>MAX(-'00_Arquitectura'!$B$107,MIN('00_Arquitectura'!$B$107,$J$1080))</x:f>
        <x:v>0</x:v>
      </x:c>
      <x:c r="K326" s="10" t="n">
        <x:f>MAX(0,MIN(100,H326+I326+J326))</x:f>
        <x:v>48</x:v>
      </x:c>
      <x:c r="L326" s="10" t="str">
        <x:v>Pulsos y offsets: filtrar Instancias por escenario, turno y targetId. Base separada del nivel visible.</x:v>
      </x:c>
    </x:row>
    <x:row r="327" ht="34" customHeight="1">
      <x:c r="A327" s="5" t="str">
        <x:v>S2_VIAL</x:v>
      </x:c>
      <x:c r="B327" s="5" t="n">
        <x:v>9</x:v>
      </x:c>
      <x:c r="C327" s="5" t="str">
        <x:v>infraestructura</x:v>
      </x:c>
      <x:c r="D327" s="5" t="n">
        <x:f>$H$313</x:f>
        <x:v>51</x:v>
      </x:c>
      <x:c r="E327" s="5" t="n">
        <x:f>0+0</x:f>
        <x:v>0</x:v>
      </x:c>
      <x:c r="F327" s="5" t="n">
        <x:f>0</x:f>
        <x:v>0</x:v>
      </x:c>
      <x:c r="G327" s="5" t="n">
        <x:f>MAX(-'00_Arquitectura'!$B$106,MIN('00_Arquitectura'!$B$106,E327+F327))</x:f>
        <x:v>0</x:v>
      </x:c>
      <x:c r="H327" s="5" t="n">
        <x:f>MAX(0,MIN(100,D327+G327))</x:f>
        <x:v>51</x:v>
      </x:c>
      <x:c r="I327" s="5" t="n">
        <x:f>0</x:f>
        <x:v>0</x:v>
      </x:c>
      <x:c r="J327" s="5" t="n">
        <x:f>MAX(-'00_Arquitectura'!$B$107,MIN('00_Arquitectura'!$B$107,0))</x:f>
        <x:v>0</x:v>
      </x:c>
      <x:c r="K327" s="5" t="n">
        <x:f>MAX(0,MIN(100,H327+I327+J327))</x:f>
        <x:v>51</x:v>
      </x:c>
      <x:c r="L327" s="5" t="str">
        <x:v>Pulsos y offsets: filtrar Instancias por escenario, turno y targetId. Base separada del nivel visible.</x:v>
      </x:c>
    </x:row>
    <x:row r="328" ht="34" customHeight="1">
      <x:c r="A328" s="10" t="str">
        <x:v>S2_VIAL</x:v>
      </x:c>
      <x:c r="B328" s="10" t="n">
        <x:v>9</x:v>
      </x:c>
      <x:c r="C328" s="10" t="str">
        <x:v>educacion</x:v>
      </x:c>
      <x:c r="D328" s="10" t="n">
        <x:f>$H$314</x:f>
        <x:v>50</x:v>
      </x:c>
      <x:c r="E328" s="10" t="n">
        <x:f>0+0</x:f>
        <x:v>0</x:v>
      </x:c>
      <x:c r="F328" s="10" t="n">
        <x:f>0</x:f>
        <x:v>0</x:v>
      </x:c>
      <x:c r="G328" s="10" t="n">
        <x:f>MAX(-'00_Arquitectura'!$B$106,MIN('00_Arquitectura'!$B$106,E328+F328))</x:f>
        <x:v>0</x:v>
      </x:c>
      <x:c r="H328" s="10" t="n">
        <x:f>MAX(0,MIN(100,D328+G328))</x:f>
        <x:v>50</x:v>
      </x:c>
      <x:c r="I328" s="10" t="n">
        <x:f>0</x:f>
        <x:v>0</x:v>
      </x:c>
      <x:c r="J328" s="10" t="n">
        <x:f>MAX(-'00_Arquitectura'!$B$107,MIN('00_Arquitectura'!$B$107,$J$1087))</x:f>
        <x:v>0</x:v>
      </x:c>
      <x:c r="K328" s="10" t="n">
        <x:f>MAX(0,MIN(100,H328+I328+J328))</x:f>
        <x:v>50</x:v>
      </x:c>
      <x:c r="L328" s="10" t="str">
        <x:v>Pulsos y offsets: filtrar Instancias por escenario, turno y targetId. Base separada del nivel visible.</x:v>
      </x:c>
    </x:row>
    <x:row r="329" ht="34" customHeight="1">
      <x:c r="A329" s="5" t="str">
        <x:v>S2_VIAL</x:v>
      </x:c>
      <x:c r="B329" s="5" t="n">
        <x:v>9</x:v>
      </x:c>
      <x:c r="C329" s="5" t="str">
        <x:v>salud</x:v>
      </x:c>
      <x:c r="D329" s="5" t="n">
        <x:f>$H$315</x:f>
        <x:v>50</x:v>
      </x:c>
      <x:c r="E329" s="5" t="n">
        <x:f>0+0</x:f>
        <x:v>0</x:v>
      </x:c>
      <x:c r="F329" s="5" t="n">
        <x:f>0</x:f>
        <x:v>0</x:v>
      </x:c>
      <x:c r="G329" s="5" t="n">
        <x:f>MAX(-'00_Arquitectura'!$B$106,MIN('00_Arquitectura'!$B$106,E329+F329))</x:f>
        <x:v>0</x:v>
      </x:c>
      <x:c r="H329" s="5" t="n">
        <x:f>MAX(0,MIN(100,D329+G329))</x:f>
        <x:v>50</x:v>
      </x:c>
      <x:c r="I329" s="5" t="n">
        <x:f>0</x:f>
        <x:v>0</x:v>
      </x:c>
      <x:c r="J329" s="5" t="n">
        <x:f>MAX(-'00_Arquitectura'!$B$107,MIN('00_Arquitectura'!$B$107,0))</x:f>
        <x:v>0</x:v>
      </x:c>
      <x:c r="K329" s="5" t="n">
        <x:f>MAX(0,MIN(100,H329+I329+J329))</x:f>
        <x:v>50</x:v>
      </x:c>
      <x:c r="L329" s="5" t="str">
        <x:v>Pulsos y offsets: filtrar Instancias por escenario, turno y targetId. Base separada del nivel visible.</x:v>
      </x:c>
    </x:row>
    <x:row r="330" ht="34" customHeight="1">
      <x:c r="A330" s="10" t="str">
        <x:v>S2_VIAL</x:v>
      </x:c>
      <x:c r="B330" s="10" t="n">
        <x:v>9</x:v>
      </x:c>
      <x:c r="C330" s="10" t="str">
        <x:v>proteccion</x:v>
      </x:c>
      <x:c r="D330" s="10" t="n">
        <x:f>$H$316</x:f>
        <x:v>45</x:v>
      </x:c>
      <x:c r="E330" s="10" t="n">
        <x:f>0+0</x:f>
        <x:v>0</x:v>
      </x:c>
      <x:c r="F330" s="10" t="n">
        <x:f>0</x:f>
        <x:v>0</x:v>
      </x:c>
      <x:c r="G330" s="10" t="n">
        <x:f>MAX(-'00_Arquitectura'!$B$106,MIN('00_Arquitectura'!$B$106,E330+F330))</x:f>
        <x:v>0</x:v>
      </x:c>
      <x:c r="H330" s="10" t="n">
        <x:f>MAX(0,MIN(100,D330+G330))</x:f>
        <x:v>45</x:v>
      </x:c>
      <x:c r="I330" s="10" t="n">
        <x:f>0</x:f>
        <x:v>0</x:v>
      </x:c>
      <x:c r="J330" s="10" t="n">
        <x:f>MAX(-'00_Arquitectura'!$B$107,MIN('00_Arquitectura'!$B$107,$J$1085+$J$1089))</x:f>
        <x:v>0</x:v>
      </x:c>
      <x:c r="K330" s="10" t="n">
        <x:f>MAX(0,MIN(100,H330+I330+J330))</x:f>
        <x:v>45</x:v>
      </x:c>
      <x:c r="L330" s="10" t="str">
        <x:v>Pulsos y offsets: filtrar Instancias por escenario, turno y targetId. Base separada del nivel visible.</x:v>
      </x:c>
    </x:row>
    <x:row r="331" ht="34" customHeight="1">
      <x:c r="A331" s="5" t="str">
        <x:v>S2_VIAL</x:v>
      </x:c>
      <x:c r="B331" s="5" t="n">
        <x:v>9</x:v>
      </x:c>
      <x:c r="C331" s="5" t="str">
        <x:v>seguridad</x:v>
      </x:c>
      <x:c r="D331" s="5" t="n">
        <x:f>$H$317</x:f>
        <x:v>45</x:v>
      </x:c>
      <x:c r="E331" s="5" t="n">
        <x:f>0+0</x:f>
        <x:v>0</x:v>
      </x:c>
      <x:c r="F331" s="5" t="n">
        <x:f>0</x:f>
        <x:v>0</x:v>
      </x:c>
      <x:c r="G331" s="5" t="n">
        <x:f>MAX(-'00_Arquitectura'!$B$106,MIN('00_Arquitectura'!$B$106,E331+F331))</x:f>
        <x:v>0</x:v>
      </x:c>
      <x:c r="H331" s="5" t="n">
        <x:f>MAX(0,MIN(100,D331+G331))</x:f>
        <x:v>45</x:v>
      </x:c>
      <x:c r="I331" s="5" t="n">
        <x:f>0</x:f>
        <x:v>0</x:v>
      </x:c>
      <x:c r="J331" s="5" t="n">
        <x:f>MAX(-'00_Arquitectura'!$B$107,MIN('00_Arquitectura'!$B$107,0))</x:f>
        <x:v>0</x:v>
      </x:c>
      <x:c r="K331" s="5" t="n">
        <x:f>MAX(0,MIN(100,H331+I331+J331))</x:f>
        <x:v>45</x:v>
      </x:c>
      <x:c r="L331" s="5" t="str">
        <x:v>Pulsos y offsets: filtrar Instancias por escenario, turno y targetId. Base separada del nivel visible.</x:v>
      </x:c>
    </x:row>
    <x:row r="332" ht="34" customHeight="1">
      <x:c r="A332" s="10" t="str">
        <x:v>S2_VIAL</x:v>
      </x:c>
      <x:c r="B332" s="10" t="n">
        <x:v>9</x:v>
      </x:c>
      <x:c r="C332" s="10" t="str">
        <x:v>ciencia</x:v>
      </x:c>
      <x:c r="D332" s="10" t="n">
        <x:f>$H$318</x:f>
        <x:v>40</x:v>
      </x:c>
      <x:c r="E332" s="10" t="n">
        <x:f>0+0</x:f>
        <x:v>0</x:v>
      </x:c>
      <x:c r="F332" s="10" t="n">
        <x:f>0</x:f>
        <x:v>0</x:v>
      </x:c>
      <x:c r="G332" s="10" t="n">
        <x:f>MAX(-'00_Arquitectura'!$B$106,MIN('00_Arquitectura'!$B$106,E332+F332))</x:f>
        <x:v>0</x:v>
      </x:c>
      <x:c r="H332" s="10" t="n">
        <x:f>MAX(0,MIN(100,D332+G332))</x:f>
        <x:v>40</x:v>
      </x:c>
      <x:c r="I332" s="10" t="n">
        <x:f>0</x:f>
        <x:v>0</x:v>
      </x:c>
      <x:c r="J332" s="10" t="n">
        <x:f>MAX(-'00_Arquitectura'!$B$107,MIN('00_Arquitectura'!$B$107,$J$1088))</x:f>
        <x:v>0</x:v>
      </x:c>
      <x:c r="K332" s="10" t="n">
        <x:f>MAX(0,MIN(100,H332+I332+J332))</x:f>
        <x:v>40</x:v>
      </x:c>
      <x:c r="L332" s="10" t="str">
        <x:v>Pulsos y offsets: filtrar Instancias por escenario, turno y targetId. Base separada del nivel visible.</x:v>
      </x:c>
    </x:row>
    <x:row r="333" ht="34" customHeight="1">
      <x:c r="A333" s="5" t="str">
        <x:v>S2_VIAL</x:v>
      </x:c>
      <x:c r="B333" s="5" t="n">
        <x:v>9</x:v>
      </x:c>
      <x:c r="C333" s="5" t="str">
        <x:v>derechos</x:v>
      </x:c>
      <x:c r="D333" s="5" t="n">
        <x:f>$H$319</x:f>
        <x:v>55</x:v>
      </x:c>
      <x:c r="E333" s="5" t="n">
        <x:f>0+0</x:f>
        <x:v>0</x:v>
      </x:c>
      <x:c r="F333" s="5" t="n">
        <x:f>0</x:f>
        <x:v>0</x:v>
      </x:c>
      <x:c r="G333" s="5" t="n">
        <x:f>MAX(-'00_Arquitectura'!$B$106,MIN('00_Arquitectura'!$B$106,E333+F333))</x:f>
        <x:v>0</x:v>
      </x:c>
      <x:c r="H333" s="5" t="n">
        <x:f>MAX(0,MIN(100,D333+G333))</x:f>
        <x:v>55</x:v>
      </x:c>
      <x:c r="I333" s="5" t="n">
        <x:f>0</x:f>
        <x:v>0</x:v>
      </x:c>
      <x:c r="J333" s="5" t="n">
        <x:f>MAX(-'00_Arquitectura'!$B$107,MIN('00_Arquitectura'!$B$107,0))</x:f>
        <x:v>0</x:v>
      </x:c>
      <x:c r="K333" s="5" t="n">
        <x:f>MAX(0,MIN(100,H333+I333+J333))</x:f>
        <x:v>55</x:v>
      </x:c>
      <x:c r="L333" s="5" t="str">
        <x:v>Pulsos y offsets: filtrar Instancias por escenario, turno y targetId. Base separada del nivel visible.</x:v>
      </x:c>
    </x:row>
    <x:row r="334" ht="34" customHeight="1">
      <x:c r="A334" s="10" t="str">
        <x:v>S2_VIAL</x:v>
      </x:c>
      <x:c r="B334" s="10" t="n">
        <x:v>9</x:v>
      </x:c>
      <x:c r="C334" s="10" t="str">
        <x:v>ambiente</x:v>
      </x:c>
      <x:c r="D334" s="10" t="n">
        <x:f>$H$320</x:f>
        <x:v>48</x:v>
      </x:c>
      <x:c r="E334" s="10" t="n">
        <x:f>0+0</x:f>
        <x:v>0</x:v>
      </x:c>
      <x:c r="F334" s="10" t="n">
        <x:f>0</x:f>
        <x:v>0</x:v>
      </x:c>
      <x:c r="G334" s="10" t="n">
        <x:f>MAX(-'00_Arquitectura'!$B$106,MIN('00_Arquitectura'!$B$106,E334+F334))</x:f>
        <x:v>0</x:v>
      </x:c>
      <x:c r="H334" s="10" t="n">
        <x:f>MAX(0,MIN(100,D334+G334))</x:f>
        <x:v>48</x:v>
      </x:c>
      <x:c r="I334" s="10" t="n">
        <x:f>0</x:f>
        <x:v>0</x:v>
      </x:c>
      <x:c r="J334" s="10" t="n">
        <x:f>MAX(-'00_Arquitectura'!$B$107,MIN('00_Arquitectura'!$B$107,0))</x:f>
        <x:v>0</x:v>
      </x:c>
      <x:c r="K334" s="10" t="n">
        <x:f>MAX(0,MIN(100,H334+I334+J334))</x:f>
        <x:v>48</x:v>
      </x:c>
      <x:c r="L334" s="10" t="str">
        <x:v>Pulsos y offsets: filtrar Instancias por escenario, turno y targetId. Base separada del nivel visible.</x:v>
      </x:c>
    </x:row>
    <x:row r="335" ht="42" customHeight="1">
      <x:c r="A335" s="5" t="str">
        <x:v>S2_VIAL</x:v>
      </x:c>
      <x:c r="B335" s="5" t="n">
        <x:v>10</x:v>
      </x:c>
      <x:c r="C335" s="5" t="str">
        <x:v>inflacion</x:v>
      </x:c>
      <x:c r="D335" s="5" t="n">
        <x:f>$H$321</x:f>
        <x:v>40</x:v>
      </x:c>
      <x:c r="E335" s="5" t="n">
        <x:f>0+0</x:f>
        <x:v>0</x:v>
      </x:c>
      <x:c r="F335" s="5" t="n">
        <x:f>-'00_Arquitectura'!$B$96*($H$321-40)</x:f>
        <x:v>0</x:v>
      </x:c>
      <x:c r="G335" s="5" t="n">
        <x:f>MAX(-'00_Arquitectura'!$B$106,MIN('00_Arquitectura'!$B$106,E335+F335))</x:f>
        <x:v>0</x:v>
      </x:c>
      <x:c r="H335" s="5" t="n">
        <x:f>MAX(0,MIN(100,D335+G335))</x:f>
        <x:v>40</x:v>
      </x:c>
      <x:c r="I335" s="5" t="n">
        <x:f>0</x:f>
        <x:v>0</x:v>
      </x:c>
      <x:c r="J335" s="5" t="n">
        <x:f>MAX(-'00_Arquitectura'!$B$107,MIN('00_Arquitectura'!$B$107,0))</x:f>
        <x:v>0</x:v>
      </x:c>
      <x:c r="K335" s="5" t="n">
        <x:f>MAX(0,MIN(100,H335+I335+J335))</x:f>
        <x:v>40</x:v>
      </x:c>
      <x:c r="L335" s="5" t="str">
        <x:v>Aplica link L01. Pulsos y offsets: filtrar Instancias por escenario, turno y targetId. Base separada del nivel visible.</x:v>
      </x:c>
    </x:row>
    <x:row r="336" ht="42" customHeight="1">
      <x:c r="A336" s="10" t="str">
        <x:v>S2_VIAL</x:v>
      </x:c>
      <x:c r="B336" s="10" t="n">
        <x:v>10</x:v>
      </x:c>
      <x:c r="C336" s="10" t="str">
        <x:v>actividad</x:v>
      </x:c>
      <x:c r="D336" s="10" t="n">
        <x:f>$H$322</x:f>
        <x:v>51.63382224464</x:v>
      </x:c>
      <x:c r="E336" s="10" t="n">
        <x:f>0+0</x:f>
        <x:v>0</x:v>
      </x:c>
      <x:c r="F336" s="10" t="n">
        <x:f>-'00_Arquitectura'!$B$97*($H$322-50)+'00_Arquitectura'!$B$98*($K$324-45)+'00_Arquitectura'!$B$99*($K$327-45)+'00_Arquitectura'!$B$100*($K$326-45)</x:f>
        <x:v>0.16922541197599966</x:v>
      </x:c>
      <x:c r="G336" s="10" t="n">
        <x:f>MAX(-'00_Arquitectura'!$B$106,MIN('00_Arquitectura'!$B$106,E336+F336))</x:f>
        <x:v>0.16922541197599966</x:v>
      </x:c>
      <x:c r="H336" s="10" t="n">
        <x:f>MAX(0,MIN(100,D336+G336))</x:f>
        <x:v>51.803047656616</x:v>
      </x:c>
      <x:c r="I336" s="10" t="n">
        <x:f>0</x:f>
        <x:v>0</x:v>
      </x:c>
      <x:c r="J336" s="10" t="n">
        <x:f>MAX(-'00_Arquitectura'!$B$107,MIN('00_Arquitectura'!$B$107,$J$1097+$J$1100+$J$1101))</x:f>
        <x:v>0</x:v>
      </x:c>
      <x:c r="K336" s="10" t="n">
        <x:f>MAX(0,MIN(100,H336+I336+J336))</x:f>
        <x:v>51.803047656616</x:v>
      </x:c>
      <x:c r="L336" s="10" t="str">
        <x:v>Aplica link L02. Pulsos y offsets: filtrar Instancias por escenario, turno y targetId. Base separada del nivel visible.</x:v>
      </x:c>
    </x:row>
    <x:row r="337" ht="42" customHeight="1">
      <x:c r="A337" s="5" t="str">
        <x:v>S2_VIAL</x:v>
      </x:c>
      <x:c r="B337" s="5" t="n">
        <x:v>10</x:v>
      </x:c>
      <x:c r="C337" s="5" t="str">
        <x:v>ingreso_real</x:v>
      </x:c>
      <x:c r="D337" s="5" t="n">
        <x:f>$H$323</x:f>
        <x:v>45.21282921072</x:v>
      </x:c>
      <x:c r="E337" s="5" t="n">
        <x:f>0+0</x:f>
        <x:v>0</x:v>
      </x:c>
      <x:c r="F337" s="5" t="n">
        <x:f>'00_Arquitectura'!$B$101*($K$322-$K$308)+'00_Arquitectura'!$B$102*($K$321-$K$307)</x:f>
        <x:v>0.03224412597599944</x:v>
      </x:c>
      <x:c r="G337" s="5" t="n">
        <x:f>MAX(-'00_Arquitectura'!$B$106,MIN('00_Arquitectura'!$B$106,E337+F337))</x:f>
        <x:v>0.03224412597599944</x:v>
      </x:c>
      <x:c r="H337" s="5" t="n">
        <x:f>MAX(0,MIN(100,D337+G337))</x:f>
        <x:v>45.245073336696</x:v>
      </x:c>
      <x:c r="I337" s="5" t="n">
        <x:f>0</x:f>
        <x:v>0</x:v>
      </x:c>
      <x:c r="J337" s="5" t="n">
        <x:f>MAX(-'00_Arquitectura'!$B$107,MIN('00_Arquitectura'!$B$107,0))</x:f>
        <x:v>0</x:v>
      </x:c>
      <x:c r="K337" s="5" t="n">
        <x:f>MAX(0,MIN(100,H337+I337+J337))</x:f>
        <x:v>45.245073336696</x:v>
      </x:c>
      <x:c r="L337" s="5" t="str">
        <x:v>Aplica link L03. Pulsos y offsets: filtrar Instancias por escenario, turno y targetId. Base separada del nivel visible.</x:v>
      </x:c>
    </x:row>
    <x:row r="338" ht="42" customHeight="1">
      <x:c r="A338" s="10" t="str">
        <x:v>S2_VIAL</x:v>
      </x:c>
      <x:c r="B338" s="10" t="n">
        <x:v>10</x:v>
      </x:c>
      <x:c r="C338" s="10" t="str">
        <x:v>credito</x:v>
      </x:c>
      <x:c r="D338" s="10" t="n">
        <x:f>$H$324</x:f>
        <x:v>44.8248732613</x:v>
      </x:c>
      <x:c r="E338" s="10" t="n">
        <x:f>0+0</x:f>
        <x:v>0</x:v>
      </x:c>
      <x:c r="F338" s="10" t="n">
        <x:f>-'00_Arquitectura'!$B$103*($H$324-45)+'00_Arquitectura'!$B$104*($K$321-$K$307)+'00_Arquitectura'!$B$105*($K$325-'00_Arquitectura'!$B$117)</x:f>
        <x:v>-0.02805554357579979</x:v>
      </x:c>
      <x:c r="G338" s="10" t="n">
        <x:f>MAX(-'00_Arquitectura'!$B$106,MIN('00_Arquitectura'!$B$106,E338+F338))</x:f>
        <x:v>-0.02805554357579979</x:v>
      </x:c>
      <x:c r="H338" s="10" t="n">
        <x:f>MAX(0,MIN(100,D338+G338))</x:f>
        <x:v>44.796817717724196</x:v>
      </x:c>
      <x:c r="I338" s="10" t="n">
        <x:f>0</x:f>
        <x:v>0</x:v>
      </x:c>
      <x:c r="J338" s="10" t="n">
        <x:f>MAX(-'00_Arquitectura'!$B$107,MIN('00_Arquitectura'!$B$107,$J$1099))</x:f>
        <x:v>0</x:v>
      </x:c>
      <x:c r="K338" s="10" t="n">
        <x:f>MAX(0,MIN(100,H338+I338+J338))</x:f>
        <x:v>44.796817717724196</x:v>
      </x:c>
      <x:c r="L338" s="10" t="str">
        <x:v>Aplica link L04. Pulsos y offsets: filtrar Instancias por escenario, turno y targetId. Base separada del nivel visible.</x:v>
      </x:c>
    </x:row>
    <x:row r="339" ht="34" customHeight="1">
      <x:c r="A339" s="5" t="str">
        <x:v>S2_VIAL</x:v>
      </x:c>
      <x:c r="B339" s="5" t="n">
        <x:v>10</x:v>
      </x:c>
      <x:c r="C339" s="5" t="str">
        <x:v>fiscal</x:v>
      </x:c>
      <x:c r="D339" s="5" t="n">
        <x:f>$H$325</x:f>
        <x:v>55.28377228096</x:v>
      </x:c>
      <x:c r="E339" s="5" t="n">
        <x:f>0+0</x:f>
        <x:v>0</x:v>
      </x:c>
      <x:c r="F339" s="5" t="n">
        <x:f>0</x:f>
        <x:v>0</x:v>
      </x:c>
      <x:c r="G339" s="5" t="n">
        <x:f>MAX(-'00_Arquitectura'!$B$106,MIN('00_Arquitectura'!$B$106,E339+F339))</x:f>
        <x:v>0</x:v>
      </x:c>
      <x:c r="H339" s="5" t="n">
        <x:f>$O$34</x:f>
        <x:v>55.326764448927996</x:v>
      </x:c>
      <x:c r="I339" s="5" t="n">
        <x:f>0</x:f>
        <x:v>0</x:v>
      </x:c>
      <x:c r="J339" s="5" t="n">
        <x:f>MAX(-'00_Arquitectura'!$B$107,MIN('00_Arquitectura'!$B$107,0))</x:f>
        <x:v>0</x:v>
      </x:c>
      <x:c r="K339" s="5" t="n">
        <x:f>MAX(0,MIN(100,H339+I339+J339))</x:f>
        <x:v>55.326764448927996</x:v>
      </x:c>
      <x:c r="L339" s="5" t="str">
        <x:v>Derivado de caja: ingreso recurrente, gasto, intereses y deuda. Nunca SUM de efectos fiscales directos.</x:v>
      </x:c>
    </x:row>
    <x:row r="340" ht="34" customHeight="1">
      <x:c r="A340" s="10" t="str">
        <x:v>S2_VIAL</x:v>
      </x:c>
      <x:c r="B340" s="10" t="n">
        <x:v>10</x:v>
      </x:c>
      <x:c r="C340" s="10" t="str">
        <x:v>externo</x:v>
      </x:c>
      <x:c r="D340" s="10" t="n">
        <x:f>$H$326</x:f>
        <x:v>48</x:v>
      </x:c>
      <x:c r="E340" s="10" t="n">
        <x:f>0+0</x:f>
        <x:v>0</x:v>
      </x:c>
      <x:c r="F340" s="10" t="n">
        <x:f>0</x:f>
        <x:v>0</x:v>
      </x:c>
      <x:c r="G340" s="10" t="n">
        <x:f>MAX(-'00_Arquitectura'!$B$106,MIN('00_Arquitectura'!$B$106,E340+F340))</x:f>
        <x:v>0</x:v>
      </x:c>
      <x:c r="H340" s="10" t="n">
        <x:f>MAX(0,MIN(100,D340+G340))</x:f>
        <x:v>48</x:v>
      </x:c>
      <x:c r="I340" s="10" t="n">
        <x:f>0</x:f>
        <x:v>0</x:v>
      </x:c>
      <x:c r="J340" s="10" t="n">
        <x:f>MAX(-'00_Arquitectura'!$B$107,MIN('00_Arquitectura'!$B$107,$J$1098))</x:f>
        <x:v>0</x:v>
      </x:c>
      <x:c r="K340" s="10" t="n">
        <x:f>MAX(0,MIN(100,H340+I340+J340))</x:f>
        <x:v>48</x:v>
      </x:c>
      <x:c r="L340" s="10" t="str">
        <x:v>Pulsos y offsets: filtrar Instancias por escenario, turno y targetId. Base separada del nivel visible.</x:v>
      </x:c>
    </x:row>
    <x:row r="341" ht="34" customHeight="1">
      <x:c r="A341" s="5" t="str">
        <x:v>S2_VIAL</x:v>
      </x:c>
      <x:c r="B341" s="5" t="n">
        <x:v>10</x:v>
      </x:c>
      <x:c r="C341" s="5" t="str">
        <x:v>infraestructura</x:v>
      </x:c>
      <x:c r="D341" s="5" t="n">
        <x:f>$H$327</x:f>
        <x:v>51</x:v>
      </x:c>
      <x:c r="E341" s="5" t="n">
        <x:f>0+0</x:f>
        <x:v>0</x:v>
      </x:c>
      <x:c r="F341" s="5" t="n">
        <x:f>0</x:f>
        <x:v>0</x:v>
      </x:c>
      <x:c r="G341" s="5" t="n">
        <x:f>MAX(-'00_Arquitectura'!$B$106,MIN('00_Arquitectura'!$B$106,E341+F341))</x:f>
        <x:v>0</x:v>
      </x:c>
      <x:c r="H341" s="5" t="n">
        <x:f>MAX(0,MIN(100,D341+G341))</x:f>
        <x:v>51</x:v>
      </x:c>
      <x:c r="I341" s="5" t="n">
        <x:f>0</x:f>
        <x:v>0</x:v>
      </x:c>
      <x:c r="J341" s="5" t="n">
        <x:f>MAX(-'00_Arquitectura'!$B$107,MIN('00_Arquitectura'!$B$107,0))</x:f>
        <x:v>0</x:v>
      </x:c>
      <x:c r="K341" s="5" t="n">
        <x:f>MAX(0,MIN(100,H341+I341+J341))</x:f>
        <x:v>51</x:v>
      </x:c>
      <x:c r="L341" s="5" t="str">
        <x:v>Pulsos y offsets: filtrar Instancias por escenario, turno y targetId. Base separada del nivel visible.</x:v>
      </x:c>
    </x:row>
    <x:row r="342" ht="34" customHeight="1">
      <x:c r="A342" s="10" t="str">
        <x:v>S2_VIAL</x:v>
      </x:c>
      <x:c r="B342" s="10" t="n">
        <x:v>10</x:v>
      </x:c>
      <x:c r="C342" s="10" t="str">
        <x:v>educacion</x:v>
      </x:c>
      <x:c r="D342" s="10" t="n">
        <x:f>$H$328</x:f>
        <x:v>50</x:v>
      </x:c>
      <x:c r="E342" s="10" t="n">
        <x:f>0+0</x:f>
        <x:v>0</x:v>
      </x:c>
      <x:c r="F342" s="10" t="n">
        <x:f>0</x:f>
        <x:v>0</x:v>
      </x:c>
      <x:c r="G342" s="10" t="n">
        <x:f>MAX(-'00_Arquitectura'!$B$106,MIN('00_Arquitectura'!$B$106,E342+F342))</x:f>
        <x:v>0</x:v>
      </x:c>
      <x:c r="H342" s="10" t="n">
        <x:f>MAX(0,MIN(100,D342+G342))</x:f>
        <x:v>50</x:v>
      </x:c>
      <x:c r="I342" s="10" t="n">
        <x:f>0</x:f>
        <x:v>0</x:v>
      </x:c>
      <x:c r="J342" s="10" t="n">
        <x:f>MAX(-'00_Arquitectura'!$B$107,MIN('00_Arquitectura'!$B$107,$J$1105))</x:f>
        <x:v>0</x:v>
      </x:c>
      <x:c r="K342" s="10" t="n">
        <x:f>MAX(0,MIN(100,H342+I342+J342))</x:f>
        <x:v>50</x:v>
      </x:c>
      <x:c r="L342" s="10" t="str">
        <x:v>Pulsos y offsets: filtrar Instancias por escenario, turno y targetId. Base separada del nivel visible.</x:v>
      </x:c>
    </x:row>
    <x:row r="343" ht="34" customHeight="1">
      <x:c r="A343" s="5" t="str">
        <x:v>S2_VIAL</x:v>
      </x:c>
      <x:c r="B343" s="5" t="n">
        <x:v>10</x:v>
      </x:c>
      <x:c r="C343" s="5" t="str">
        <x:v>salud</x:v>
      </x:c>
      <x:c r="D343" s="5" t="n">
        <x:f>$H$329</x:f>
        <x:v>50</x:v>
      </x:c>
      <x:c r="E343" s="5" t="n">
        <x:f>0+0</x:f>
        <x:v>0</x:v>
      </x:c>
      <x:c r="F343" s="5" t="n">
        <x:f>0</x:f>
        <x:v>0</x:v>
      </x:c>
      <x:c r="G343" s="5" t="n">
        <x:f>MAX(-'00_Arquitectura'!$B$106,MIN('00_Arquitectura'!$B$106,E343+F343))</x:f>
        <x:v>0</x:v>
      </x:c>
      <x:c r="H343" s="5" t="n">
        <x:f>MAX(0,MIN(100,D343+G343))</x:f>
        <x:v>50</x:v>
      </x:c>
      <x:c r="I343" s="5" t="n">
        <x:f>0</x:f>
        <x:v>0</x:v>
      </x:c>
      <x:c r="J343" s="5" t="n">
        <x:f>MAX(-'00_Arquitectura'!$B$107,MIN('00_Arquitectura'!$B$107,0))</x:f>
        <x:v>0</x:v>
      </x:c>
      <x:c r="K343" s="5" t="n">
        <x:f>MAX(0,MIN(100,H343+I343+J343))</x:f>
        <x:v>50</x:v>
      </x:c>
      <x:c r="L343" s="5" t="str">
        <x:v>Pulsos y offsets: filtrar Instancias por escenario, turno y targetId. Base separada del nivel visible.</x:v>
      </x:c>
    </x:row>
    <x:row r="344" ht="34" customHeight="1">
      <x:c r="A344" s="10" t="str">
        <x:v>S2_VIAL</x:v>
      </x:c>
      <x:c r="B344" s="10" t="n">
        <x:v>10</x:v>
      </x:c>
      <x:c r="C344" s="10" t="str">
        <x:v>proteccion</x:v>
      </x:c>
      <x:c r="D344" s="10" t="n">
        <x:f>$H$330</x:f>
        <x:v>45</x:v>
      </x:c>
      <x:c r="E344" s="10" t="n">
        <x:f>0+0</x:f>
        <x:v>0</x:v>
      </x:c>
      <x:c r="F344" s="10" t="n">
        <x:f>0</x:f>
        <x:v>0</x:v>
      </x:c>
      <x:c r="G344" s="10" t="n">
        <x:f>MAX(-'00_Arquitectura'!$B$106,MIN('00_Arquitectura'!$B$106,E344+F344))</x:f>
        <x:v>0</x:v>
      </x:c>
      <x:c r="H344" s="10" t="n">
        <x:f>MAX(0,MIN(100,D344+G344))</x:f>
        <x:v>45</x:v>
      </x:c>
      <x:c r="I344" s="10" t="n">
        <x:f>0</x:f>
        <x:v>0</x:v>
      </x:c>
      <x:c r="J344" s="10" t="n">
        <x:f>MAX(-'00_Arquitectura'!$B$107,MIN('00_Arquitectura'!$B$107,$J$1103+$J$1107))</x:f>
        <x:v>0</x:v>
      </x:c>
      <x:c r="K344" s="10" t="n">
        <x:f>MAX(0,MIN(100,H344+I344+J344))</x:f>
        <x:v>45</x:v>
      </x:c>
      <x:c r="L344" s="10" t="str">
        <x:v>Pulsos y offsets: filtrar Instancias por escenario, turno y targetId. Base separada del nivel visible.</x:v>
      </x:c>
    </x:row>
    <x:row r="345" ht="34" customHeight="1">
      <x:c r="A345" s="5" t="str">
        <x:v>S2_VIAL</x:v>
      </x:c>
      <x:c r="B345" s="5" t="n">
        <x:v>10</x:v>
      </x:c>
      <x:c r="C345" s="5" t="str">
        <x:v>seguridad</x:v>
      </x:c>
      <x:c r="D345" s="5" t="n">
        <x:f>$H$331</x:f>
        <x:v>45</x:v>
      </x:c>
      <x:c r="E345" s="5" t="n">
        <x:f>0+0</x:f>
        <x:v>0</x:v>
      </x:c>
      <x:c r="F345" s="5" t="n">
        <x:f>0</x:f>
        <x:v>0</x:v>
      </x:c>
      <x:c r="G345" s="5" t="n">
        <x:f>MAX(-'00_Arquitectura'!$B$106,MIN('00_Arquitectura'!$B$106,E345+F345))</x:f>
        <x:v>0</x:v>
      </x:c>
      <x:c r="H345" s="5" t="n">
        <x:f>MAX(0,MIN(100,D345+G345))</x:f>
        <x:v>45</x:v>
      </x:c>
      <x:c r="I345" s="5" t="n">
        <x:f>0</x:f>
        <x:v>0</x:v>
      </x:c>
      <x:c r="J345" s="5" t="n">
        <x:f>MAX(-'00_Arquitectura'!$B$107,MIN('00_Arquitectura'!$B$107,0))</x:f>
        <x:v>0</x:v>
      </x:c>
      <x:c r="K345" s="5" t="n">
        <x:f>MAX(0,MIN(100,H345+I345+J345))</x:f>
        <x:v>45</x:v>
      </x:c>
      <x:c r="L345" s="5" t="str">
        <x:v>Pulsos y offsets: filtrar Instancias por escenario, turno y targetId. Base separada del nivel visible.</x:v>
      </x:c>
    </x:row>
    <x:row r="346" ht="34" customHeight="1">
      <x:c r="A346" s="10" t="str">
        <x:v>S2_VIAL</x:v>
      </x:c>
      <x:c r="B346" s="10" t="n">
        <x:v>10</x:v>
      </x:c>
      <x:c r="C346" s="10" t="str">
        <x:v>ciencia</x:v>
      </x:c>
      <x:c r="D346" s="10" t="n">
        <x:f>$H$332</x:f>
        <x:v>40</x:v>
      </x:c>
      <x:c r="E346" s="10" t="n">
        <x:f>0+0</x:f>
        <x:v>0</x:v>
      </x:c>
      <x:c r="F346" s="10" t="n">
        <x:f>0</x:f>
        <x:v>0</x:v>
      </x:c>
      <x:c r="G346" s="10" t="n">
        <x:f>MAX(-'00_Arquitectura'!$B$106,MIN('00_Arquitectura'!$B$106,E346+F346))</x:f>
        <x:v>0</x:v>
      </x:c>
      <x:c r="H346" s="10" t="n">
        <x:f>MAX(0,MIN(100,D346+G346))</x:f>
        <x:v>40</x:v>
      </x:c>
      <x:c r="I346" s="10" t="n">
        <x:f>0</x:f>
        <x:v>0</x:v>
      </x:c>
      <x:c r="J346" s="10" t="n">
        <x:f>MAX(-'00_Arquitectura'!$B$107,MIN('00_Arquitectura'!$B$107,$J$1106))</x:f>
        <x:v>0</x:v>
      </x:c>
      <x:c r="K346" s="10" t="n">
        <x:f>MAX(0,MIN(100,H346+I346+J346))</x:f>
        <x:v>40</x:v>
      </x:c>
      <x:c r="L346" s="10" t="str">
        <x:v>Pulsos y offsets: filtrar Instancias por escenario, turno y targetId. Base separada del nivel visible.</x:v>
      </x:c>
    </x:row>
    <x:row r="347" ht="34" customHeight="1">
      <x:c r="A347" s="5" t="str">
        <x:v>S2_VIAL</x:v>
      </x:c>
      <x:c r="B347" s="5" t="n">
        <x:v>10</x:v>
      </x:c>
      <x:c r="C347" s="5" t="str">
        <x:v>derechos</x:v>
      </x:c>
      <x:c r="D347" s="5" t="n">
        <x:f>$H$333</x:f>
        <x:v>55</x:v>
      </x:c>
      <x:c r="E347" s="5" t="n">
        <x:f>0+0</x:f>
        <x:v>0</x:v>
      </x:c>
      <x:c r="F347" s="5" t="n">
        <x:f>0</x:f>
        <x:v>0</x:v>
      </x:c>
      <x:c r="G347" s="5" t="n">
        <x:f>MAX(-'00_Arquitectura'!$B$106,MIN('00_Arquitectura'!$B$106,E347+F347))</x:f>
        <x:v>0</x:v>
      </x:c>
      <x:c r="H347" s="5" t="n">
        <x:f>MAX(0,MIN(100,D347+G347))</x:f>
        <x:v>55</x:v>
      </x:c>
      <x:c r="I347" s="5" t="n">
        <x:f>0</x:f>
        <x:v>0</x:v>
      </x:c>
      <x:c r="J347" s="5" t="n">
        <x:f>MAX(-'00_Arquitectura'!$B$107,MIN('00_Arquitectura'!$B$107,0))</x:f>
        <x:v>0</x:v>
      </x:c>
      <x:c r="K347" s="5" t="n">
        <x:f>MAX(0,MIN(100,H347+I347+J347))</x:f>
        <x:v>55</x:v>
      </x:c>
      <x:c r="L347" s="5" t="str">
        <x:v>Pulsos y offsets: filtrar Instancias por escenario, turno y targetId. Base separada del nivel visible.</x:v>
      </x:c>
    </x:row>
    <x:row r="348" ht="34" customHeight="1">
      <x:c r="A348" s="10" t="str">
        <x:v>S2_VIAL</x:v>
      </x:c>
      <x:c r="B348" s="10" t="n">
        <x:v>10</x:v>
      </x:c>
      <x:c r="C348" s="10" t="str">
        <x:v>ambiente</x:v>
      </x:c>
      <x:c r="D348" s="10" t="n">
        <x:f>$H$334</x:f>
        <x:v>48</x:v>
      </x:c>
      <x:c r="E348" s="10" t="n">
        <x:f>0+0</x:f>
        <x:v>0</x:v>
      </x:c>
      <x:c r="F348" s="10" t="n">
        <x:f>0</x:f>
        <x:v>0</x:v>
      </x:c>
      <x:c r="G348" s="10" t="n">
        <x:f>MAX(-'00_Arquitectura'!$B$106,MIN('00_Arquitectura'!$B$106,E348+F348))</x:f>
        <x:v>0</x:v>
      </x:c>
      <x:c r="H348" s="10" t="n">
        <x:f>MAX(0,MIN(100,D348+G348))</x:f>
        <x:v>48</x:v>
      </x:c>
      <x:c r="I348" s="10" t="n">
        <x:f>0</x:f>
        <x:v>0</x:v>
      </x:c>
      <x:c r="J348" s="10" t="n">
        <x:f>MAX(-'00_Arquitectura'!$B$107,MIN('00_Arquitectura'!$B$107,0))</x:f>
        <x:v>0</x:v>
      </x:c>
      <x:c r="K348" s="10" t="n">
        <x:f>MAX(0,MIN(100,H348+I348+J348))</x:f>
        <x:v>48</x:v>
      </x:c>
      <x:c r="L348" s="10" t="str">
        <x:v>Pulsos y offsets: filtrar Instancias por escenario, turno y targetId. Base separada del nivel visible.</x:v>
      </x:c>
    </x:row>
    <x:row r="349" ht="42" customHeight="1">
      <x:c r="A349" s="5" t="str">
        <x:v>S3_SALARIO</x:v>
      </x:c>
      <x:c r="B349" s="5" t="n">
        <x:v>1</x:v>
      </x:c>
      <x:c r="C349" s="5" t="str">
        <x:v>inflacion</x:v>
      </x:c>
      <x:c r="D349" s="5" t="n">
        <x:f>'01_Indicadores'!$H$6</x:f>
        <x:v>40</x:v>
      </x:c>
      <x:c r="E349" s="5" t="n">
        <x:f>0+0</x:f>
        <x:v>0</x:v>
      </x:c>
      <x:c r="F349" s="5" t="n">
        <x:f>-'00_Arquitectura'!$B$96*('01_Indicadores'!$H$6-40)</x:f>
        <x:v>0</x:v>
      </x:c>
      <x:c r="G349" s="5" t="n">
        <x:f>MAX(-'00_Arquitectura'!$B$106,MIN('00_Arquitectura'!$B$106,E349+F349))</x:f>
        <x:v>0</x:v>
      </x:c>
      <x:c r="H349" s="5" t="n">
        <x:f>MAX(0,MIN(100,D349+G349))</x:f>
        <x:v>40</x:v>
      </x:c>
      <x:c r="I349" s="5" t="n">
        <x:f>0</x:f>
        <x:v>0</x:v>
      </x:c>
      <x:c r="J349" s="5" t="n">
        <x:f>MAX(-'00_Arquitectura'!$B$107,MIN('00_Arquitectura'!$B$107,0))</x:f>
        <x:v>0</x:v>
      </x:c>
      <x:c r="K349" s="5" t="n">
        <x:f>MAX(0,MIN(100,H349+I349+J349))</x:f>
        <x:v>40</x:v>
      </x:c>
      <x:c r="L349" s="5" t="str">
        <x:v>Aplica link L01. Pulsos y offsets: filtrar Instancias por escenario, turno y targetId. Base separada del nivel visible.</x:v>
      </x:c>
    </x:row>
    <x:row r="350" ht="42" customHeight="1">
      <x:c r="A350" s="10" t="str">
        <x:v>S3_SALARIO</x:v>
      </x:c>
      <x:c r="B350" s="10" t="n">
        <x:v>1</x:v>
      </x:c>
      <x:c r="C350" s="10" t="str">
        <x:v>actividad</x:v>
      </x:c>
      <x:c r="D350" s="10" t="n">
        <x:f>'01_Indicadores'!$H$7</x:f>
        <x:v>50</x:v>
      </x:c>
      <x:c r="E350" s="10" t="n">
        <x:f>0+0</x:f>
        <x:v>0</x:v>
      </x:c>
      <x:c r="F350" s="10" t="n">
        <x:f>-'00_Arquitectura'!$B$97*('01_Indicadores'!$H$7-50)+'00_Arquitectura'!$B$98*('01_Indicadores'!$H$9-45)+'00_Arquitectura'!$B$99*('01_Indicadores'!$H$12-45)+'00_Arquitectura'!$B$100*('01_Indicadores'!$H$11-45)</x:f>
        <x:v>0</x:v>
      </x:c>
      <x:c r="G350" s="10" t="n">
        <x:f>MAX(-'00_Arquitectura'!$B$106,MIN('00_Arquitectura'!$B$106,E350+F350))</x:f>
        <x:v>0</x:v>
      </x:c>
      <x:c r="H350" s="10" t="n">
        <x:f>MAX(0,MIN(100,D350+G350))</x:f>
        <x:v>50</x:v>
      </x:c>
      <x:c r="I350" s="10" t="n">
        <x:f>0</x:f>
        <x:v>0</x:v>
      </x:c>
      <x:c r="J350" s="10" t="n">
        <x:f>MAX(-'00_Arquitectura'!$B$107,MIN('00_Arquitectura'!$B$107,0))</x:f>
        <x:v>0</x:v>
      </x:c>
      <x:c r="K350" s="10" t="n">
        <x:f>MAX(0,MIN(100,H350+I350+J350))</x:f>
        <x:v>50</x:v>
      </x:c>
      <x:c r="L350" s="10" t="str">
        <x:v>Aplica link L02. Pulsos y offsets: filtrar Instancias por escenario, turno y targetId. Base separada del nivel visible.</x:v>
      </x:c>
    </x:row>
    <x:row r="351" ht="42" customHeight="1">
      <x:c r="A351" s="5" t="str">
        <x:v>S3_SALARIO</x:v>
      </x:c>
      <x:c r="B351" s="5" t="n">
        <x:v>1</x:v>
      </x:c>
      <x:c r="C351" s="5" t="str">
        <x:v>ingreso_real</x:v>
      </x:c>
      <x:c r="D351" s="5" t="n">
        <x:f>'01_Indicadores'!$H$8</x:f>
        <x:v>45</x:v>
      </x:c>
      <x:c r="E351" s="5" t="n">
        <x:f>0+0</x:f>
        <x:v>0</x:v>
      </x:c>
      <x:c r="F351" s="5" t="n">
        <x:f>'00_Arquitectura'!$B$101*('01_Indicadores'!$H$7-'01_Indicadores'!$H$7)+'00_Arquitectura'!$B$102*('01_Indicadores'!$H$6-'01_Indicadores'!$H$6)</x:f>
        <x:v>0</x:v>
      </x:c>
      <x:c r="G351" s="5" t="n">
        <x:f>MAX(-'00_Arquitectura'!$B$106,MIN('00_Arquitectura'!$B$106,E351+F351))</x:f>
        <x:v>0</x:v>
      </x:c>
      <x:c r="H351" s="5" t="n">
        <x:f>MAX(0,MIN(100,D351+G351))</x:f>
        <x:v>45</x:v>
      </x:c>
      <x:c r="I351" s="5" t="n">
        <x:f>0</x:f>
        <x:v>0</x:v>
      </x:c>
      <x:c r="J351" s="5" t="n">
        <x:f>MAX(-'00_Arquitectura'!$B$107,MIN('00_Arquitectura'!$B$107,0))</x:f>
        <x:v>0</x:v>
      </x:c>
      <x:c r="K351" s="5" t="n">
        <x:f>MAX(0,MIN(100,H351+I351+J351))</x:f>
        <x:v>45</x:v>
      </x:c>
      <x:c r="L351" s="5" t="str">
        <x:v>Aplica link L03. Pulsos y offsets: filtrar Instancias por escenario, turno y targetId. Base separada del nivel visible.</x:v>
      </x:c>
    </x:row>
    <x:row r="352" ht="42" customHeight="1">
      <x:c r="A352" s="10" t="str">
        <x:v>S3_SALARIO</x:v>
      </x:c>
      <x:c r="B352" s="10" t="n">
        <x:v>1</x:v>
      </x:c>
      <x:c r="C352" s="10" t="str">
        <x:v>credito</x:v>
      </x:c>
      <x:c r="D352" s="10" t="n">
        <x:f>'01_Indicadores'!$H$9</x:f>
        <x:v>45</x:v>
      </x:c>
      <x:c r="E352" s="10" t="n">
        <x:f>0+0</x:f>
        <x:v>0</x:v>
      </x:c>
      <x:c r="F352" s="10" t="n">
        <x:f>-'00_Arquitectura'!$B$103*('01_Indicadores'!$H$9-45)+'00_Arquitectura'!$B$104*('01_Indicadores'!$H$6-'01_Indicadores'!$H$6)+'00_Arquitectura'!$B$105*('01_Indicadores'!$H$10-'00_Arquitectura'!$B$117)</x:f>
        <x:v>0</x:v>
      </x:c>
      <x:c r="G352" s="10" t="n">
        <x:f>MAX(-'00_Arquitectura'!$B$106,MIN('00_Arquitectura'!$B$106,E352+F352))</x:f>
        <x:v>0</x:v>
      </x:c>
      <x:c r="H352" s="10" t="n">
        <x:f>MAX(0,MIN(100,D352+G352))</x:f>
        <x:v>45</x:v>
      </x:c>
      <x:c r="I352" s="10" t="n">
        <x:f>0</x:f>
        <x:v>0</x:v>
      </x:c>
      <x:c r="J352" s="10" t="n">
        <x:f>MAX(-'00_Arquitectura'!$B$107,MIN('00_Arquitectura'!$B$107,0))</x:f>
        <x:v>0</x:v>
      </x:c>
      <x:c r="K352" s="10" t="n">
        <x:f>MAX(0,MIN(100,H352+I352+J352))</x:f>
        <x:v>45</x:v>
      </x:c>
      <x:c r="L352" s="10" t="str">
        <x:v>Aplica link L04. Pulsos y offsets: filtrar Instancias por escenario, turno y targetId. Base separada del nivel visible.</x:v>
      </x:c>
    </x:row>
    <x:row r="353" ht="34" customHeight="1">
      <x:c r="A353" s="5" t="str">
        <x:v>S3_SALARIO</x:v>
      </x:c>
      <x:c r="B353" s="5" t="n">
        <x:v>1</x:v>
      </x:c>
      <x:c r="C353" s="5" t="str">
        <x:v>fiscal</x:v>
      </x:c>
      <x:c r="D353" s="5" t="n">
        <x:f>'01_Indicadores'!$H$10</x:f>
        <x:v>58</x:v>
      </x:c>
      <x:c r="E353" s="5" t="n">
        <x:f>0+0</x:f>
        <x:v>0</x:v>
      </x:c>
      <x:c r="F353" s="5" t="n">
        <x:f>0</x:f>
        <x:v>0</x:v>
      </x:c>
      <x:c r="G353" s="5" t="n">
        <x:f>MAX(-'00_Arquitectura'!$B$106,MIN('00_Arquitectura'!$B$106,E353+F353))</x:f>
        <x:v>0</x:v>
      </x:c>
      <x:c r="H353" s="5" t="n">
        <x:f>$O$35</x:f>
        <x:v>58</x:v>
      </x:c>
      <x:c r="I353" s="5" t="n">
        <x:f>0</x:f>
        <x:v>0</x:v>
      </x:c>
      <x:c r="J353" s="5" t="n">
        <x:f>MAX(-'00_Arquitectura'!$B$107,MIN('00_Arquitectura'!$B$107,0))</x:f>
        <x:v>0</x:v>
      </x:c>
      <x:c r="K353" s="5" t="n">
        <x:f>MAX(0,MIN(100,H353+I353+J353))</x:f>
        <x:v>58</x:v>
      </x:c>
      <x:c r="L353" s="5" t="str">
        <x:v>Derivado de caja: ingreso recurrente, gasto, intereses y deuda. Nunca SUM de efectos fiscales directos.</x:v>
      </x:c>
    </x:row>
    <x:row r="354" ht="34" customHeight="1">
      <x:c r="A354" s="10" t="str">
        <x:v>S3_SALARIO</x:v>
      </x:c>
      <x:c r="B354" s="10" t="n">
        <x:v>1</x:v>
      </x:c>
      <x:c r="C354" s="10" t="str">
        <x:v>externo</x:v>
      </x:c>
      <x:c r="D354" s="10" t="n">
        <x:f>'01_Indicadores'!$H$11</x:f>
        <x:v>45</x:v>
      </x:c>
      <x:c r="E354" s="10" t="n">
        <x:f>0+0</x:f>
        <x:v>0</x:v>
      </x:c>
      <x:c r="F354" s="10" t="n">
        <x:f>0</x:f>
        <x:v>0</x:v>
      </x:c>
      <x:c r="G354" s="10" t="n">
        <x:f>MAX(-'00_Arquitectura'!$B$106,MIN('00_Arquitectura'!$B$106,E354+F354))</x:f>
        <x:v>0</x:v>
      </x:c>
      <x:c r="H354" s="10" t="n">
        <x:f>MAX(0,MIN(100,D354+G354))</x:f>
        <x:v>45</x:v>
      </x:c>
      <x:c r="I354" s="10" t="n">
        <x:f>0</x:f>
        <x:v>0</x:v>
      </x:c>
      <x:c r="J354" s="10" t="n">
        <x:f>MAX(-'00_Arquitectura'!$B$107,MIN('00_Arquitectura'!$B$107,0))</x:f>
        <x:v>0</x:v>
      </x:c>
      <x:c r="K354" s="10" t="n">
        <x:f>MAX(0,MIN(100,H354+I354+J354))</x:f>
        <x:v>45</x:v>
      </x:c>
      <x:c r="L354" s="10" t="str">
        <x:v>Pulsos y offsets: filtrar Instancias por escenario, turno y targetId. Base separada del nivel visible.</x:v>
      </x:c>
    </x:row>
    <x:row r="355" ht="34" customHeight="1">
      <x:c r="A355" s="5" t="str">
        <x:v>S3_SALARIO</x:v>
      </x:c>
      <x:c r="B355" s="5" t="n">
        <x:v>1</x:v>
      </x:c>
      <x:c r="C355" s="5" t="str">
        <x:v>infraestructura</x:v>
      </x:c>
      <x:c r="D355" s="5" t="n">
        <x:f>'01_Indicadores'!$H$12</x:f>
        <x:v>45</x:v>
      </x:c>
      <x:c r="E355" s="5" t="n">
        <x:f>0+0</x:f>
        <x:v>0</x:v>
      </x:c>
      <x:c r="F355" s="5" t="n">
        <x:f>0</x:f>
        <x:v>0</x:v>
      </x:c>
      <x:c r="G355" s="5" t="n">
        <x:f>MAX(-'00_Arquitectura'!$B$106,MIN('00_Arquitectura'!$B$106,E355+F355))</x:f>
        <x:v>0</x:v>
      </x:c>
      <x:c r="H355" s="5" t="n">
        <x:f>MAX(0,MIN(100,D355+G355))</x:f>
        <x:v>45</x:v>
      </x:c>
      <x:c r="I355" s="5" t="n">
        <x:f>0</x:f>
        <x:v>0</x:v>
      </x:c>
      <x:c r="J355" s="5" t="n">
        <x:f>MAX(-'00_Arquitectura'!$B$107,MIN('00_Arquitectura'!$B$107,0))</x:f>
        <x:v>0</x:v>
      </x:c>
      <x:c r="K355" s="5" t="n">
        <x:f>MAX(0,MIN(100,H355+I355+J355))</x:f>
        <x:v>45</x:v>
      </x:c>
      <x:c r="L355" s="5" t="str">
        <x:v>Pulsos y offsets: filtrar Instancias por escenario, turno y targetId. Base separada del nivel visible.</x:v>
      </x:c>
    </x:row>
    <x:row r="356" ht="34" customHeight="1">
      <x:c r="A356" s="10" t="str">
        <x:v>S3_SALARIO</x:v>
      </x:c>
      <x:c r="B356" s="10" t="n">
        <x:v>1</x:v>
      </x:c>
      <x:c r="C356" s="10" t="str">
        <x:v>educacion</x:v>
      </x:c>
      <x:c r="D356" s="10" t="n">
        <x:f>'01_Indicadores'!$H$13</x:f>
        <x:v>50</x:v>
      </x:c>
      <x:c r="E356" s="10" t="n">
        <x:f>0+0</x:f>
        <x:v>0</x:v>
      </x:c>
      <x:c r="F356" s="10" t="n">
        <x:f>0</x:f>
        <x:v>0</x:v>
      </x:c>
      <x:c r="G356" s="10" t="n">
        <x:f>MAX(-'00_Arquitectura'!$B$106,MIN('00_Arquitectura'!$B$106,E356+F356))</x:f>
        <x:v>0</x:v>
      </x:c>
      <x:c r="H356" s="10" t="n">
        <x:f>MAX(0,MIN(100,D356+G356))</x:f>
        <x:v>50</x:v>
      </x:c>
      <x:c r="I356" s="10" t="n">
        <x:f>0</x:f>
        <x:v>0</x:v>
      </x:c>
      <x:c r="J356" s="10" t="n">
        <x:f>MAX(-'00_Arquitectura'!$B$107,MIN('00_Arquitectura'!$B$107,0))</x:f>
        <x:v>0</x:v>
      </x:c>
      <x:c r="K356" s="10" t="n">
        <x:f>MAX(0,MIN(100,H356+I356+J356))</x:f>
        <x:v>50</x:v>
      </x:c>
      <x:c r="L356" s="10" t="str">
        <x:v>Pulsos y offsets: filtrar Instancias por escenario, turno y targetId. Base separada del nivel visible.</x:v>
      </x:c>
    </x:row>
    <x:row r="357" ht="34" customHeight="1">
      <x:c r="A357" s="5" t="str">
        <x:v>S3_SALARIO</x:v>
      </x:c>
      <x:c r="B357" s="5" t="n">
        <x:v>1</x:v>
      </x:c>
      <x:c r="C357" s="5" t="str">
        <x:v>salud</x:v>
      </x:c>
      <x:c r="D357" s="5" t="n">
        <x:f>'01_Indicadores'!$H$14</x:f>
        <x:v>50</x:v>
      </x:c>
      <x:c r="E357" s="5" t="n">
        <x:f>0+0</x:f>
        <x:v>0</x:v>
      </x:c>
      <x:c r="F357" s="5" t="n">
        <x:f>0</x:f>
        <x:v>0</x:v>
      </x:c>
      <x:c r="G357" s="5" t="n">
        <x:f>MAX(-'00_Arquitectura'!$B$106,MIN('00_Arquitectura'!$B$106,E357+F357))</x:f>
        <x:v>0</x:v>
      </x:c>
      <x:c r="H357" s="5" t="n">
        <x:f>MAX(0,MIN(100,D357+G357))</x:f>
        <x:v>50</x:v>
      </x:c>
      <x:c r="I357" s="5" t="n">
        <x:f>0</x:f>
        <x:v>0</x:v>
      </x:c>
      <x:c r="J357" s="5" t="n">
        <x:f>MAX(-'00_Arquitectura'!$B$107,MIN('00_Arquitectura'!$B$107,0))</x:f>
        <x:v>0</x:v>
      </x:c>
      <x:c r="K357" s="5" t="n">
        <x:f>MAX(0,MIN(100,H357+I357+J357))</x:f>
        <x:v>50</x:v>
      </x:c>
      <x:c r="L357" s="5" t="str">
        <x:v>Pulsos y offsets: filtrar Instancias por escenario, turno y targetId. Base separada del nivel visible.</x:v>
      </x:c>
    </x:row>
    <x:row r="358" ht="34" customHeight="1">
      <x:c r="A358" s="10" t="str">
        <x:v>S3_SALARIO</x:v>
      </x:c>
      <x:c r="B358" s="10" t="n">
        <x:v>1</x:v>
      </x:c>
      <x:c r="C358" s="10" t="str">
        <x:v>proteccion</x:v>
      </x:c>
      <x:c r="D358" s="10" t="n">
        <x:f>'01_Indicadores'!$H$15</x:f>
        <x:v>45</x:v>
      </x:c>
      <x:c r="E358" s="10" t="n">
        <x:f>0+0</x:f>
        <x:v>0</x:v>
      </x:c>
      <x:c r="F358" s="10" t="n">
        <x:f>0</x:f>
        <x:v>0</x:v>
      </x:c>
      <x:c r="G358" s="10" t="n">
        <x:f>MAX(-'00_Arquitectura'!$B$106,MIN('00_Arquitectura'!$B$106,E358+F358))</x:f>
        <x:v>0</x:v>
      </x:c>
      <x:c r="H358" s="10" t="n">
        <x:f>MAX(0,MIN(100,D358+G358))</x:f>
        <x:v>45</x:v>
      </x:c>
      <x:c r="I358" s="10" t="n">
        <x:f>0</x:f>
        <x:v>0</x:v>
      </x:c>
      <x:c r="J358" s="10" t="n">
        <x:f>MAX(-'00_Arquitectura'!$B$107,MIN('00_Arquitectura'!$B$107,0))</x:f>
        <x:v>0</x:v>
      </x:c>
      <x:c r="K358" s="10" t="n">
        <x:f>MAX(0,MIN(100,H358+I358+J358))</x:f>
        <x:v>45</x:v>
      </x:c>
      <x:c r="L358" s="10" t="str">
        <x:v>Pulsos y offsets: filtrar Instancias por escenario, turno y targetId. Base separada del nivel visible.</x:v>
      </x:c>
    </x:row>
    <x:row r="359" ht="34" customHeight="1">
      <x:c r="A359" s="5" t="str">
        <x:v>S3_SALARIO</x:v>
      </x:c>
      <x:c r="B359" s="5" t="n">
        <x:v>1</x:v>
      </x:c>
      <x:c r="C359" s="5" t="str">
        <x:v>seguridad</x:v>
      </x:c>
      <x:c r="D359" s="5" t="n">
        <x:f>'01_Indicadores'!$H$16</x:f>
        <x:v>45</x:v>
      </x:c>
      <x:c r="E359" s="5" t="n">
        <x:f>0+0</x:f>
        <x:v>0</x:v>
      </x:c>
      <x:c r="F359" s="5" t="n">
        <x:f>0</x:f>
        <x:v>0</x:v>
      </x:c>
      <x:c r="G359" s="5" t="n">
        <x:f>MAX(-'00_Arquitectura'!$B$106,MIN('00_Arquitectura'!$B$106,E359+F359))</x:f>
        <x:v>0</x:v>
      </x:c>
      <x:c r="H359" s="5" t="n">
        <x:f>MAX(0,MIN(100,D359+G359))</x:f>
        <x:v>45</x:v>
      </x:c>
      <x:c r="I359" s="5" t="n">
        <x:f>0</x:f>
        <x:v>0</x:v>
      </x:c>
      <x:c r="J359" s="5" t="n">
        <x:f>MAX(-'00_Arquitectura'!$B$107,MIN('00_Arquitectura'!$B$107,0))</x:f>
        <x:v>0</x:v>
      </x:c>
      <x:c r="K359" s="5" t="n">
        <x:f>MAX(0,MIN(100,H359+I359+J359))</x:f>
        <x:v>45</x:v>
      </x:c>
      <x:c r="L359" s="5" t="str">
        <x:v>Pulsos y offsets: filtrar Instancias por escenario, turno y targetId. Base separada del nivel visible.</x:v>
      </x:c>
    </x:row>
    <x:row r="360" ht="34" customHeight="1">
      <x:c r="A360" s="10" t="str">
        <x:v>S3_SALARIO</x:v>
      </x:c>
      <x:c r="B360" s="10" t="n">
        <x:v>1</x:v>
      </x:c>
      <x:c r="C360" s="10" t="str">
        <x:v>ciencia</x:v>
      </x:c>
      <x:c r="D360" s="10" t="n">
        <x:f>'01_Indicadores'!$H$17</x:f>
        <x:v>40</x:v>
      </x:c>
      <x:c r="E360" s="10" t="n">
        <x:f>0+0</x:f>
        <x:v>0</x:v>
      </x:c>
      <x:c r="F360" s="10" t="n">
        <x:f>0</x:f>
        <x:v>0</x:v>
      </x:c>
      <x:c r="G360" s="10" t="n">
        <x:f>MAX(-'00_Arquitectura'!$B$106,MIN('00_Arquitectura'!$B$106,E360+F360))</x:f>
        <x:v>0</x:v>
      </x:c>
      <x:c r="H360" s="10" t="n">
        <x:f>MAX(0,MIN(100,D360+G360))</x:f>
        <x:v>40</x:v>
      </x:c>
      <x:c r="I360" s="10" t="n">
        <x:f>0</x:f>
        <x:v>0</x:v>
      </x:c>
      <x:c r="J360" s="10" t="n">
        <x:f>MAX(-'00_Arquitectura'!$B$107,MIN('00_Arquitectura'!$B$107,0))</x:f>
        <x:v>0</x:v>
      </x:c>
      <x:c r="K360" s="10" t="n">
        <x:f>MAX(0,MIN(100,H360+I360+J360))</x:f>
        <x:v>40</x:v>
      </x:c>
      <x:c r="L360" s="10" t="str">
        <x:v>Pulsos y offsets: filtrar Instancias por escenario, turno y targetId. Base separada del nivel visible.</x:v>
      </x:c>
    </x:row>
    <x:row r="361" ht="34" customHeight="1">
      <x:c r="A361" s="5" t="str">
        <x:v>S3_SALARIO</x:v>
      </x:c>
      <x:c r="B361" s="5" t="n">
        <x:v>1</x:v>
      </x:c>
      <x:c r="C361" s="5" t="str">
        <x:v>derechos</x:v>
      </x:c>
      <x:c r="D361" s="5" t="n">
        <x:f>'01_Indicadores'!$H$18</x:f>
        <x:v>55</x:v>
      </x:c>
      <x:c r="E361" s="5" t="n">
        <x:f>0+0</x:f>
        <x:v>0</x:v>
      </x:c>
      <x:c r="F361" s="5" t="n">
        <x:f>0</x:f>
        <x:v>0</x:v>
      </x:c>
      <x:c r="G361" s="5" t="n">
        <x:f>MAX(-'00_Arquitectura'!$B$106,MIN('00_Arquitectura'!$B$106,E361+F361))</x:f>
        <x:v>0</x:v>
      </x:c>
      <x:c r="H361" s="5" t="n">
        <x:f>MAX(0,MIN(100,D361+G361))</x:f>
        <x:v>55</x:v>
      </x:c>
      <x:c r="I361" s="5" t="n">
        <x:f>0</x:f>
        <x:v>0</x:v>
      </x:c>
      <x:c r="J361" s="5" t="n">
        <x:f>MAX(-'00_Arquitectura'!$B$107,MIN('00_Arquitectura'!$B$107,0))</x:f>
        <x:v>0</x:v>
      </x:c>
      <x:c r="K361" s="5" t="n">
        <x:f>MAX(0,MIN(100,H361+I361+J361))</x:f>
        <x:v>55</x:v>
      </x:c>
      <x:c r="L361" s="5" t="str">
        <x:v>Pulsos y offsets: filtrar Instancias por escenario, turno y targetId. Base separada del nivel visible.</x:v>
      </x:c>
    </x:row>
    <x:row r="362" ht="34" customHeight="1">
      <x:c r="A362" s="10" t="str">
        <x:v>S3_SALARIO</x:v>
      </x:c>
      <x:c r="B362" s="10" t="n">
        <x:v>1</x:v>
      </x:c>
      <x:c r="C362" s="10" t="str">
        <x:v>ambiente</x:v>
      </x:c>
      <x:c r="D362" s="10" t="n">
        <x:f>'01_Indicadores'!$H$19</x:f>
        <x:v>50</x:v>
      </x:c>
      <x:c r="E362" s="10" t="n">
        <x:f>0+0</x:f>
        <x:v>0</x:v>
      </x:c>
      <x:c r="F362" s="10" t="n">
        <x:f>0</x:f>
        <x:v>0</x:v>
      </x:c>
      <x:c r="G362" s="10" t="n">
        <x:f>MAX(-'00_Arquitectura'!$B$106,MIN('00_Arquitectura'!$B$106,E362+F362))</x:f>
        <x:v>0</x:v>
      </x:c>
      <x:c r="H362" s="10" t="n">
        <x:f>MAX(0,MIN(100,D362+G362))</x:f>
        <x:v>50</x:v>
      </x:c>
      <x:c r="I362" s="10" t="n">
        <x:f>0</x:f>
        <x:v>0</x:v>
      </x:c>
      <x:c r="J362" s="10" t="n">
        <x:f>MAX(-'00_Arquitectura'!$B$107,MIN('00_Arquitectura'!$B$107,0))</x:f>
        <x:v>0</x:v>
      </x:c>
      <x:c r="K362" s="10" t="n">
        <x:f>MAX(0,MIN(100,H362+I362+J362))</x:f>
        <x:v>50</x:v>
      </x:c>
      <x:c r="L362" s="10" t="str">
        <x:v>Pulsos y offsets: filtrar Instancias por escenario, turno y targetId. Base separada del nivel visible.</x:v>
      </x:c>
    </x:row>
    <x:row r="363" ht="42" customHeight="1">
      <x:c r="A363" s="5" t="str">
        <x:v>S3_SALARIO</x:v>
      </x:c>
      <x:c r="B363" s="5" t="n">
        <x:v>2</x:v>
      </x:c>
      <x:c r="C363" s="5" t="str">
        <x:v>inflacion</x:v>
      </x:c>
      <x:c r="D363" s="5" t="n">
        <x:f>$H$349</x:f>
        <x:v>40</x:v>
      </x:c>
      <x:c r="E363" s="5" t="n">
        <x:f>0+0</x:f>
        <x:v>0</x:v>
      </x:c>
      <x:c r="F363" s="5" t="n">
        <x:f>-'00_Arquitectura'!$B$96*($H$349-40)</x:f>
        <x:v>0</x:v>
      </x:c>
      <x:c r="G363" s="5" t="n">
        <x:f>MAX(-'00_Arquitectura'!$B$106,MIN('00_Arquitectura'!$B$106,E363+F363))</x:f>
        <x:v>0</x:v>
      </x:c>
      <x:c r="H363" s="5" t="n">
        <x:f>MAX(0,MIN(100,D363+G363))</x:f>
        <x:v>40</x:v>
      </x:c>
      <x:c r="I363" s="5" t="n">
        <x:f>0</x:f>
        <x:v>0</x:v>
      </x:c>
      <x:c r="J363" s="5" t="n">
        <x:f>MAX(-'00_Arquitectura'!$B$107,MIN('00_Arquitectura'!$B$107,0))</x:f>
        <x:v>0</x:v>
      </x:c>
      <x:c r="K363" s="5" t="n">
        <x:f>MAX(0,MIN(100,H363+I363+J363))</x:f>
        <x:v>40</x:v>
      </x:c>
      <x:c r="L363" s="5" t="str">
        <x:v>Aplica link L01. Pulsos y offsets: filtrar Instancias por escenario, turno y targetId. Base separada del nivel visible.</x:v>
      </x:c>
    </x:row>
    <x:row r="364" ht="42" customHeight="1">
      <x:c r="A364" s="10" t="str">
        <x:v>S3_SALARIO</x:v>
      </x:c>
      <x:c r="B364" s="10" t="n">
        <x:v>2</x:v>
      </x:c>
      <x:c r="C364" s="10" t="str">
        <x:v>actividad</x:v>
      </x:c>
      <x:c r="D364" s="10" t="n">
        <x:f>$H$350</x:f>
        <x:v>50</x:v>
      </x:c>
      <x:c r="E364" s="10" t="n">
        <x:f>0+0</x:f>
        <x:v>0</x:v>
      </x:c>
      <x:c r="F364" s="10" t="n">
        <x:f>-'00_Arquitectura'!$B$97*($H$350-50)+'00_Arquitectura'!$B$98*($K$352-45)+'00_Arquitectura'!$B$99*($K$355-45)+'00_Arquitectura'!$B$100*($K$354-45)</x:f>
        <x:v>0</x:v>
      </x:c>
      <x:c r="G364" s="10" t="n">
        <x:f>MAX(-'00_Arquitectura'!$B$106,MIN('00_Arquitectura'!$B$106,E364+F364))</x:f>
        <x:v>0</x:v>
      </x:c>
      <x:c r="H364" s="10" t="n">
        <x:f>MAX(0,MIN(100,D364+G364))</x:f>
        <x:v>50</x:v>
      </x:c>
      <x:c r="I364" s="10" t="n">
        <x:f>0</x:f>
        <x:v>0</x:v>
      </x:c>
      <x:c r="J364" s="10" t="n">
        <x:f>MAX(-'00_Arquitectura'!$B$107,MIN('00_Arquitectura'!$B$107,$J$1133+$J$1136+$J$1137))</x:f>
        <x:v>0</x:v>
      </x:c>
      <x:c r="K364" s="10" t="n">
        <x:f>MAX(0,MIN(100,H364+I364+J364))</x:f>
        <x:v>50</x:v>
      </x:c>
      <x:c r="L364" s="10" t="str">
        <x:v>Aplica link L02. Pulsos y offsets: filtrar Instancias por escenario, turno y targetId. Base separada del nivel visible.</x:v>
      </x:c>
    </x:row>
    <x:row r="365" ht="42" customHeight="1">
      <x:c r="A365" s="5" t="str">
        <x:v>S3_SALARIO</x:v>
      </x:c>
      <x:c r="B365" s="5" t="n">
        <x:v>2</x:v>
      </x:c>
      <x:c r="C365" s="5" t="str">
        <x:v>ingreso_real</x:v>
      </x:c>
      <x:c r="D365" s="5" t="n">
        <x:f>$H$351</x:f>
        <x:v>45</x:v>
      </x:c>
      <x:c r="E365" s="5" t="n">
        <x:f>SUM($I$1706)+0</x:f>
        <x:v>5</x:v>
      </x:c>
      <x:c r="F365" s="5" t="n">
        <x:f>'00_Arquitectura'!$B$101*($K$350-'01_Indicadores'!$H$7)+'00_Arquitectura'!$B$102*($K$349-'01_Indicadores'!$H$6)</x:f>
        <x:v>0</x:v>
      </x:c>
      <x:c r="G365" s="5" t="n">
        <x:f>MAX(-'00_Arquitectura'!$B$106,MIN('00_Arquitectura'!$B$106,E365+F365))</x:f>
        <x:v>5</x:v>
      </x:c>
      <x:c r="H365" s="5" t="n">
        <x:f>MAX(0,MIN(100,D365+G365))</x:f>
        <x:v>50</x:v>
      </x:c>
      <x:c r="I365" s="5" t="n">
        <x:f>0</x:f>
        <x:v>0</x:v>
      </x:c>
      <x:c r="J365" s="5" t="n">
        <x:f>MAX(-'00_Arquitectura'!$B$107,MIN('00_Arquitectura'!$B$107,0))</x:f>
        <x:v>0</x:v>
      </x:c>
      <x:c r="K365" s="5" t="n">
        <x:f>MAX(0,MIN(100,H365+I365+J365))</x:f>
        <x:v>50</x:v>
      </x:c>
      <x:c r="L365" s="5" t="str">
        <x:v>Aplica link L03. Pulsos y offsets: filtrar Instancias por escenario, turno y targetId. Base separada del nivel visible.</x:v>
      </x:c>
    </x:row>
    <x:row r="366" ht="42" customHeight="1">
      <x:c r="A366" s="10" t="str">
        <x:v>S3_SALARIO</x:v>
      </x:c>
      <x:c r="B366" s="10" t="n">
        <x:v>2</x:v>
      </x:c>
      <x:c r="C366" s="10" t="str">
        <x:v>credito</x:v>
      </x:c>
      <x:c r="D366" s="10" t="n">
        <x:f>$H$352</x:f>
        <x:v>45</x:v>
      </x:c>
      <x:c r="E366" s="10" t="n">
        <x:f>0+0</x:f>
        <x:v>0</x:v>
      </x:c>
      <x:c r="F366" s="10" t="n">
        <x:f>-'00_Arquitectura'!$B$103*($H$352-45)+'00_Arquitectura'!$B$104*($K$349-'01_Indicadores'!$H$6)+'00_Arquitectura'!$B$105*($K$353-'00_Arquitectura'!$B$117)</x:f>
        <x:v>0</x:v>
      </x:c>
      <x:c r="G366" s="10" t="n">
        <x:f>MAX(-'00_Arquitectura'!$B$106,MIN('00_Arquitectura'!$B$106,E366+F366))</x:f>
        <x:v>0</x:v>
      </x:c>
      <x:c r="H366" s="10" t="n">
        <x:f>MAX(0,MIN(100,D366+G366))</x:f>
        <x:v>45</x:v>
      </x:c>
      <x:c r="I366" s="10" t="n">
        <x:f>0</x:f>
        <x:v>0</x:v>
      </x:c>
      <x:c r="J366" s="10" t="n">
        <x:f>MAX(-'00_Arquitectura'!$B$107,MIN('00_Arquitectura'!$B$107,$J$1135))</x:f>
        <x:v>0</x:v>
      </x:c>
      <x:c r="K366" s="10" t="n">
        <x:f>MAX(0,MIN(100,H366+I366+J366))</x:f>
        <x:v>45</x:v>
      </x:c>
      <x:c r="L366" s="10" t="str">
        <x:v>Aplica link L04. Pulsos y offsets: filtrar Instancias por escenario, turno y targetId. Base separada del nivel visible.</x:v>
      </x:c>
    </x:row>
    <x:row r="367" ht="34" customHeight="1">
      <x:c r="A367" s="5" t="str">
        <x:v>S3_SALARIO</x:v>
      </x:c>
      <x:c r="B367" s="5" t="n">
        <x:v>2</x:v>
      </x:c>
      <x:c r="C367" s="5" t="str">
        <x:v>fiscal</x:v>
      </x:c>
      <x:c r="D367" s="5" t="n">
        <x:f>$H$353</x:f>
        <x:v>58</x:v>
      </x:c>
      <x:c r="E367" s="5" t="n">
        <x:f>0+0</x:f>
        <x:v>0</x:v>
      </x:c>
      <x:c r="F367" s="5" t="n">
        <x:f>0</x:f>
        <x:v>0</x:v>
      </x:c>
      <x:c r="G367" s="5" t="n">
        <x:f>MAX(-'00_Arquitectura'!$B$106,MIN('00_Arquitectura'!$B$106,E367+F367))</x:f>
        <x:v>0</x:v>
      </x:c>
      <x:c r="H367" s="5" t="n">
        <x:f>$O$36</x:f>
        <x:v>58</x:v>
      </x:c>
      <x:c r="I367" s="5" t="n">
        <x:f>0</x:f>
        <x:v>0</x:v>
      </x:c>
      <x:c r="J367" s="5" t="n">
        <x:f>MAX(-'00_Arquitectura'!$B$107,MIN('00_Arquitectura'!$B$107,0))</x:f>
        <x:v>0</x:v>
      </x:c>
      <x:c r="K367" s="5" t="n">
        <x:f>MAX(0,MIN(100,H367+I367+J367))</x:f>
        <x:v>58</x:v>
      </x:c>
      <x:c r="L367" s="5" t="str">
        <x:v>Derivado de caja: ingreso recurrente, gasto, intereses y deuda. Nunca SUM de efectos fiscales directos.</x:v>
      </x:c>
    </x:row>
    <x:row r="368" ht="34" customHeight="1">
      <x:c r="A368" s="10" t="str">
        <x:v>S3_SALARIO</x:v>
      </x:c>
      <x:c r="B368" s="10" t="n">
        <x:v>2</x:v>
      </x:c>
      <x:c r="C368" s="10" t="str">
        <x:v>externo</x:v>
      </x:c>
      <x:c r="D368" s="10" t="n">
        <x:f>$H$354</x:f>
        <x:v>45</x:v>
      </x:c>
      <x:c r="E368" s="10" t="n">
        <x:f>0+0</x:f>
        <x:v>0</x:v>
      </x:c>
      <x:c r="F368" s="10" t="n">
        <x:f>0</x:f>
        <x:v>0</x:v>
      </x:c>
      <x:c r="G368" s="10" t="n">
        <x:f>MAX(-'00_Arquitectura'!$B$106,MIN('00_Arquitectura'!$B$106,E368+F368))</x:f>
        <x:v>0</x:v>
      </x:c>
      <x:c r="H368" s="10" t="n">
        <x:f>MAX(0,MIN(100,D368+G368))</x:f>
        <x:v>45</x:v>
      </x:c>
      <x:c r="I368" s="10" t="n">
        <x:f>0</x:f>
        <x:v>0</x:v>
      </x:c>
      <x:c r="J368" s="10" t="n">
        <x:f>MAX(-'00_Arquitectura'!$B$107,MIN('00_Arquitectura'!$B$107,$J$1134))</x:f>
        <x:v>0</x:v>
      </x:c>
      <x:c r="K368" s="10" t="n">
        <x:f>MAX(0,MIN(100,H368+I368+J368))</x:f>
        <x:v>45</x:v>
      </x:c>
      <x:c r="L368" s="10" t="str">
        <x:v>Pulsos y offsets: filtrar Instancias por escenario, turno y targetId. Base separada del nivel visible.</x:v>
      </x:c>
    </x:row>
    <x:row r="369" ht="34" customHeight="1">
      <x:c r="A369" s="5" t="str">
        <x:v>S3_SALARIO</x:v>
      </x:c>
      <x:c r="B369" s="5" t="n">
        <x:v>2</x:v>
      </x:c>
      <x:c r="C369" s="5" t="str">
        <x:v>infraestructura</x:v>
      </x:c>
      <x:c r="D369" s="5" t="n">
        <x:f>$H$355</x:f>
        <x:v>45</x:v>
      </x:c>
      <x:c r="E369" s="5" t="n">
        <x:f>0+0</x:f>
        <x:v>0</x:v>
      </x:c>
      <x:c r="F369" s="5" t="n">
        <x:f>0</x:f>
        <x:v>0</x:v>
      </x:c>
      <x:c r="G369" s="5" t="n">
        <x:f>MAX(-'00_Arquitectura'!$B$106,MIN('00_Arquitectura'!$B$106,E369+F369))</x:f>
        <x:v>0</x:v>
      </x:c>
      <x:c r="H369" s="5" t="n">
        <x:f>MAX(0,MIN(100,D369+G369))</x:f>
        <x:v>45</x:v>
      </x:c>
      <x:c r="I369" s="5" t="n">
        <x:f>0</x:f>
        <x:v>0</x:v>
      </x:c>
      <x:c r="J369" s="5" t="n">
        <x:f>MAX(-'00_Arquitectura'!$B$107,MIN('00_Arquitectura'!$B$107,0))</x:f>
        <x:v>0</x:v>
      </x:c>
      <x:c r="K369" s="5" t="n">
        <x:f>MAX(0,MIN(100,H369+I369+J369))</x:f>
        <x:v>45</x:v>
      </x:c>
      <x:c r="L369" s="5" t="str">
        <x:v>Pulsos y offsets: filtrar Instancias por escenario, turno y targetId. Base separada del nivel visible.</x:v>
      </x:c>
    </x:row>
    <x:row r="370" ht="34" customHeight="1">
      <x:c r="A370" s="10" t="str">
        <x:v>S3_SALARIO</x:v>
      </x:c>
      <x:c r="B370" s="10" t="n">
        <x:v>2</x:v>
      </x:c>
      <x:c r="C370" s="10" t="str">
        <x:v>educacion</x:v>
      </x:c>
      <x:c r="D370" s="10" t="n">
        <x:f>$H$356</x:f>
        <x:v>50</x:v>
      </x:c>
      <x:c r="E370" s="10" t="n">
        <x:f>0+0</x:f>
        <x:v>0</x:v>
      </x:c>
      <x:c r="F370" s="10" t="n">
        <x:f>0</x:f>
        <x:v>0</x:v>
      </x:c>
      <x:c r="G370" s="10" t="n">
        <x:f>MAX(-'00_Arquitectura'!$B$106,MIN('00_Arquitectura'!$B$106,E370+F370))</x:f>
        <x:v>0</x:v>
      </x:c>
      <x:c r="H370" s="10" t="n">
        <x:f>MAX(0,MIN(100,D370+G370))</x:f>
        <x:v>50</x:v>
      </x:c>
      <x:c r="I370" s="10" t="n">
        <x:f>0</x:f>
        <x:v>0</x:v>
      </x:c>
      <x:c r="J370" s="10" t="n">
        <x:f>MAX(-'00_Arquitectura'!$B$107,MIN('00_Arquitectura'!$B$107,$J$1141))</x:f>
        <x:v>0</x:v>
      </x:c>
      <x:c r="K370" s="10" t="n">
        <x:f>MAX(0,MIN(100,H370+I370+J370))</x:f>
        <x:v>50</x:v>
      </x:c>
      <x:c r="L370" s="10" t="str">
        <x:v>Pulsos y offsets: filtrar Instancias por escenario, turno y targetId. Base separada del nivel visible.</x:v>
      </x:c>
    </x:row>
    <x:row r="371" ht="34" customHeight="1">
      <x:c r="A371" s="5" t="str">
        <x:v>S3_SALARIO</x:v>
      </x:c>
      <x:c r="B371" s="5" t="n">
        <x:v>2</x:v>
      </x:c>
      <x:c r="C371" s="5" t="str">
        <x:v>salud</x:v>
      </x:c>
      <x:c r="D371" s="5" t="n">
        <x:f>$H$357</x:f>
        <x:v>50</x:v>
      </x:c>
      <x:c r="E371" s="5" t="n">
        <x:f>0+0</x:f>
        <x:v>0</x:v>
      </x:c>
      <x:c r="F371" s="5" t="n">
        <x:f>0</x:f>
        <x:v>0</x:v>
      </x:c>
      <x:c r="G371" s="5" t="n">
        <x:f>MAX(-'00_Arquitectura'!$B$106,MIN('00_Arquitectura'!$B$106,E371+F371))</x:f>
        <x:v>0</x:v>
      </x:c>
      <x:c r="H371" s="5" t="n">
        <x:f>MAX(0,MIN(100,D371+G371))</x:f>
        <x:v>50</x:v>
      </x:c>
      <x:c r="I371" s="5" t="n">
        <x:f>0</x:f>
        <x:v>0</x:v>
      </x:c>
      <x:c r="J371" s="5" t="n">
        <x:f>MAX(-'00_Arquitectura'!$B$107,MIN('00_Arquitectura'!$B$107,0))</x:f>
        <x:v>0</x:v>
      </x:c>
      <x:c r="K371" s="5" t="n">
        <x:f>MAX(0,MIN(100,H371+I371+J371))</x:f>
        <x:v>50</x:v>
      </x:c>
      <x:c r="L371" s="5" t="str">
        <x:v>Pulsos y offsets: filtrar Instancias por escenario, turno y targetId. Base separada del nivel visible.</x:v>
      </x:c>
    </x:row>
    <x:row r="372" ht="34" customHeight="1">
      <x:c r="A372" s="10" t="str">
        <x:v>S3_SALARIO</x:v>
      </x:c>
      <x:c r="B372" s="10" t="n">
        <x:v>2</x:v>
      </x:c>
      <x:c r="C372" s="10" t="str">
        <x:v>proteccion</x:v>
      </x:c>
      <x:c r="D372" s="10" t="n">
        <x:f>$H$358</x:f>
        <x:v>45</x:v>
      </x:c>
      <x:c r="E372" s="10" t="n">
        <x:f>0+0</x:f>
        <x:v>0</x:v>
      </x:c>
      <x:c r="F372" s="10" t="n">
        <x:f>0</x:f>
        <x:v>0</x:v>
      </x:c>
      <x:c r="G372" s="10" t="n">
        <x:f>MAX(-'00_Arquitectura'!$B$106,MIN('00_Arquitectura'!$B$106,E372+F372))</x:f>
        <x:v>0</x:v>
      </x:c>
      <x:c r="H372" s="10" t="n">
        <x:f>MAX(0,MIN(100,D372+G372))</x:f>
        <x:v>45</x:v>
      </x:c>
      <x:c r="I372" s="10" t="n">
        <x:f>0</x:f>
        <x:v>0</x:v>
      </x:c>
      <x:c r="J372" s="10" t="n">
        <x:f>MAX(-'00_Arquitectura'!$B$107,MIN('00_Arquitectura'!$B$107,$J$1139+$J$1143))</x:f>
        <x:v>0</x:v>
      </x:c>
      <x:c r="K372" s="10" t="n">
        <x:f>MAX(0,MIN(100,H372+I372+J372))</x:f>
        <x:v>45</x:v>
      </x:c>
      <x:c r="L372" s="10" t="str">
        <x:v>Pulsos y offsets: filtrar Instancias por escenario, turno y targetId. Base separada del nivel visible.</x:v>
      </x:c>
    </x:row>
    <x:row r="373" ht="34" customHeight="1">
      <x:c r="A373" s="5" t="str">
        <x:v>S3_SALARIO</x:v>
      </x:c>
      <x:c r="B373" s="5" t="n">
        <x:v>2</x:v>
      </x:c>
      <x:c r="C373" s="5" t="str">
        <x:v>seguridad</x:v>
      </x:c>
      <x:c r="D373" s="5" t="n">
        <x:f>$H$359</x:f>
        <x:v>45</x:v>
      </x:c>
      <x:c r="E373" s="5" t="n">
        <x:f>0+0</x:f>
        <x:v>0</x:v>
      </x:c>
      <x:c r="F373" s="5" t="n">
        <x:f>0</x:f>
        <x:v>0</x:v>
      </x:c>
      <x:c r="G373" s="5" t="n">
        <x:f>MAX(-'00_Arquitectura'!$B$106,MIN('00_Arquitectura'!$B$106,E373+F373))</x:f>
        <x:v>0</x:v>
      </x:c>
      <x:c r="H373" s="5" t="n">
        <x:f>MAX(0,MIN(100,D373+G373))</x:f>
        <x:v>45</x:v>
      </x:c>
      <x:c r="I373" s="5" t="n">
        <x:f>0</x:f>
        <x:v>0</x:v>
      </x:c>
      <x:c r="J373" s="5" t="n">
        <x:f>MAX(-'00_Arquitectura'!$B$107,MIN('00_Arquitectura'!$B$107,0))</x:f>
        <x:v>0</x:v>
      </x:c>
      <x:c r="K373" s="5" t="n">
        <x:f>MAX(0,MIN(100,H373+I373+J373))</x:f>
        <x:v>45</x:v>
      </x:c>
      <x:c r="L373" s="5" t="str">
        <x:v>Pulsos y offsets: filtrar Instancias por escenario, turno y targetId. Base separada del nivel visible.</x:v>
      </x:c>
    </x:row>
    <x:row r="374" ht="34" customHeight="1">
      <x:c r="A374" s="10" t="str">
        <x:v>S3_SALARIO</x:v>
      </x:c>
      <x:c r="B374" s="10" t="n">
        <x:v>2</x:v>
      </x:c>
      <x:c r="C374" s="10" t="str">
        <x:v>ciencia</x:v>
      </x:c>
      <x:c r="D374" s="10" t="n">
        <x:f>$H$360</x:f>
        <x:v>40</x:v>
      </x:c>
      <x:c r="E374" s="10" t="n">
        <x:f>0+0</x:f>
        <x:v>0</x:v>
      </x:c>
      <x:c r="F374" s="10" t="n">
        <x:f>0</x:f>
        <x:v>0</x:v>
      </x:c>
      <x:c r="G374" s="10" t="n">
        <x:f>MAX(-'00_Arquitectura'!$B$106,MIN('00_Arquitectura'!$B$106,E374+F374))</x:f>
        <x:v>0</x:v>
      </x:c>
      <x:c r="H374" s="10" t="n">
        <x:f>MAX(0,MIN(100,D374+G374))</x:f>
        <x:v>40</x:v>
      </x:c>
      <x:c r="I374" s="10" t="n">
        <x:f>0</x:f>
        <x:v>0</x:v>
      </x:c>
      <x:c r="J374" s="10" t="n">
        <x:f>MAX(-'00_Arquitectura'!$B$107,MIN('00_Arquitectura'!$B$107,$J$1142))</x:f>
        <x:v>0</x:v>
      </x:c>
      <x:c r="K374" s="10" t="n">
        <x:f>MAX(0,MIN(100,H374+I374+J374))</x:f>
        <x:v>40</x:v>
      </x:c>
      <x:c r="L374" s="10" t="str">
        <x:v>Pulsos y offsets: filtrar Instancias por escenario, turno y targetId. Base separada del nivel visible.</x:v>
      </x:c>
    </x:row>
    <x:row r="375" ht="34" customHeight="1">
      <x:c r="A375" s="5" t="str">
        <x:v>S3_SALARIO</x:v>
      </x:c>
      <x:c r="B375" s="5" t="n">
        <x:v>2</x:v>
      </x:c>
      <x:c r="C375" s="5" t="str">
        <x:v>derechos</x:v>
      </x:c>
      <x:c r="D375" s="5" t="n">
        <x:f>$H$361</x:f>
        <x:v>55</x:v>
      </x:c>
      <x:c r="E375" s="5" t="n">
        <x:f>0+0</x:f>
        <x:v>0</x:v>
      </x:c>
      <x:c r="F375" s="5" t="n">
        <x:f>0</x:f>
        <x:v>0</x:v>
      </x:c>
      <x:c r="G375" s="5" t="n">
        <x:f>MAX(-'00_Arquitectura'!$B$106,MIN('00_Arquitectura'!$B$106,E375+F375))</x:f>
        <x:v>0</x:v>
      </x:c>
      <x:c r="H375" s="5" t="n">
        <x:f>MAX(0,MIN(100,D375+G375))</x:f>
        <x:v>55</x:v>
      </x:c>
      <x:c r="I375" s="5" t="n">
        <x:f>0</x:f>
        <x:v>0</x:v>
      </x:c>
      <x:c r="J375" s="5" t="n">
        <x:f>MAX(-'00_Arquitectura'!$B$107,MIN('00_Arquitectura'!$B$107,0))</x:f>
        <x:v>0</x:v>
      </x:c>
      <x:c r="K375" s="5" t="n">
        <x:f>MAX(0,MIN(100,H375+I375+J375))</x:f>
        <x:v>55</x:v>
      </x:c>
      <x:c r="L375" s="5" t="str">
        <x:v>Pulsos y offsets: filtrar Instancias por escenario, turno y targetId. Base separada del nivel visible.</x:v>
      </x:c>
    </x:row>
    <x:row r="376" ht="34" customHeight="1">
      <x:c r="A376" s="10" t="str">
        <x:v>S3_SALARIO</x:v>
      </x:c>
      <x:c r="B376" s="10" t="n">
        <x:v>2</x:v>
      </x:c>
      <x:c r="C376" s="10" t="str">
        <x:v>ambiente</x:v>
      </x:c>
      <x:c r="D376" s="10" t="n">
        <x:f>$H$362</x:f>
        <x:v>50</x:v>
      </x:c>
      <x:c r="E376" s="10" t="n">
        <x:f>0+0</x:f>
        <x:v>0</x:v>
      </x:c>
      <x:c r="F376" s="10" t="n">
        <x:f>0</x:f>
        <x:v>0</x:v>
      </x:c>
      <x:c r="G376" s="10" t="n">
        <x:f>MAX(-'00_Arquitectura'!$B$106,MIN('00_Arquitectura'!$B$106,E376+F376))</x:f>
        <x:v>0</x:v>
      </x:c>
      <x:c r="H376" s="10" t="n">
        <x:f>MAX(0,MIN(100,D376+G376))</x:f>
        <x:v>50</x:v>
      </x:c>
      <x:c r="I376" s="10" t="n">
        <x:f>0</x:f>
        <x:v>0</x:v>
      </x:c>
      <x:c r="J376" s="10" t="n">
        <x:f>MAX(-'00_Arquitectura'!$B$107,MIN('00_Arquitectura'!$B$107,0))</x:f>
        <x:v>0</x:v>
      </x:c>
      <x:c r="K376" s="10" t="n">
        <x:f>MAX(0,MIN(100,H376+I376+J376))</x:f>
        <x:v>50</x:v>
      </x:c>
      <x:c r="L376" s="10" t="str">
        <x:v>Pulsos y offsets: filtrar Instancias por escenario, turno y targetId. Base separada del nivel visible.</x:v>
      </x:c>
    </x:row>
    <x:row r="377" ht="42" customHeight="1">
      <x:c r="A377" s="5" t="str">
        <x:v>S3_SALARIO</x:v>
      </x:c>
      <x:c r="B377" s="5" t="n">
        <x:v>3</x:v>
      </x:c>
      <x:c r="C377" s="5" t="str">
        <x:v>inflacion</x:v>
      </x:c>
      <x:c r="D377" s="5" t="n">
        <x:f>$H$363</x:f>
        <x:v>40</x:v>
      </x:c>
      <x:c r="E377" s="5" t="n">
        <x:f>SUM($I$1715)+0</x:f>
        <x:v>0</x:v>
      </x:c>
      <x:c r="F377" s="5" t="n">
        <x:f>-'00_Arquitectura'!$B$96*($H$363-40)</x:f>
        <x:v>0</x:v>
      </x:c>
      <x:c r="G377" s="5" t="n">
        <x:f>MAX(-'00_Arquitectura'!$B$106,MIN('00_Arquitectura'!$B$106,E377+F377))</x:f>
        <x:v>0</x:v>
      </x:c>
      <x:c r="H377" s="5" t="n">
        <x:f>MAX(0,MIN(100,D377+G377))</x:f>
        <x:v>40</x:v>
      </x:c>
      <x:c r="I377" s="5" t="n">
        <x:f>0</x:f>
        <x:v>0</x:v>
      </x:c>
      <x:c r="J377" s="5" t="n">
        <x:f>MAX(-'00_Arquitectura'!$B$107,MIN('00_Arquitectura'!$B$107,0))</x:f>
        <x:v>0</x:v>
      </x:c>
      <x:c r="K377" s="5" t="n">
        <x:f>MAX(0,MIN(100,H377+I377+J377))</x:f>
        <x:v>40</x:v>
      </x:c>
      <x:c r="L377" s="5" t="str">
        <x:v>Aplica link L01. Pulsos y offsets: filtrar Instancias por escenario, turno y targetId. Base separada del nivel visible.</x:v>
      </x:c>
    </x:row>
    <x:row r="378" ht="42" customHeight="1">
      <x:c r="A378" s="10" t="str">
        <x:v>S3_SALARIO</x:v>
      </x:c>
      <x:c r="B378" s="10" t="n">
        <x:v>3</x:v>
      </x:c>
      <x:c r="C378" s="10" t="str">
        <x:v>actividad</x:v>
      </x:c>
      <x:c r="D378" s="10" t="n">
        <x:f>$H$364</x:f>
        <x:v>50</x:v>
      </x:c>
      <x:c r="E378" s="10" t="n">
        <x:f>0+0</x:f>
        <x:v>0</x:v>
      </x:c>
      <x:c r="F378" s="10" t="n">
        <x:f>-'00_Arquitectura'!$B$97*($H$364-50)+'00_Arquitectura'!$B$98*($K$366-45)+'00_Arquitectura'!$B$99*($K$369-45)+'00_Arquitectura'!$B$100*($K$368-45)</x:f>
        <x:v>0</x:v>
      </x:c>
      <x:c r="G378" s="10" t="n">
        <x:f>MAX(-'00_Arquitectura'!$B$106,MIN('00_Arquitectura'!$B$106,E378+F378))</x:f>
        <x:v>0</x:v>
      </x:c>
      <x:c r="H378" s="10" t="n">
        <x:f>MAX(0,MIN(100,D378+G378))</x:f>
        <x:v>50</x:v>
      </x:c>
      <x:c r="I378" s="10" t="n">
        <x:f>0</x:f>
        <x:v>0</x:v>
      </x:c>
      <x:c r="J378" s="10" t="n">
        <x:f>MAX(-'00_Arquitectura'!$B$107,MIN('00_Arquitectura'!$B$107,$J$1151+$J$1154+$J$1155))</x:f>
        <x:v>0</x:v>
      </x:c>
      <x:c r="K378" s="10" t="n">
        <x:f>MAX(0,MIN(100,H378+I378+J378))</x:f>
        <x:v>50</x:v>
      </x:c>
      <x:c r="L378" s="10" t="str">
        <x:v>Aplica link L02. Pulsos y offsets: filtrar Instancias por escenario, turno y targetId. Base separada del nivel visible.</x:v>
      </x:c>
    </x:row>
    <x:row r="379" ht="42" customHeight="1">
      <x:c r="A379" s="5" t="str">
        <x:v>S3_SALARIO</x:v>
      </x:c>
      <x:c r="B379" s="5" t="n">
        <x:v>3</x:v>
      </x:c>
      <x:c r="C379" s="5" t="str">
        <x:v>ingreso_real</x:v>
      </x:c>
      <x:c r="D379" s="5" t="n">
        <x:f>$H$365</x:f>
        <x:v>50</x:v>
      </x:c>
      <x:c r="E379" s="5" t="n">
        <x:f>0+0</x:f>
        <x:v>0</x:v>
      </x:c>
      <x:c r="F379" s="5" t="n">
        <x:f>'00_Arquitectura'!$B$101*($K$364-$K$350)+'00_Arquitectura'!$B$102*($K$363-$K$349)</x:f>
        <x:v>0</x:v>
      </x:c>
      <x:c r="G379" s="5" t="n">
        <x:f>MAX(-'00_Arquitectura'!$B$106,MIN('00_Arquitectura'!$B$106,E379+F379))</x:f>
        <x:v>0</x:v>
      </x:c>
      <x:c r="H379" s="5" t="n">
        <x:f>MAX(0,MIN(100,D379+G379))</x:f>
        <x:v>50</x:v>
      </x:c>
      <x:c r="I379" s="5" t="n">
        <x:f>0</x:f>
        <x:v>0</x:v>
      </x:c>
      <x:c r="J379" s="5" t="n">
        <x:f>MAX(-'00_Arquitectura'!$B$107,MIN('00_Arquitectura'!$B$107,0))</x:f>
        <x:v>0</x:v>
      </x:c>
      <x:c r="K379" s="5" t="n">
        <x:f>MAX(0,MIN(100,H379+I379+J379))</x:f>
        <x:v>50</x:v>
      </x:c>
      <x:c r="L379" s="5" t="str">
        <x:v>Aplica link L03. Pulsos y offsets: filtrar Instancias por escenario, turno y targetId. Base separada del nivel visible.</x:v>
      </x:c>
    </x:row>
    <x:row r="380" ht="42" customHeight="1">
      <x:c r="A380" s="10" t="str">
        <x:v>S3_SALARIO</x:v>
      </x:c>
      <x:c r="B380" s="10" t="n">
        <x:v>3</x:v>
      </x:c>
      <x:c r="C380" s="10" t="str">
        <x:v>credito</x:v>
      </x:c>
      <x:c r="D380" s="10" t="n">
        <x:f>$H$366</x:f>
        <x:v>45</x:v>
      </x:c>
      <x:c r="E380" s="10" t="n">
        <x:f>0+0</x:f>
        <x:v>0</x:v>
      </x:c>
      <x:c r="F380" s="10" t="n">
        <x:f>-'00_Arquitectura'!$B$103*($H$366-45)+'00_Arquitectura'!$B$104*($K$363-$K$349)+'00_Arquitectura'!$B$105*($K$367-'00_Arquitectura'!$B$117)</x:f>
        <x:v>0</x:v>
      </x:c>
      <x:c r="G380" s="10" t="n">
        <x:f>MAX(-'00_Arquitectura'!$B$106,MIN('00_Arquitectura'!$B$106,E380+F380))</x:f>
        <x:v>0</x:v>
      </x:c>
      <x:c r="H380" s="10" t="n">
        <x:f>MAX(0,MIN(100,D380+G380))</x:f>
        <x:v>45</x:v>
      </x:c>
      <x:c r="I380" s="10" t="n">
        <x:f>0</x:f>
        <x:v>0</x:v>
      </x:c>
      <x:c r="J380" s="10" t="n">
        <x:f>MAX(-'00_Arquitectura'!$B$107,MIN('00_Arquitectura'!$B$107,$J$1153))</x:f>
        <x:v>0</x:v>
      </x:c>
      <x:c r="K380" s="10" t="n">
        <x:f>MAX(0,MIN(100,H380+I380+J380))</x:f>
        <x:v>45</x:v>
      </x:c>
      <x:c r="L380" s="10" t="str">
        <x:v>Aplica link L04. Pulsos y offsets: filtrar Instancias por escenario, turno y targetId. Base separada del nivel visible.</x:v>
      </x:c>
    </x:row>
    <x:row r="381" ht="34" customHeight="1">
      <x:c r="A381" s="5" t="str">
        <x:v>S3_SALARIO</x:v>
      </x:c>
      <x:c r="B381" s="5" t="n">
        <x:v>3</x:v>
      </x:c>
      <x:c r="C381" s="5" t="str">
        <x:v>fiscal</x:v>
      </x:c>
      <x:c r="D381" s="5" t="n">
        <x:f>$H$367</x:f>
        <x:v>58</x:v>
      </x:c>
      <x:c r="E381" s="5" t="n">
        <x:f>0+0</x:f>
        <x:v>0</x:v>
      </x:c>
      <x:c r="F381" s="5" t="n">
        <x:f>0</x:f>
        <x:v>0</x:v>
      </x:c>
      <x:c r="G381" s="5" t="n">
        <x:f>MAX(-'00_Arquitectura'!$B$106,MIN('00_Arquitectura'!$B$106,E381+F381))</x:f>
        <x:v>0</x:v>
      </x:c>
      <x:c r="H381" s="5" t="n">
        <x:f>$O$37</x:f>
        <x:v>52</x:v>
      </x:c>
      <x:c r="I381" s="5" t="n">
        <x:f>0</x:f>
        <x:v>0</x:v>
      </x:c>
      <x:c r="J381" s="5" t="n">
        <x:f>MAX(-'00_Arquitectura'!$B$107,MIN('00_Arquitectura'!$B$107,0))</x:f>
        <x:v>0</x:v>
      </x:c>
      <x:c r="K381" s="5" t="n">
        <x:f>MAX(0,MIN(100,H381+I381+J381))</x:f>
        <x:v>52</x:v>
      </x:c>
      <x:c r="L381" s="5" t="str">
        <x:v>Derivado de caja: ingreso recurrente, gasto, intereses y deuda. Nunca SUM de efectos fiscales directos.</x:v>
      </x:c>
    </x:row>
    <x:row r="382" ht="34" customHeight="1">
      <x:c r="A382" s="10" t="str">
        <x:v>S3_SALARIO</x:v>
      </x:c>
      <x:c r="B382" s="10" t="n">
        <x:v>3</x:v>
      </x:c>
      <x:c r="C382" s="10" t="str">
        <x:v>externo</x:v>
      </x:c>
      <x:c r="D382" s="10" t="n">
        <x:f>$H$368</x:f>
        <x:v>45</x:v>
      </x:c>
      <x:c r="E382" s="10" t="n">
        <x:f>0+0</x:f>
        <x:v>0</x:v>
      </x:c>
      <x:c r="F382" s="10" t="n">
        <x:f>0</x:f>
        <x:v>0</x:v>
      </x:c>
      <x:c r="G382" s="10" t="n">
        <x:f>MAX(-'00_Arquitectura'!$B$106,MIN('00_Arquitectura'!$B$106,E382+F382))</x:f>
        <x:v>0</x:v>
      </x:c>
      <x:c r="H382" s="10" t="n">
        <x:f>MAX(0,MIN(100,D382+G382))</x:f>
        <x:v>45</x:v>
      </x:c>
      <x:c r="I382" s="10" t="n">
        <x:f>0</x:f>
        <x:v>0</x:v>
      </x:c>
      <x:c r="J382" s="10" t="n">
        <x:f>MAX(-'00_Arquitectura'!$B$107,MIN('00_Arquitectura'!$B$107,$J$1152))</x:f>
        <x:v>0</x:v>
      </x:c>
      <x:c r="K382" s="10" t="n">
        <x:f>MAX(0,MIN(100,H382+I382+J382))</x:f>
        <x:v>45</x:v>
      </x:c>
      <x:c r="L382" s="10" t="str">
        <x:v>Pulsos y offsets: filtrar Instancias por escenario, turno y targetId. Base separada del nivel visible.</x:v>
      </x:c>
    </x:row>
    <x:row r="383" ht="34" customHeight="1">
      <x:c r="A383" s="5" t="str">
        <x:v>S3_SALARIO</x:v>
      </x:c>
      <x:c r="B383" s="5" t="n">
        <x:v>3</x:v>
      </x:c>
      <x:c r="C383" s="5" t="str">
        <x:v>infraestructura</x:v>
      </x:c>
      <x:c r="D383" s="5" t="n">
        <x:f>$H$369</x:f>
        <x:v>45</x:v>
      </x:c>
      <x:c r="E383" s="5" t="n">
        <x:f>0+0</x:f>
        <x:v>0</x:v>
      </x:c>
      <x:c r="F383" s="5" t="n">
        <x:f>0</x:f>
        <x:v>0</x:v>
      </x:c>
      <x:c r="G383" s="5" t="n">
        <x:f>MAX(-'00_Arquitectura'!$B$106,MIN('00_Arquitectura'!$B$106,E383+F383))</x:f>
        <x:v>0</x:v>
      </x:c>
      <x:c r="H383" s="5" t="n">
        <x:f>MAX(0,MIN(100,D383+G383))</x:f>
        <x:v>45</x:v>
      </x:c>
      <x:c r="I383" s="5" t="n">
        <x:f>0</x:f>
        <x:v>0</x:v>
      </x:c>
      <x:c r="J383" s="5" t="n">
        <x:f>MAX(-'00_Arquitectura'!$B$107,MIN('00_Arquitectura'!$B$107,0))</x:f>
        <x:v>0</x:v>
      </x:c>
      <x:c r="K383" s="5" t="n">
        <x:f>MAX(0,MIN(100,H383+I383+J383))</x:f>
        <x:v>45</x:v>
      </x:c>
      <x:c r="L383" s="5" t="str">
        <x:v>Pulsos y offsets: filtrar Instancias por escenario, turno y targetId. Base separada del nivel visible.</x:v>
      </x:c>
    </x:row>
    <x:row r="384" ht="34" customHeight="1">
      <x:c r="A384" s="10" t="str">
        <x:v>S3_SALARIO</x:v>
      </x:c>
      <x:c r="B384" s="10" t="n">
        <x:v>3</x:v>
      </x:c>
      <x:c r="C384" s="10" t="str">
        <x:v>educacion</x:v>
      </x:c>
      <x:c r="D384" s="10" t="n">
        <x:f>$H$370</x:f>
        <x:v>50</x:v>
      </x:c>
      <x:c r="E384" s="10" t="n">
        <x:f>0+0</x:f>
        <x:v>0</x:v>
      </x:c>
      <x:c r="F384" s="10" t="n">
        <x:f>0</x:f>
        <x:v>0</x:v>
      </x:c>
      <x:c r="G384" s="10" t="n">
        <x:f>MAX(-'00_Arquitectura'!$B$106,MIN('00_Arquitectura'!$B$106,E384+F384))</x:f>
        <x:v>0</x:v>
      </x:c>
      <x:c r="H384" s="10" t="n">
        <x:f>MAX(0,MIN(100,D384+G384))</x:f>
        <x:v>50</x:v>
      </x:c>
      <x:c r="I384" s="10" t="n">
        <x:f>0</x:f>
        <x:v>0</x:v>
      </x:c>
      <x:c r="J384" s="10" t="n">
        <x:f>MAX(-'00_Arquitectura'!$B$107,MIN('00_Arquitectura'!$B$107,$J$1159))</x:f>
        <x:v>0</x:v>
      </x:c>
      <x:c r="K384" s="10" t="n">
        <x:f>MAX(0,MIN(100,H384+I384+J384))</x:f>
        <x:v>50</x:v>
      </x:c>
      <x:c r="L384" s="10" t="str">
        <x:v>Pulsos y offsets: filtrar Instancias por escenario, turno y targetId. Base separada del nivel visible.</x:v>
      </x:c>
    </x:row>
    <x:row r="385" ht="34" customHeight="1">
      <x:c r="A385" s="5" t="str">
        <x:v>S3_SALARIO</x:v>
      </x:c>
      <x:c r="B385" s="5" t="n">
        <x:v>3</x:v>
      </x:c>
      <x:c r="C385" s="5" t="str">
        <x:v>salud</x:v>
      </x:c>
      <x:c r="D385" s="5" t="n">
        <x:f>$H$371</x:f>
        <x:v>50</x:v>
      </x:c>
      <x:c r="E385" s="5" t="n">
        <x:f>0+0</x:f>
        <x:v>0</x:v>
      </x:c>
      <x:c r="F385" s="5" t="n">
        <x:f>0</x:f>
        <x:v>0</x:v>
      </x:c>
      <x:c r="G385" s="5" t="n">
        <x:f>MAX(-'00_Arquitectura'!$B$106,MIN('00_Arquitectura'!$B$106,E385+F385))</x:f>
        <x:v>0</x:v>
      </x:c>
      <x:c r="H385" s="5" t="n">
        <x:f>MAX(0,MIN(100,D385+G385))</x:f>
        <x:v>50</x:v>
      </x:c>
      <x:c r="I385" s="5" t="n">
        <x:f>0</x:f>
        <x:v>0</x:v>
      </x:c>
      <x:c r="J385" s="5" t="n">
        <x:f>MAX(-'00_Arquitectura'!$B$107,MIN('00_Arquitectura'!$B$107,0))</x:f>
        <x:v>0</x:v>
      </x:c>
      <x:c r="K385" s="5" t="n">
        <x:f>MAX(0,MIN(100,H385+I385+J385))</x:f>
        <x:v>50</x:v>
      </x:c>
      <x:c r="L385" s="5" t="str">
        <x:v>Pulsos y offsets: filtrar Instancias por escenario, turno y targetId. Base separada del nivel visible.</x:v>
      </x:c>
    </x:row>
    <x:row r="386" ht="34" customHeight="1">
      <x:c r="A386" s="10" t="str">
        <x:v>S3_SALARIO</x:v>
      </x:c>
      <x:c r="B386" s="10" t="n">
        <x:v>3</x:v>
      </x:c>
      <x:c r="C386" s="10" t="str">
        <x:v>proteccion</x:v>
      </x:c>
      <x:c r="D386" s="10" t="n">
        <x:f>$H$372</x:f>
        <x:v>45</x:v>
      </x:c>
      <x:c r="E386" s="10" t="n">
        <x:f>0+0</x:f>
        <x:v>0</x:v>
      </x:c>
      <x:c r="F386" s="10" t="n">
        <x:f>0</x:f>
        <x:v>0</x:v>
      </x:c>
      <x:c r="G386" s="10" t="n">
        <x:f>MAX(-'00_Arquitectura'!$B$106,MIN('00_Arquitectura'!$B$106,E386+F386))</x:f>
        <x:v>0</x:v>
      </x:c>
      <x:c r="H386" s="10" t="n">
        <x:f>MAX(0,MIN(100,D386+G386))</x:f>
        <x:v>45</x:v>
      </x:c>
      <x:c r="I386" s="10" t="n">
        <x:f>0</x:f>
        <x:v>0</x:v>
      </x:c>
      <x:c r="J386" s="10" t="n">
        <x:f>MAX(-'00_Arquitectura'!$B$107,MIN('00_Arquitectura'!$B$107,$J$1157+$J$1161))</x:f>
        <x:v>0</x:v>
      </x:c>
      <x:c r="K386" s="10" t="n">
        <x:f>MAX(0,MIN(100,H386+I386+J386))</x:f>
        <x:v>45</x:v>
      </x:c>
      <x:c r="L386" s="10" t="str">
        <x:v>Pulsos y offsets: filtrar Instancias por escenario, turno y targetId. Base separada del nivel visible.</x:v>
      </x:c>
    </x:row>
    <x:row r="387" ht="34" customHeight="1">
      <x:c r="A387" s="5" t="str">
        <x:v>S3_SALARIO</x:v>
      </x:c>
      <x:c r="B387" s="5" t="n">
        <x:v>3</x:v>
      </x:c>
      <x:c r="C387" s="5" t="str">
        <x:v>seguridad</x:v>
      </x:c>
      <x:c r="D387" s="5" t="n">
        <x:f>$H$373</x:f>
        <x:v>45</x:v>
      </x:c>
      <x:c r="E387" s="5" t="n">
        <x:f>0+0</x:f>
        <x:v>0</x:v>
      </x:c>
      <x:c r="F387" s="5" t="n">
        <x:f>0</x:f>
        <x:v>0</x:v>
      </x:c>
      <x:c r="G387" s="5" t="n">
        <x:f>MAX(-'00_Arquitectura'!$B$106,MIN('00_Arquitectura'!$B$106,E387+F387))</x:f>
        <x:v>0</x:v>
      </x:c>
      <x:c r="H387" s="5" t="n">
        <x:f>MAX(0,MIN(100,D387+G387))</x:f>
        <x:v>45</x:v>
      </x:c>
      <x:c r="I387" s="5" t="n">
        <x:f>0</x:f>
        <x:v>0</x:v>
      </x:c>
      <x:c r="J387" s="5" t="n">
        <x:f>MAX(-'00_Arquitectura'!$B$107,MIN('00_Arquitectura'!$B$107,0))</x:f>
        <x:v>0</x:v>
      </x:c>
      <x:c r="K387" s="5" t="n">
        <x:f>MAX(0,MIN(100,H387+I387+J387))</x:f>
        <x:v>45</x:v>
      </x:c>
      <x:c r="L387" s="5" t="str">
        <x:v>Pulsos y offsets: filtrar Instancias por escenario, turno y targetId. Base separada del nivel visible.</x:v>
      </x:c>
    </x:row>
    <x:row r="388" ht="34" customHeight="1">
      <x:c r="A388" s="10" t="str">
        <x:v>S3_SALARIO</x:v>
      </x:c>
      <x:c r="B388" s="10" t="n">
        <x:v>3</x:v>
      </x:c>
      <x:c r="C388" s="10" t="str">
        <x:v>ciencia</x:v>
      </x:c>
      <x:c r="D388" s="10" t="n">
        <x:f>$H$374</x:f>
        <x:v>40</x:v>
      </x:c>
      <x:c r="E388" s="10" t="n">
        <x:f>0+0</x:f>
        <x:v>0</x:v>
      </x:c>
      <x:c r="F388" s="10" t="n">
        <x:f>0</x:f>
        <x:v>0</x:v>
      </x:c>
      <x:c r="G388" s="10" t="n">
        <x:f>MAX(-'00_Arquitectura'!$B$106,MIN('00_Arquitectura'!$B$106,E388+F388))</x:f>
        <x:v>0</x:v>
      </x:c>
      <x:c r="H388" s="10" t="n">
        <x:f>MAX(0,MIN(100,D388+G388))</x:f>
        <x:v>40</x:v>
      </x:c>
      <x:c r="I388" s="10" t="n">
        <x:f>0</x:f>
        <x:v>0</x:v>
      </x:c>
      <x:c r="J388" s="10" t="n">
        <x:f>MAX(-'00_Arquitectura'!$B$107,MIN('00_Arquitectura'!$B$107,$J$1160))</x:f>
        <x:v>0</x:v>
      </x:c>
      <x:c r="K388" s="10" t="n">
        <x:f>MAX(0,MIN(100,H388+I388+J388))</x:f>
        <x:v>40</x:v>
      </x:c>
      <x:c r="L388" s="10" t="str">
        <x:v>Pulsos y offsets: filtrar Instancias por escenario, turno y targetId. Base separada del nivel visible.</x:v>
      </x:c>
    </x:row>
    <x:row r="389" ht="34" customHeight="1">
      <x:c r="A389" s="5" t="str">
        <x:v>S3_SALARIO</x:v>
      </x:c>
      <x:c r="B389" s="5" t="n">
        <x:v>3</x:v>
      </x:c>
      <x:c r="C389" s="5" t="str">
        <x:v>derechos</x:v>
      </x:c>
      <x:c r="D389" s="5" t="n">
        <x:f>$H$375</x:f>
        <x:v>55</x:v>
      </x:c>
      <x:c r="E389" s="5" t="n">
        <x:f>0+0</x:f>
        <x:v>0</x:v>
      </x:c>
      <x:c r="F389" s="5" t="n">
        <x:f>0</x:f>
        <x:v>0</x:v>
      </x:c>
      <x:c r="G389" s="5" t="n">
        <x:f>MAX(-'00_Arquitectura'!$B$106,MIN('00_Arquitectura'!$B$106,E389+F389))</x:f>
        <x:v>0</x:v>
      </x:c>
      <x:c r="H389" s="5" t="n">
        <x:f>MAX(0,MIN(100,D389+G389))</x:f>
        <x:v>55</x:v>
      </x:c>
      <x:c r="I389" s="5" t="n">
        <x:f>0</x:f>
        <x:v>0</x:v>
      </x:c>
      <x:c r="J389" s="5" t="n">
        <x:f>MAX(-'00_Arquitectura'!$B$107,MIN('00_Arquitectura'!$B$107,0))</x:f>
        <x:v>0</x:v>
      </x:c>
      <x:c r="K389" s="5" t="n">
        <x:f>MAX(0,MIN(100,H389+I389+J389))</x:f>
        <x:v>55</x:v>
      </x:c>
      <x:c r="L389" s="5" t="str">
        <x:v>Pulsos y offsets: filtrar Instancias por escenario, turno y targetId. Base separada del nivel visible.</x:v>
      </x:c>
    </x:row>
    <x:row r="390" ht="34" customHeight="1">
      <x:c r="A390" s="10" t="str">
        <x:v>S3_SALARIO</x:v>
      </x:c>
      <x:c r="B390" s="10" t="n">
        <x:v>3</x:v>
      </x:c>
      <x:c r="C390" s="10" t="str">
        <x:v>ambiente</x:v>
      </x:c>
      <x:c r="D390" s="10" t="n">
        <x:f>$H$376</x:f>
        <x:v>50</x:v>
      </x:c>
      <x:c r="E390" s="10" t="n">
        <x:f>0+0</x:f>
        <x:v>0</x:v>
      </x:c>
      <x:c r="F390" s="10" t="n">
        <x:f>0</x:f>
        <x:v>0</x:v>
      </x:c>
      <x:c r="G390" s="10" t="n">
        <x:f>MAX(-'00_Arquitectura'!$B$106,MIN('00_Arquitectura'!$B$106,E390+F390))</x:f>
        <x:v>0</x:v>
      </x:c>
      <x:c r="H390" s="10" t="n">
        <x:f>MAX(0,MIN(100,D390+G390))</x:f>
        <x:v>50</x:v>
      </x:c>
      <x:c r="I390" s="10" t="n">
        <x:f>0</x:f>
        <x:v>0</x:v>
      </x:c>
      <x:c r="J390" s="10" t="n">
        <x:f>MAX(-'00_Arquitectura'!$B$107,MIN('00_Arquitectura'!$B$107,0))</x:f>
        <x:v>0</x:v>
      </x:c>
      <x:c r="K390" s="10" t="n">
        <x:f>MAX(0,MIN(100,H390+I390+J390))</x:f>
        <x:v>50</x:v>
      </x:c>
      <x:c r="L390" s="10" t="str">
        <x:v>Pulsos y offsets: filtrar Instancias por escenario, turno y targetId. Base separada del nivel visible.</x:v>
      </x:c>
    </x:row>
    <x:row r="391" ht="42" customHeight="1">
      <x:c r="A391" s="5" t="str">
        <x:v>S3_SALARIO</x:v>
      </x:c>
      <x:c r="B391" s="5" t="n">
        <x:v>4</x:v>
      </x:c>
      <x:c r="C391" s="5" t="str">
        <x:v>inflacion</x:v>
      </x:c>
      <x:c r="D391" s="5" t="n">
        <x:f>$H$377</x:f>
        <x:v>40</x:v>
      </x:c>
      <x:c r="E391" s="5" t="n">
        <x:f>0+0</x:f>
        <x:v>0</x:v>
      </x:c>
      <x:c r="F391" s="5" t="n">
        <x:f>-'00_Arquitectura'!$B$96*($H$377-40)</x:f>
        <x:v>0</x:v>
      </x:c>
      <x:c r="G391" s="5" t="n">
        <x:f>MAX(-'00_Arquitectura'!$B$106,MIN('00_Arquitectura'!$B$106,E391+F391))</x:f>
        <x:v>0</x:v>
      </x:c>
      <x:c r="H391" s="5" t="n">
        <x:f>MAX(0,MIN(100,D391+G391))</x:f>
        <x:v>40</x:v>
      </x:c>
      <x:c r="I391" s="5" t="n">
        <x:f>0</x:f>
        <x:v>0</x:v>
      </x:c>
      <x:c r="J391" s="5" t="n">
        <x:f>MAX(-'00_Arquitectura'!$B$107,MIN('00_Arquitectura'!$B$107,0))</x:f>
        <x:v>0</x:v>
      </x:c>
      <x:c r="K391" s="5" t="n">
        <x:f>MAX(0,MIN(100,H391+I391+J391))</x:f>
        <x:v>40</x:v>
      </x:c>
      <x:c r="L391" s="5" t="str">
        <x:v>Aplica link L01. Pulsos y offsets: filtrar Instancias por escenario, turno y targetId. Base separada del nivel visible.</x:v>
      </x:c>
    </x:row>
    <x:row r="392" ht="42" customHeight="1">
      <x:c r="A392" s="10" t="str">
        <x:v>S3_SALARIO</x:v>
      </x:c>
      <x:c r="B392" s="10" t="n">
        <x:v>4</x:v>
      </x:c>
      <x:c r="C392" s="10" t="str">
        <x:v>actividad</x:v>
      </x:c>
      <x:c r="D392" s="10" t="n">
        <x:f>$H$378</x:f>
        <x:v>50</x:v>
      </x:c>
      <x:c r="E392" s="10" t="n">
        <x:f>0+0</x:f>
        <x:v>0</x:v>
      </x:c>
      <x:c r="F392" s="10" t="n">
        <x:f>-'00_Arquitectura'!$B$97*($H$378-50)+'00_Arquitectura'!$B$98*($K$380-45)+'00_Arquitectura'!$B$99*($K$383-45)+'00_Arquitectura'!$B$100*($K$382-45)</x:f>
        <x:v>0</x:v>
      </x:c>
      <x:c r="G392" s="10" t="n">
        <x:f>MAX(-'00_Arquitectura'!$B$106,MIN('00_Arquitectura'!$B$106,E392+F392))</x:f>
        <x:v>0</x:v>
      </x:c>
      <x:c r="H392" s="10" t="n">
        <x:f>MAX(0,MIN(100,D392+G392))</x:f>
        <x:v>50</x:v>
      </x:c>
      <x:c r="I392" s="10" t="n">
        <x:f>0</x:f>
        <x:v>0</x:v>
      </x:c>
      <x:c r="J392" s="10" t="n">
        <x:f>MAX(-'00_Arquitectura'!$B$107,MIN('00_Arquitectura'!$B$107,$J$1169+$J$1172+$J$1173))</x:f>
        <x:v>0</x:v>
      </x:c>
      <x:c r="K392" s="10" t="n">
        <x:f>MAX(0,MIN(100,H392+I392+J392))</x:f>
        <x:v>50</x:v>
      </x:c>
      <x:c r="L392" s="10" t="str">
        <x:v>Aplica link L02. Pulsos y offsets: filtrar Instancias por escenario, turno y targetId. Base separada del nivel visible.</x:v>
      </x:c>
    </x:row>
    <x:row r="393" ht="42" customHeight="1">
      <x:c r="A393" s="5" t="str">
        <x:v>S3_SALARIO</x:v>
      </x:c>
      <x:c r="B393" s="5" t="n">
        <x:v>4</x:v>
      </x:c>
      <x:c r="C393" s="5" t="str">
        <x:v>ingreso_real</x:v>
      </x:c>
      <x:c r="D393" s="5" t="n">
        <x:f>$H$379</x:f>
        <x:v>50</x:v>
      </x:c>
      <x:c r="E393" s="5" t="n">
        <x:f>0+0</x:f>
        <x:v>0</x:v>
      </x:c>
      <x:c r="F393" s="5" t="n">
        <x:f>'00_Arquitectura'!$B$101*($K$378-$K$364)+'00_Arquitectura'!$B$102*($K$377-$K$363)</x:f>
        <x:v>0</x:v>
      </x:c>
      <x:c r="G393" s="5" t="n">
        <x:f>MAX(-'00_Arquitectura'!$B$106,MIN('00_Arquitectura'!$B$106,E393+F393))</x:f>
        <x:v>0</x:v>
      </x:c>
      <x:c r="H393" s="5" t="n">
        <x:f>MAX(0,MIN(100,D393+G393))</x:f>
        <x:v>50</x:v>
      </x:c>
      <x:c r="I393" s="5" t="n">
        <x:f>0</x:f>
        <x:v>0</x:v>
      </x:c>
      <x:c r="J393" s="5" t="n">
        <x:f>MAX(-'00_Arquitectura'!$B$107,MIN('00_Arquitectura'!$B$107,0))</x:f>
        <x:v>0</x:v>
      </x:c>
      <x:c r="K393" s="5" t="n">
        <x:f>MAX(0,MIN(100,H393+I393+J393))</x:f>
        <x:v>50</x:v>
      </x:c>
      <x:c r="L393" s="5" t="str">
        <x:v>Aplica link L03. Pulsos y offsets: filtrar Instancias por escenario, turno y targetId. Base separada del nivel visible.</x:v>
      </x:c>
    </x:row>
    <x:row r="394" ht="42" customHeight="1">
      <x:c r="A394" s="10" t="str">
        <x:v>S3_SALARIO</x:v>
      </x:c>
      <x:c r="B394" s="10" t="n">
        <x:v>4</x:v>
      </x:c>
      <x:c r="C394" s="10" t="str">
        <x:v>credito</x:v>
      </x:c>
      <x:c r="D394" s="10" t="n">
        <x:f>$H$380</x:f>
        <x:v>45</x:v>
      </x:c>
      <x:c r="E394" s="10" t="n">
        <x:f>0+0</x:f>
        <x:v>0</x:v>
      </x:c>
      <x:c r="F394" s="10" t="n">
        <x:f>-'00_Arquitectura'!$B$103*($H$380-45)+'00_Arquitectura'!$B$104*($K$377-$K$363)+'00_Arquitectura'!$B$105*($K$381-'00_Arquitectura'!$B$117)</x:f>
        <x:v>-0.12</x:v>
      </x:c>
      <x:c r="G394" s="10" t="n">
        <x:f>MAX(-'00_Arquitectura'!$B$106,MIN('00_Arquitectura'!$B$106,E394+F394))</x:f>
        <x:v>-0.12</x:v>
      </x:c>
      <x:c r="H394" s="10" t="n">
        <x:f>MAX(0,MIN(100,D394+G394))</x:f>
        <x:v>44.88</x:v>
      </x:c>
      <x:c r="I394" s="10" t="n">
        <x:f>0</x:f>
        <x:v>0</x:v>
      </x:c>
      <x:c r="J394" s="10" t="n">
        <x:f>MAX(-'00_Arquitectura'!$B$107,MIN('00_Arquitectura'!$B$107,$J$1171))</x:f>
        <x:v>0</x:v>
      </x:c>
      <x:c r="K394" s="10" t="n">
        <x:f>MAX(0,MIN(100,H394+I394+J394))</x:f>
        <x:v>44.88</x:v>
      </x:c>
      <x:c r="L394" s="10" t="str">
        <x:v>Aplica link L04. Pulsos y offsets: filtrar Instancias por escenario, turno y targetId. Base separada del nivel visible.</x:v>
      </x:c>
    </x:row>
    <x:row r="395" ht="34" customHeight="1">
      <x:c r="A395" s="5" t="str">
        <x:v>S3_SALARIO</x:v>
      </x:c>
      <x:c r="B395" s="5" t="n">
        <x:v>4</x:v>
      </x:c>
      <x:c r="C395" s="5" t="str">
        <x:v>fiscal</x:v>
      </x:c>
      <x:c r="D395" s="5" t="n">
        <x:f>$H$381</x:f>
        <x:v>52</x:v>
      </x:c>
      <x:c r="E395" s="5" t="n">
        <x:f>0+0</x:f>
        <x:v>0</x:v>
      </x:c>
      <x:c r="F395" s="5" t="n">
        <x:f>0</x:f>
        <x:v>0</x:v>
      </x:c>
      <x:c r="G395" s="5" t="n">
        <x:f>MAX(-'00_Arquitectura'!$B$106,MIN('00_Arquitectura'!$B$106,E395+F395))</x:f>
        <x:v>0</x:v>
      </x:c>
      <x:c r="H395" s="5" t="n">
        <x:f>$O$38</x:f>
        <x:v>52</x:v>
      </x:c>
      <x:c r="I395" s="5" t="n">
        <x:f>0</x:f>
        <x:v>0</x:v>
      </x:c>
      <x:c r="J395" s="5" t="n">
        <x:f>MAX(-'00_Arquitectura'!$B$107,MIN('00_Arquitectura'!$B$107,0))</x:f>
        <x:v>0</x:v>
      </x:c>
      <x:c r="K395" s="5" t="n">
        <x:f>MAX(0,MIN(100,H395+I395+J395))</x:f>
        <x:v>52</x:v>
      </x:c>
      <x:c r="L395" s="5" t="str">
        <x:v>Derivado de caja: ingreso recurrente, gasto, intereses y deuda. Nunca SUM de efectos fiscales directos.</x:v>
      </x:c>
    </x:row>
    <x:row r="396" ht="34" customHeight="1">
      <x:c r="A396" s="10" t="str">
        <x:v>S3_SALARIO</x:v>
      </x:c>
      <x:c r="B396" s="10" t="n">
        <x:v>4</x:v>
      </x:c>
      <x:c r="C396" s="10" t="str">
        <x:v>externo</x:v>
      </x:c>
      <x:c r="D396" s="10" t="n">
        <x:f>$H$382</x:f>
        <x:v>45</x:v>
      </x:c>
      <x:c r="E396" s="10" t="n">
        <x:f>0+0</x:f>
        <x:v>0</x:v>
      </x:c>
      <x:c r="F396" s="10" t="n">
        <x:f>0</x:f>
        <x:v>0</x:v>
      </x:c>
      <x:c r="G396" s="10" t="n">
        <x:f>MAX(-'00_Arquitectura'!$B$106,MIN('00_Arquitectura'!$B$106,E396+F396))</x:f>
        <x:v>0</x:v>
      </x:c>
      <x:c r="H396" s="10" t="n">
        <x:f>MAX(0,MIN(100,D396+G396))</x:f>
        <x:v>45</x:v>
      </x:c>
      <x:c r="I396" s="10" t="n">
        <x:f>0</x:f>
        <x:v>0</x:v>
      </x:c>
      <x:c r="J396" s="10" t="n">
        <x:f>MAX(-'00_Arquitectura'!$B$107,MIN('00_Arquitectura'!$B$107,$J$1170))</x:f>
        <x:v>0</x:v>
      </x:c>
      <x:c r="K396" s="10" t="n">
        <x:f>MAX(0,MIN(100,H396+I396+J396))</x:f>
        <x:v>45</x:v>
      </x:c>
      <x:c r="L396" s="10" t="str">
        <x:v>Pulsos y offsets: filtrar Instancias por escenario, turno y targetId. Base separada del nivel visible.</x:v>
      </x:c>
    </x:row>
    <x:row r="397" ht="34" customHeight="1">
      <x:c r="A397" s="5" t="str">
        <x:v>S3_SALARIO</x:v>
      </x:c>
      <x:c r="B397" s="5" t="n">
        <x:v>4</x:v>
      </x:c>
      <x:c r="C397" s="5" t="str">
        <x:v>infraestructura</x:v>
      </x:c>
      <x:c r="D397" s="5" t="n">
        <x:f>$H$383</x:f>
        <x:v>45</x:v>
      </x:c>
      <x:c r="E397" s="5" t="n">
        <x:f>0+0</x:f>
        <x:v>0</x:v>
      </x:c>
      <x:c r="F397" s="5" t="n">
        <x:f>0</x:f>
        <x:v>0</x:v>
      </x:c>
      <x:c r="G397" s="5" t="n">
        <x:f>MAX(-'00_Arquitectura'!$B$106,MIN('00_Arquitectura'!$B$106,E397+F397))</x:f>
        <x:v>0</x:v>
      </x:c>
      <x:c r="H397" s="5" t="n">
        <x:f>MAX(0,MIN(100,D397+G397))</x:f>
        <x:v>45</x:v>
      </x:c>
      <x:c r="I397" s="5" t="n">
        <x:f>0</x:f>
        <x:v>0</x:v>
      </x:c>
      <x:c r="J397" s="5" t="n">
        <x:f>MAX(-'00_Arquitectura'!$B$107,MIN('00_Arquitectura'!$B$107,0))</x:f>
        <x:v>0</x:v>
      </x:c>
      <x:c r="K397" s="5" t="n">
        <x:f>MAX(0,MIN(100,H397+I397+J397))</x:f>
        <x:v>45</x:v>
      </x:c>
      <x:c r="L397" s="5" t="str">
        <x:v>Pulsos y offsets: filtrar Instancias por escenario, turno y targetId. Base separada del nivel visible.</x:v>
      </x:c>
    </x:row>
    <x:row r="398" ht="34" customHeight="1">
      <x:c r="A398" s="10" t="str">
        <x:v>S3_SALARIO</x:v>
      </x:c>
      <x:c r="B398" s="10" t="n">
        <x:v>4</x:v>
      </x:c>
      <x:c r="C398" s="10" t="str">
        <x:v>educacion</x:v>
      </x:c>
      <x:c r="D398" s="10" t="n">
        <x:f>$H$384</x:f>
        <x:v>50</x:v>
      </x:c>
      <x:c r="E398" s="10" t="n">
        <x:f>0+0</x:f>
        <x:v>0</x:v>
      </x:c>
      <x:c r="F398" s="10" t="n">
        <x:f>0</x:f>
        <x:v>0</x:v>
      </x:c>
      <x:c r="G398" s="10" t="n">
        <x:f>MAX(-'00_Arquitectura'!$B$106,MIN('00_Arquitectura'!$B$106,E398+F398))</x:f>
        <x:v>0</x:v>
      </x:c>
      <x:c r="H398" s="10" t="n">
        <x:f>MAX(0,MIN(100,D398+G398))</x:f>
        <x:v>50</x:v>
      </x:c>
      <x:c r="I398" s="10" t="n">
        <x:f>0</x:f>
        <x:v>0</x:v>
      </x:c>
      <x:c r="J398" s="10" t="n">
        <x:f>MAX(-'00_Arquitectura'!$B$107,MIN('00_Arquitectura'!$B$107,$J$1177))</x:f>
        <x:v>0</x:v>
      </x:c>
      <x:c r="K398" s="10" t="n">
        <x:f>MAX(0,MIN(100,H398+I398+J398))</x:f>
        <x:v>50</x:v>
      </x:c>
      <x:c r="L398" s="10" t="str">
        <x:v>Pulsos y offsets: filtrar Instancias por escenario, turno y targetId. Base separada del nivel visible.</x:v>
      </x:c>
    </x:row>
    <x:row r="399" ht="34" customHeight="1">
      <x:c r="A399" s="5" t="str">
        <x:v>S3_SALARIO</x:v>
      </x:c>
      <x:c r="B399" s="5" t="n">
        <x:v>4</x:v>
      </x:c>
      <x:c r="C399" s="5" t="str">
        <x:v>salud</x:v>
      </x:c>
      <x:c r="D399" s="5" t="n">
        <x:f>$H$385</x:f>
        <x:v>50</x:v>
      </x:c>
      <x:c r="E399" s="5" t="n">
        <x:f>0+0</x:f>
        <x:v>0</x:v>
      </x:c>
      <x:c r="F399" s="5" t="n">
        <x:f>0</x:f>
        <x:v>0</x:v>
      </x:c>
      <x:c r="G399" s="5" t="n">
        <x:f>MAX(-'00_Arquitectura'!$B$106,MIN('00_Arquitectura'!$B$106,E399+F399))</x:f>
        <x:v>0</x:v>
      </x:c>
      <x:c r="H399" s="5" t="n">
        <x:f>MAX(0,MIN(100,D399+G399))</x:f>
        <x:v>50</x:v>
      </x:c>
      <x:c r="I399" s="5" t="n">
        <x:f>0</x:f>
        <x:v>0</x:v>
      </x:c>
      <x:c r="J399" s="5" t="n">
        <x:f>MAX(-'00_Arquitectura'!$B$107,MIN('00_Arquitectura'!$B$107,0))</x:f>
        <x:v>0</x:v>
      </x:c>
      <x:c r="K399" s="5" t="n">
        <x:f>MAX(0,MIN(100,H399+I399+J399))</x:f>
        <x:v>50</x:v>
      </x:c>
      <x:c r="L399" s="5" t="str">
        <x:v>Pulsos y offsets: filtrar Instancias por escenario, turno y targetId. Base separada del nivel visible.</x:v>
      </x:c>
    </x:row>
    <x:row r="400" ht="34" customHeight="1">
      <x:c r="A400" s="10" t="str">
        <x:v>S3_SALARIO</x:v>
      </x:c>
      <x:c r="B400" s="10" t="n">
        <x:v>4</x:v>
      </x:c>
      <x:c r="C400" s="10" t="str">
        <x:v>proteccion</x:v>
      </x:c>
      <x:c r="D400" s="10" t="n">
        <x:f>$H$386</x:f>
        <x:v>45</x:v>
      </x:c>
      <x:c r="E400" s="10" t="n">
        <x:f>0+0</x:f>
        <x:v>0</x:v>
      </x:c>
      <x:c r="F400" s="10" t="n">
        <x:f>0</x:f>
        <x:v>0</x:v>
      </x:c>
      <x:c r="G400" s="10" t="n">
        <x:f>MAX(-'00_Arquitectura'!$B$106,MIN('00_Arquitectura'!$B$106,E400+F400))</x:f>
        <x:v>0</x:v>
      </x:c>
      <x:c r="H400" s="10" t="n">
        <x:f>MAX(0,MIN(100,D400+G400))</x:f>
        <x:v>45</x:v>
      </x:c>
      <x:c r="I400" s="10" t="n">
        <x:f>0</x:f>
        <x:v>0</x:v>
      </x:c>
      <x:c r="J400" s="10" t="n">
        <x:f>MAX(-'00_Arquitectura'!$B$107,MIN('00_Arquitectura'!$B$107,$J$1175+$J$1179))</x:f>
        <x:v>0</x:v>
      </x:c>
      <x:c r="K400" s="10" t="n">
        <x:f>MAX(0,MIN(100,H400+I400+J400))</x:f>
        <x:v>45</x:v>
      </x:c>
      <x:c r="L400" s="10" t="str">
        <x:v>Pulsos y offsets: filtrar Instancias por escenario, turno y targetId. Base separada del nivel visible.</x:v>
      </x:c>
    </x:row>
    <x:row r="401" ht="34" customHeight="1">
      <x:c r="A401" s="5" t="str">
        <x:v>S3_SALARIO</x:v>
      </x:c>
      <x:c r="B401" s="5" t="n">
        <x:v>4</x:v>
      </x:c>
      <x:c r="C401" s="5" t="str">
        <x:v>seguridad</x:v>
      </x:c>
      <x:c r="D401" s="5" t="n">
        <x:f>$H$387</x:f>
        <x:v>45</x:v>
      </x:c>
      <x:c r="E401" s="5" t="n">
        <x:f>0+0</x:f>
        <x:v>0</x:v>
      </x:c>
      <x:c r="F401" s="5" t="n">
        <x:f>0</x:f>
        <x:v>0</x:v>
      </x:c>
      <x:c r="G401" s="5" t="n">
        <x:f>MAX(-'00_Arquitectura'!$B$106,MIN('00_Arquitectura'!$B$106,E401+F401))</x:f>
        <x:v>0</x:v>
      </x:c>
      <x:c r="H401" s="5" t="n">
        <x:f>MAX(0,MIN(100,D401+G401))</x:f>
        <x:v>45</x:v>
      </x:c>
      <x:c r="I401" s="5" t="n">
        <x:f>0</x:f>
        <x:v>0</x:v>
      </x:c>
      <x:c r="J401" s="5" t="n">
        <x:f>MAX(-'00_Arquitectura'!$B$107,MIN('00_Arquitectura'!$B$107,0))</x:f>
        <x:v>0</x:v>
      </x:c>
      <x:c r="K401" s="5" t="n">
        <x:f>MAX(0,MIN(100,H401+I401+J401))</x:f>
        <x:v>45</x:v>
      </x:c>
      <x:c r="L401" s="5" t="str">
        <x:v>Pulsos y offsets: filtrar Instancias por escenario, turno y targetId. Base separada del nivel visible.</x:v>
      </x:c>
    </x:row>
    <x:row r="402" ht="34" customHeight="1">
      <x:c r="A402" s="10" t="str">
        <x:v>S3_SALARIO</x:v>
      </x:c>
      <x:c r="B402" s="10" t="n">
        <x:v>4</x:v>
      </x:c>
      <x:c r="C402" s="10" t="str">
        <x:v>ciencia</x:v>
      </x:c>
      <x:c r="D402" s="10" t="n">
        <x:f>$H$388</x:f>
        <x:v>40</x:v>
      </x:c>
      <x:c r="E402" s="10" t="n">
        <x:f>0+0</x:f>
        <x:v>0</x:v>
      </x:c>
      <x:c r="F402" s="10" t="n">
        <x:f>0</x:f>
        <x:v>0</x:v>
      </x:c>
      <x:c r="G402" s="10" t="n">
        <x:f>MAX(-'00_Arquitectura'!$B$106,MIN('00_Arquitectura'!$B$106,E402+F402))</x:f>
        <x:v>0</x:v>
      </x:c>
      <x:c r="H402" s="10" t="n">
        <x:f>MAX(0,MIN(100,D402+G402))</x:f>
        <x:v>40</x:v>
      </x:c>
      <x:c r="I402" s="10" t="n">
        <x:f>0</x:f>
        <x:v>0</x:v>
      </x:c>
      <x:c r="J402" s="10" t="n">
        <x:f>MAX(-'00_Arquitectura'!$B$107,MIN('00_Arquitectura'!$B$107,$J$1178))</x:f>
        <x:v>0</x:v>
      </x:c>
      <x:c r="K402" s="10" t="n">
        <x:f>MAX(0,MIN(100,H402+I402+J402))</x:f>
        <x:v>40</x:v>
      </x:c>
      <x:c r="L402" s="10" t="str">
        <x:v>Pulsos y offsets: filtrar Instancias por escenario, turno y targetId. Base separada del nivel visible.</x:v>
      </x:c>
    </x:row>
    <x:row r="403" ht="34" customHeight="1">
      <x:c r="A403" s="5" t="str">
        <x:v>S3_SALARIO</x:v>
      </x:c>
      <x:c r="B403" s="5" t="n">
        <x:v>4</x:v>
      </x:c>
      <x:c r="C403" s="5" t="str">
        <x:v>derechos</x:v>
      </x:c>
      <x:c r="D403" s="5" t="n">
        <x:f>$H$389</x:f>
        <x:v>55</x:v>
      </x:c>
      <x:c r="E403" s="5" t="n">
        <x:f>0+0</x:f>
        <x:v>0</x:v>
      </x:c>
      <x:c r="F403" s="5" t="n">
        <x:f>0</x:f>
        <x:v>0</x:v>
      </x:c>
      <x:c r="G403" s="5" t="n">
        <x:f>MAX(-'00_Arquitectura'!$B$106,MIN('00_Arquitectura'!$B$106,E403+F403))</x:f>
        <x:v>0</x:v>
      </x:c>
      <x:c r="H403" s="5" t="n">
        <x:f>MAX(0,MIN(100,D403+G403))</x:f>
        <x:v>55</x:v>
      </x:c>
      <x:c r="I403" s="5" t="n">
        <x:f>0</x:f>
        <x:v>0</x:v>
      </x:c>
      <x:c r="J403" s="5" t="n">
        <x:f>MAX(-'00_Arquitectura'!$B$107,MIN('00_Arquitectura'!$B$107,0))</x:f>
        <x:v>0</x:v>
      </x:c>
      <x:c r="K403" s="5" t="n">
        <x:f>MAX(0,MIN(100,H403+I403+J403))</x:f>
        <x:v>55</x:v>
      </x:c>
      <x:c r="L403" s="5" t="str">
        <x:v>Pulsos y offsets: filtrar Instancias por escenario, turno y targetId. Base separada del nivel visible.</x:v>
      </x:c>
    </x:row>
    <x:row r="404" ht="34" customHeight="1">
      <x:c r="A404" s="10" t="str">
        <x:v>S3_SALARIO</x:v>
      </x:c>
      <x:c r="B404" s="10" t="n">
        <x:v>4</x:v>
      </x:c>
      <x:c r="C404" s="10" t="str">
        <x:v>ambiente</x:v>
      </x:c>
      <x:c r="D404" s="10" t="n">
        <x:f>$H$390</x:f>
        <x:v>50</x:v>
      </x:c>
      <x:c r="E404" s="10" t="n">
        <x:f>0+0</x:f>
        <x:v>0</x:v>
      </x:c>
      <x:c r="F404" s="10" t="n">
        <x:f>0</x:f>
        <x:v>0</x:v>
      </x:c>
      <x:c r="G404" s="10" t="n">
        <x:f>MAX(-'00_Arquitectura'!$B$106,MIN('00_Arquitectura'!$B$106,E404+F404))</x:f>
        <x:v>0</x:v>
      </x:c>
      <x:c r="H404" s="10" t="n">
        <x:f>MAX(0,MIN(100,D404+G404))</x:f>
        <x:v>50</x:v>
      </x:c>
      <x:c r="I404" s="10" t="n">
        <x:f>0</x:f>
        <x:v>0</x:v>
      </x:c>
      <x:c r="J404" s="10" t="n">
        <x:f>MAX(-'00_Arquitectura'!$B$107,MIN('00_Arquitectura'!$B$107,0))</x:f>
        <x:v>0</x:v>
      </x:c>
      <x:c r="K404" s="10" t="n">
        <x:f>MAX(0,MIN(100,H404+I404+J404))</x:f>
        <x:v>50</x:v>
      </x:c>
      <x:c r="L404" s="10" t="str">
        <x:v>Pulsos y offsets: filtrar Instancias por escenario, turno y targetId. Base separada del nivel visible.</x:v>
      </x:c>
    </x:row>
    <x:row r="405" ht="42" customHeight="1">
      <x:c r="A405" s="5" t="str">
        <x:v>S3_SALARIO</x:v>
      </x:c>
      <x:c r="B405" s="5" t="n">
        <x:v>5</x:v>
      </x:c>
      <x:c r="C405" s="5" t="str">
        <x:v>inflacion</x:v>
      </x:c>
      <x:c r="D405" s="5" t="n">
        <x:f>$H$391</x:f>
        <x:v>40</x:v>
      </x:c>
      <x:c r="E405" s="5" t="n">
        <x:f>0+0</x:f>
        <x:v>0</x:v>
      </x:c>
      <x:c r="F405" s="5" t="n">
        <x:f>-'00_Arquitectura'!$B$96*($H$391-40)</x:f>
        <x:v>0</x:v>
      </x:c>
      <x:c r="G405" s="5" t="n">
        <x:f>MAX(-'00_Arquitectura'!$B$106,MIN('00_Arquitectura'!$B$106,E405+F405))</x:f>
        <x:v>0</x:v>
      </x:c>
      <x:c r="H405" s="5" t="n">
        <x:f>MAX(0,MIN(100,D405+G405))</x:f>
        <x:v>40</x:v>
      </x:c>
      <x:c r="I405" s="5" t="n">
        <x:f>0</x:f>
        <x:v>0</x:v>
      </x:c>
      <x:c r="J405" s="5" t="n">
        <x:f>MAX(-'00_Arquitectura'!$B$107,MIN('00_Arquitectura'!$B$107,0))</x:f>
        <x:v>0</x:v>
      </x:c>
      <x:c r="K405" s="5" t="n">
        <x:f>MAX(0,MIN(100,H405+I405+J405))</x:f>
        <x:v>40</x:v>
      </x:c>
      <x:c r="L405" s="5" t="str">
        <x:v>Aplica link L01. Pulsos y offsets: filtrar Instancias por escenario, turno y targetId. Base separada del nivel visible.</x:v>
      </x:c>
    </x:row>
    <x:row r="406" ht="42" customHeight="1">
      <x:c r="A406" s="10" t="str">
        <x:v>S3_SALARIO</x:v>
      </x:c>
      <x:c r="B406" s="10" t="n">
        <x:v>5</x:v>
      </x:c>
      <x:c r="C406" s="10" t="str">
        <x:v>actividad</x:v>
      </x:c>
      <x:c r="D406" s="10" t="n">
        <x:f>$H$392</x:f>
        <x:v>50</x:v>
      </x:c>
      <x:c r="E406" s="10" t="n">
        <x:f>0+0</x:f>
        <x:v>0</x:v>
      </x:c>
      <x:c r="F406" s="10" t="n">
        <x:f>-'00_Arquitectura'!$B$97*($H$392-50)+'00_Arquitectura'!$B$98*($K$394-45)+'00_Arquitectura'!$B$99*($K$397-45)+'00_Arquitectura'!$B$100*($K$396-45)</x:f>
        <x:v>-0.009599999999999796</x:v>
      </x:c>
      <x:c r="G406" s="10" t="n">
        <x:f>MAX(-'00_Arquitectura'!$B$106,MIN('00_Arquitectura'!$B$106,E406+F406))</x:f>
        <x:v>-0.009599999999999796</x:v>
      </x:c>
      <x:c r="H406" s="10" t="n">
        <x:f>MAX(0,MIN(100,D406+G406))</x:f>
        <x:v>49.9904</x:v>
      </x:c>
      <x:c r="I406" s="10" t="n">
        <x:f>0</x:f>
        <x:v>0</x:v>
      </x:c>
      <x:c r="J406" s="10" t="n">
        <x:f>MAX(-'00_Arquitectura'!$B$107,MIN('00_Arquitectura'!$B$107,$J$1187+$J$1190+$J$1191))</x:f>
        <x:v>0</x:v>
      </x:c>
      <x:c r="K406" s="10" t="n">
        <x:f>MAX(0,MIN(100,H406+I406+J406))</x:f>
        <x:v>49.9904</x:v>
      </x:c>
      <x:c r="L406" s="10" t="str">
        <x:v>Aplica link L02. Pulsos y offsets: filtrar Instancias por escenario, turno y targetId. Base separada del nivel visible.</x:v>
      </x:c>
    </x:row>
    <x:row r="407" ht="42" customHeight="1">
      <x:c r="A407" s="5" t="str">
        <x:v>S3_SALARIO</x:v>
      </x:c>
      <x:c r="B407" s="5" t="n">
        <x:v>5</x:v>
      </x:c>
      <x:c r="C407" s="5" t="str">
        <x:v>ingreso_real</x:v>
      </x:c>
      <x:c r="D407" s="5" t="n">
        <x:f>$H$393</x:f>
        <x:v>50</x:v>
      </x:c>
      <x:c r="E407" s="5" t="n">
        <x:f>0+0</x:f>
        <x:v>0</x:v>
      </x:c>
      <x:c r="F407" s="5" t="n">
        <x:f>'00_Arquitectura'!$B$101*($K$392-$K$378)+'00_Arquitectura'!$B$102*($K$391-$K$377)</x:f>
        <x:v>0</x:v>
      </x:c>
      <x:c r="G407" s="5" t="n">
        <x:f>MAX(-'00_Arquitectura'!$B$106,MIN('00_Arquitectura'!$B$106,E407+F407))</x:f>
        <x:v>0</x:v>
      </x:c>
      <x:c r="H407" s="5" t="n">
        <x:f>MAX(0,MIN(100,D407+G407))</x:f>
        <x:v>50</x:v>
      </x:c>
      <x:c r="I407" s="5" t="n">
        <x:f>0</x:f>
        <x:v>0</x:v>
      </x:c>
      <x:c r="J407" s="5" t="n">
        <x:f>MAX(-'00_Arquitectura'!$B$107,MIN('00_Arquitectura'!$B$107,0))</x:f>
        <x:v>0</x:v>
      </x:c>
      <x:c r="K407" s="5" t="n">
        <x:f>MAX(0,MIN(100,H407+I407+J407))</x:f>
        <x:v>50</x:v>
      </x:c>
      <x:c r="L407" s="5" t="str">
        <x:v>Aplica link L03. Pulsos y offsets: filtrar Instancias por escenario, turno y targetId. Base separada del nivel visible.</x:v>
      </x:c>
    </x:row>
    <x:row r="408" ht="42" customHeight="1">
      <x:c r="A408" s="10" t="str">
        <x:v>S3_SALARIO</x:v>
      </x:c>
      <x:c r="B408" s="10" t="n">
        <x:v>5</x:v>
      </x:c>
      <x:c r="C408" s="10" t="str">
        <x:v>credito</x:v>
      </x:c>
      <x:c r="D408" s="10" t="n">
        <x:f>$H$394</x:f>
        <x:v>44.88</x:v>
      </x:c>
      <x:c r="E408" s="10" t="n">
        <x:f>0+0</x:f>
        <x:v>0</x:v>
      </x:c>
      <x:c r="F408" s="10" t="n">
        <x:f>-'00_Arquitectura'!$B$103*($H$394-45)+'00_Arquitectura'!$B$104*($K$391-$K$377)+'00_Arquitectura'!$B$105*($K$395-'00_Arquitectura'!$B$117)</x:f>
        <x:v>-0.10200000000000038</x:v>
      </x:c>
      <x:c r="G408" s="10" t="n">
        <x:f>MAX(-'00_Arquitectura'!$B$106,MIN('00_Arquitectura'!$B$106,E408+F408))</x:f>
        <x:v>-0.10200000000000038</x:v>
      </x:c>
      <x:c r="H408" s="10" t="n">
        <x:f>MAX(0,MIN(100,D408+G408))</x:f>
        <x:v>44.778</x:v>
      </x:c>
      <x:c r="I408" s="10" t="n">
        <x:f>0</x:f>
        <x:v>0</x:v>
      </x:c>
      <x:c r="J408" s="10" t="n">
        <x:f>MAX(-'00_Arquitectura'!$B$107,MIN('00_Arquitectura'!$B$107,$J$1189))</x:f>
        <x:v>0</x:v>
      </x:c>
      <x:c r="K408" s="10" t="n">
        <x:f>MAX(0,MIN(100,H408+I408+J408))</x:f>
        <x:v>44.778</x:v>
      </x:c>
      <x:c r="L408" s="10" t="str">
        <x:v>Aplica link L04. Pulsos y offsets: filtrar Instancias por escenario, turno y targetId. Base separada del nivel visible.</x:v>
      </x:c>
    </x:row>
    <x:row r="409" ht="34" customHeight="1">
      <x:c r="A409" s="5" t="str">
        <x:v>S3_SALARIO</x:v>
      </x:c>
      <x:c r="B409" s="5" t="n">
        <x:v>5</x:v>
      </x:c>
      <x:c r="C409" s="5" t="str">
        <x:v>fiscal</x:v>
      </x:c>
      <x:c r="D409" s="5" t="n">
        <x:f>$H$395</x:f>
        <x:v>52</x:v>
      </x:c>
      <x:c r="E409" s="5" t="n">
        <x:f>0+0</x:f>
        <x:v>0</x:v>
      </x:c>
      <x:c r="F409" s="5" t="n">
        <x:f>0</x:f>
        <x:v>0</x:v>
      </x:c>
      <x:c r="G409" s="5" t="n">
        <x:f>MAX(-'00_Arquitectura'!$B$106,MIN('00_Arquitectura'!$B$106,E409+F409))</x:f>
        <x:v>0</x:v>
      </x:c>
      <x:c r="H409" s="5" t="n">
        <x:f>$O$39</x:f>
        <x:v>52</x:v>
      </x:c>
      <x:c r="I409" s="5" t="n">
        <x:f>0</x:f>
        <x:v>0</x:v>
      </x:c>
      <x:c r="J409" s="5" t="n">
        <x:f>MAX(-'00_Arquitectura'!$B$107,MIN('00_Arquitectura'!$B$107,0))</x:f>
        <x:v>0</x:v>
      </x:c>
      <x:c r="K409" s="5" t="n">
        <x:f>MAX(0,MIN(100,H409+I409+J409))</x:f>
        <x:v>52</x:v>
      </x:c>
      <x:c r="L409" s="5" t="str">
        <x:v>Derivado de caja: ingreso recurrente, gasto, intereses y deuda. Nunca SUM de efectos fiscales directos.</x:v>
      </x:c>
    </x:row>
    <x:row r="410" ht="34" customHeight="1">
      <x:c r="A410" s="10" t="str">
        <x:v>S3_SALARIO</x:v>
      </x:c>
      <x:c r="B410" s="10" t="n">
        <x:v>5</x:v>
      </x:c>
      <x:c r="C410" s="10" t="str">
        <x:v>externo</x:v>
      </x:c>
      <x:c r="D410" s="10" t="n">
        <x:f>$H$396</x:f>
        <x:v>45</x:v>
      </x:c>
      <x:c r="E410" s="10" t="n">
        <x:f>0+0</x:f>
        <x:v>0</x:v>
      </x:c>
      <x:c r="F410" s="10" t="n">
        <x:f>0</x:f>
        <x:v>0</x:v>
      </x:c>
      <x:c r="G410" s="10" t="n">
        <x:f>MAX(-'00_Arquitectura'!$B$106,MIN('00_Arquitectura'!$B$106,E410+F410))</x:f>
        <x:v>0</x:v>
      </x:c>
      <x:c r="H410" s="10" t="n">
        <x:f>MAX(0,MIN(100,D410+G410))</x:f>
        <x:v>45</x:v>
      </x:c>
      <x:c r="I410" s="10" t="n">
        <x:f>0</x:f>
        <x:v>0</x:v>
      </x:c>
      <x:c r="J410" s="10" t="n">
        <x:f>MAX(-'00_Arquitectura'!$B$107,MIN('00_Arquitectura'!$B$107,$J$1188))</x:f>
        <x:v>0</x:v>
      </x:c>
      <x:c r="K410" s="10" t="n">
        <x:f>MAX(0,MIN(100,H410+I410+J410))</x:f>
        <x:v>45</x:v>
      </x:c>
      <x:c r="L410" s="10" t="str">
        <x:v>Pulsos y offsets: filtrar Instancias por escenario, turno y targetId. Base separada del nivel visible.</x:v>
      </x:c>
    </x:row>
    <x:row r="411" ht="34" customHeight="1">
      <x:c r="A411" s="5" t="str">
        <x:v>S3_SALARIO</x:v>
      </x:c>
      <x:c r="B411" s="5" t="n">
        <x:v>5</x:v>
      </x:c>
      <x:c r="C411" s="5" t="str">
        <x:v>infraestructura</x:v>
      </x:c>
      <x:c r="D411" s="5" t="n">
        <x:f>$H$397</x:f>
        <x:v>45</x:v>
      </x:c>
      <x:c r="E411" s="5" t="n">
        <x:f>0+0</x:f>
        <x:v>0</x:v>
      </x:c>
      <x:c r="F411" s="5" t="n">
        <x:f>0</x:f>
        <x:v>0</x:v>
      </x:c>
      <x:c r="G411" s="5" t="n">
        <x:f>MAX(-'00_Arquitectura'!$B$106,MIN('00_Arquitectura'!$B$106,E411+F411))</x:f>
        <x:v>0</x:v>
      </x:c>
      <x:c r="H411" s="5" t="n">
        <x:f>MAX(0,MIN(100,D411+G411))</x:f>
        <x:v>45</x:v>
      </x:c>
      <x:c r="I411" s="5" t="n">
        <x:f>0</x:f>
        <x:v>0</x:v>
      </x:c>
      <x:c r="J411" s="5" t="n">
        <x:f>MAX(-'00_Arquitectura'!$B$107,MIN('00_Arquitectura'!$B$107,0))</x:f>
        <x:v>0</x:v>
      </x:c>
      <x:c r="K411" s="5" t="n">
        <x:f>MAX(0,MIN(100,H411+I411+J411))</x:f>
        <x:v>45</x:v>
      </x:c>
      <x:c r="L411" s="5" t="str">
        <x:v>Pulsos y offsets: filtrar Instancias por escenario, turno y targetId. Base separada del nivel visible.</x:v>
      </x:c>
    </x:row>
    <x:row r="412" ht="34" customHeight="1">
      <x:c r="A412" s="10" t="str">
        <x:v>S3_SALARIO</x:v>
      </x:c>
      <x:c r="B412" s="10" t="n">
        <x:v>5</x:v>
      </x:c>
      <x:c r="C412" s="10" t="str">
        <x:v>educacion</x:v>
      </x:c>
      <x:c r="D412" s="10" t="n">
        <x:f>$H$398</x:f>
        <x:v>50</x:v>
      </x:c>
      <x:c r="E412" s="10" t="n">
        <x:f>0+0</x:f>
        <x:v>0</x:v>
      </x:c>
      <x:c r="F412" s="10" t="n">
        <x:f>0</x:f>
        <x:v>0</x:v>
      </x:c>
      <x:c r="G412" s="10" t="n">
        <x:f>MAX(-'00_Arquitectura'!$B$106,MIN('00_Arquitectura'!$B$106,E412+F412))</x:f>
        <x:v>0</x:v>
      </x:c>
      <x:c r="H412" s="10" t="n">
        <x:f>MAX(0,MIN(100,D412+G412))</x:f>
        <x:v>50</x:v>
      </x:c>
      <x:c r="I412" s="10" t="n">
        <x:f>0</x:f>
        <x:v>0</x:v>
      </x:c>
      <x:c r="J412" s="10" t="n">
        <x:f>MAX(-'00_Arquitectura'!$B$107,MIN('00_Arquitectura'!$B$107,$J$1195))</x:f>
        <x:v>0</x:v>
      </x:c>
      <x:c r="K412" s="10" t="n">
        <x:f>MAX(0,MIN(100,H412+I412+J412))</x:f>
        <x:v>50</x:v>
      </x:c>
      <x:c r="L412" s="10" t="str">
        <x:v>Pulsos y offsets: filtrar Instancias por escenario, turno y targetId. Base separada del nivel visible.</x:v>
      </x:c>
    </x:row>
    <x:row r="413" ht="34" customHeight="1">
      <x:c r="A413" s="5" t="str">
        <x:v>S3_SALARIO</x:v>
      </x:c>
      <x:c r="B413" s="5" t="n">
        <x:v>5</x:v>
      </x:c>
      <x:c r="C413" s="5" t="str">
        <x:v>salud</x:v>
      </x:c>
      <x:c r="D413" s="5" t="n">
        <x:f>$H$399</x:f>
        <x:v>50</x:v>
      </x:c>
      <x:c r="E413" s="5" t="n">
        <x:f>0+0</x:f>
        <x:v>0</x:v>
      </x:c>
      <x:c r="F413" s="5" t="n">
        <x:f>0</x:f>
        <x:v>0</x:v>
      </x:c>
      <x:c r="G413" s="5" t="n">
        <x:f>MAX(-'00_Arquitectura'!$B$106,MIN('00_Arquitectura'!$B$106,E413+F413))</x:f>
        <x:v>0</x:v>
      </x:c>
      <x:c r="H413" s="5" t="n">
        <x:f>MAX(0,MIN(100,D413+G413))</x:f>
        <x:v>50</x:v>
      </x:c>
      <x:c r="I413" s="5" t="n">
        <x:f>0</x:f>
        <x:v>0</x:v>
      </x:c>
      <x:c r="J413" s="5" t="n">
        <x:f>MAX(-'00_Arquitectura'!$B$107,MIN('00_Arquitectura'!$B$107,0))</x:f>
        <x:v>0</x:v>
      </x:c>
      <x:c r="K413" s="5" t="n">
        <x:f>MAX(0,MIN(100,H413+I413+J413))</x:f>
        <x:v>50</x:v>
      </x:c>
      <x:c r="L413" s="5" t="str">
        <x:v>Pulsos y offsets: filtrar Instancias por escenario, turno y targetId. Base separada del nivel visible.</x:v>
      </x:c>
    </x:row>
    <x:row r="414" ht="34" customHeight="1">
      <x:c r="A414" s="10" t="str">
        <x:v>S3_SALARIO</x:v>
      </x:c>
      <x:c r="B414" s="10" t="n">
        <x:v>5</x:v>
      </x:c>
      <x:c r="C414" s="10" t="str">
        <x:v>proteccion</x:v>
      </x:c>
      <x:c r="D414" s="10" t="n">
        <x:f>$H$400</x:f>
        <x:v>45</x:v>
      </x:c>
      <x:c r="E414" s="10" t="n">
        <x:f>0+0</x:f>
        <x:v>0</x:v>
      </x:c>
      <x:c r="F414" s="10" t="n">
        <x:f>0</x:f>
        <x:v>0</x:v>
      </x:c>
      <x:c r="G414" s="10" t="n">
        <x:f>MAX(-'00_Arquitectura'!$B$106,MIN('00_Arquitectura'!$B$106,E414+F414))</x:f>
        <x:v>0</x:v>
      </x:c>
      <x:c r="H414" s="10" t="n">
        <x:f>MAX(0,MIN(100,D414+G414))</x:f>
        <x:v>45</x:v>
      </x:c>
      <x:c r="I414" s="10" t="n">
        <x:f>0</x:f>
        <x:v>0</x:v>
      </x:c>
      <x:c r="J414" s="10" t="n">
        <x:f>MAX(-'00_Arquitectura'!$B$107,MIN('00_Arquitectura'!$B$107,$J$1193+$J$1197))</x:f>
        <x:v>0</x:v>
      </x:c>
      <x:c r="K414" s="10" t="n">
        <x:f>MAX(0,MIN(100,H414+I414+J414))</x:f>
        <x:v>45</x:v>
      </x:c>
      <x:c r="L414" s="10" t="str">
        <x:v>Pulsos y offsets: filtrar Instancias por escenario, turno y targetId. Base separada del nivel visible.</x:v>
      </x:c>
    </x:row>
    <x:row r="415" ht="34" customHeight="1">
      <x:c r="A415" s="5" t="str">
        <x:v>S3_SALARIO</x:v>
      </x:c>
      <x:c r="B415" s="5" t="n">
        <x:v>5</x:v>
      </x:c>
      <x:c r="C415" s="5" t="str">
        <x:v>seguridad</x:v>
      </x:c>
      <x:c r="D415" s="5" t="n">
        <x:f>$H$401</x:f>
        <x:v>45</x:v>
      </x:c>
      <x:c r="E415" s="5" t="n">
        <x:f>0+0</x:f>
        <x:v>0</x:v>
      </x:c>
      <x:c r="F415" s="5" t="n">
        <x:f>0</x:f>
        <x:v>0</x:v>
      </x:c>
      <x:c r="G415" s="5" t="n">
        <x:f>MAX(-'00_Arquitectura'!$B$106,MIN('00_Arquitectura'!$B$106,E415+F415))</x:f>
        <x:v>0</x:v>
      </x:c>
      <x:c r="H415" s="5" t="n">
        <x:f>MAX(0,MIN(100,D415+G415))</x:f>
        <x:v>45</x:v>
      </x:c>
      <x:c r="I415" s="5" t="n">
        <x:f>0</x:f>
        <x:v>0</x:v>
      </x:c>
      <x:c r="J415" s="5" t="n">
        <x:f>MAX(-'00_Arquitectura'!$B$107,MIN('00_Arquitectura'!$B$107,0))</x:f>
        <x:v>0</x:v>
      </x:c>
      <x:c r="K415" s="5" t="n">
        <x:f>MAX(0,MIN(100,H415+I415+J415))</x:f>
        <x:v>45</x:v>
      </x:c>
      <x:c r="L415" s="5" t="str">
        <x:v>Pulsos y offsets: filtrar Instancias por escenario, turno y targetId. Base separada del nivel visible.</x:v>
      </x:c>
    </x:row>
    <x:row r="416" ht="34" customHeight="1">
      <x:c r="A416" s="10" t="str">
        <x:v>S3_SALARIO</x:v>
      </x:c>
      <x:c r="B416" s="10" t="n">
        <x:v>5</x:v>
      </x:c>
      <x:c r="C416" s="10" t="str">
        <x:v>ciencia</x:v>
      </x:c>
      <x:c r="D416" s="10" t="n">
        <x:f>$H$402</x:f>
        <x:v>40</x:v>
      </x:c>
      <x:c r="E416" s="10" t="n">
        <x:f>0+0</x:f>
        <x:v>0</x:v>
      </x:c>
      <x:c r="F416" s="10" t="n">
        <x:f>0</x:f>
        <x:v>0</x:v>
      </x:c>
      <x:c r="G416" s="10" t="n">
        <x:f>MAX(-'00_Arquitectura'!$B$106,MIN('00_Arquitectura'!$B$106,E416+F416))</x:f>
        <x:v>0</x:v>
      </x:c>
      <x:c r="H416" s="10" t="n">
        <x:f>MAX(0,MIN(100,D416+G416))</x:f>
        <x:v>40</x:v>
      </x:c>
      <x:c r="I416" s="10" t="n">
        <x:f>0</x:f>
        <x:v>0</x:v>
      </x:c>
      <x:c r="J416" s="10" t="n">
        <x:f>MAX(-'00_Arquitectura'!$B$107,MIN('00_Arquitectura'!$B$107,$J$1196))</x:f>
        <x:v>0</x:v>
      </x:c>
      <x:c r="K416" s="10" t="n">
        <x:f>MAX(0,MIN(100,H416+I416+J416))</x:f>
        <x:v>40</x:v>
      </x:c>
      <x:c r="L416" s="10" t="str">
        <x:v>Pulsos y offsets: filtrar Instancias por escenario, turno y targetId. Base separada del nivel visible.</x:v>
      </x:c>
    </x:row>
    <x:row r="417" ht="34" customHeight="1">
      <x:c r="A417" s="5" t="str">
        <x:v>S3_SALARIO</x:v>
      </x:c>
      <x:c r="B417" s="5" t="n">
        <x:v>5</x:v>
      </x:c>
      <x:c r="C417" s="5" t="str">
        <x:v>derechos</x:v>
      </x:c>
      <x:c r="D417" s="5" t="n">
        <x:f>$H$403</x:f>
        <x:v>55</x:v>
      </x:c>
      <x:c r="E417" s="5" t="n">
        <x:f>0+0</x:f>
        <x:v>0</x:v>
      </x:c>
      <x:c r="F417" s="5" t="n">
        <x:f>0</x:f>
        <x:v>0</x:v>
      </x:c>
      <x:c r="G417" s="5" t="n">
        <x:f>MAX(-'00_Arquitectura'!$B$106,MIN('00_Arquitectura'!$B$106,E417+F417))</x:f>
        <x:v>0</x:v>
      </x:c>
      <x:c r="H417" s="5" t="n">
        <x:f>MAX(0,MIN(100,D417+G417))</x:f>
        <x:v>55</x:v>
      </x:c>
      <x:c r="I417" s="5" t="n">
        <x:f>0</x:f>
        <x:v>0</x:v>
      </x:c>
      <x:c r="J417" s="5" t="n">
        <x:f>MAX(-'00_Arquitectura'!$B$107,MIN('00_Arquitectura'!$B$107,0))</x:f>
        <x:v>0</x:v>
      </x:c>
      <x:c r="K417" s="5" t="n">
        <x:f>MAX(0,MIN(100,H417+I417+J417))</x:f>
        <x:v>55</x:v>
      </x:c>
      <x:c r="L417" s="5" t="str">
        <x:v>Pulsos y offsets: filtrar Instancias por escenario, turno y targetId. Base separada del nivel visible.</x:v>
      </x:c>
    </x:row>
    <x:row r="418" ht="34" customHeight="1">
      <x:c r="A418" s="10" t="str">
        <x:v>S3_SALARIO</x:v>
      </x:c>
      <x:c r="B418" s="10" t="n">
        <x:v>5</x:v>
      </x:c>
      <x:c r="C418" s="10" t="str">
        <x:v>ambiente</x:v>
      </x:c>
      <x:c r="D418" s="10" t="n">
        <x:f>$H$404</x:f>
        <x:v>50</x:v>
      </x:c>
      <x:c r="E418" s="10" t="n">
        <x:f>0+0</x:f>
        <x:v>0</x:v>
      </x:c>
      <x:c r="F418" s="10" t="n">
        <x:f>0</x:f>
        <x:v>0</x:v>
      </x:c>
      <x:c r="G418" s="10" t="n">
        <x:f>MAX(-'00_Arquitectura'!$B$106,MIN('00_Arquitectura'!$B$106,E418+F418))</x:f>
        <x:v>0</x:v>
      </x:c>
      <x:c r="H418" s="10" t="n">
        <x:f>MAX(0,MIN(100,D418+G418))</x:f>
        <x:v>50</x:v>
      </x:c>
      <x:c r="I418" s="10" t="n">
        <x:f>0</x:f>
        <x:v>0</x:v>
      </x:c>
      <x:c r="J418" s="10" t="n">
        <x:f>MAX(-'00_Arquitectura'!$B$107,MIN('00_Arquitectura'!$B$107,0))</x:f>
        <x:v>0</x:v>
      </x:c>
      <x:c r="K418" s="10" t="n">
        <x:f>MAX(0,MIN(100,H418+I418+J418))</x:f>
        <x:v>50</x:v>
      </x:c>
      <x:c r="L418" s="10" t="str">
        <x:v>Pulsos y offsets: filtrar Instancias por escenario, turno y targetId. Base separada del nivel visible.</x:v>
      </x:c>
    </x:row>
    <x:row r="419" ht="42" customHeight="1">
      <x:c r="A419" s="5" t="str">
        <x:v>S3_SALARIO</x:v>
      </x:c>
      <x:c r="B419" s="5" t="n">
        <x:v>6</x:v>
      </x:c>
      <x:c r="C419" s="5" t="str">
        <x:v>inflacion</x:v>
      </x:c>
      <x:c r="D419" s="5" t="n">
        <x:f>$H$405</x:f>
        <x:v>40</x:v>
      </x:c>
      <x:c r="E419" s="5" t="n">
        <x:f>0+0</x:f>
        <x:v>0</x:v>
      </x:c>
      <x:c r="F419" s="5" t="n">
        <x:f>-'00_Arquitectura'!$B$96*($H$405-40)</x:f>
        <x:v>0</x:v>
      </x:c>
      <x:c r="G419" s="5" t="n">
        <x:f>MAX(-'00_Arquitectura'!$B$106,MIN('00_Arquitectura'!$B$106,E419+F419))</x:f>
        <x:v>0</x:v>
      </x:c>
      <x:c r="H419" s="5" t="n">
        <x:f>MAX(0,MIN(100,D419+G419))</x:f>
        <x:v>40</x:v>
      </x:c>
      <x:c r="I419" s="5" t="n">
        <x:f>0</x:f>
        <x:v>0</x:v>
      </x:c>
      <x:c r="J419" s="5" t="n">
        <x:f>MAX(-'00_Arquitectura'!$B$107,MIN('00_Arquitectura'!$B$107,0))</x:f>
        <x:v>0</x:v>
      </x:c>
      <x:c r="K419" s="5" t="n">
        <x:f>MAX(0,MIN(100,H419+I419+J419))</x:f>
        <x:v>40</x:v>
      </x:c>
      <x:c r="L419" s="5" t="str">
        <x:v>Aplica link L01. Pulsos y offsets: filtrar Instancias por escenario, turno y targetId. Base separada del nivel visible.</x:v>
      </x:c>
    </x:row>
    <x:row r="420" ht="42" customHeight="1">
      <x:c r="A420" s="10" t="str">
        <x:v>S3_SALARIO</x:v>
      </x:c>
      <x:c r="B420" s="10" t="n">
        <x:v>6</x:v>
      </x:c>
      <x:c r="C420" s="10" t="str">
        <x:v>actividad</x:v>
      </x:c>
      <x:c r="D420" s="10" t="n">
        <x:f>$H$406</x:f>
        <x:v>49.9904</x:v>
      </x:c>
      <x:c r="E420" s="10" t="n">
        <x:f>0+0</x:f>
        <x:v>0</x:v>
      </x:c>
      <x:c r="F420" s="10" t="n">
        <x:f>-'00_Arquitectura'!$B$97*($H$406-50)+'00_Arquitectura'!$B$98*($K$408-45)+'00_Arquitectura'!$B$99*($K$411-45)+'00_Arquitectura'!$B$100*($K$410-45)</x:f>
        <x:v>-0.015840000000000316</x:v>
      </x:c>
      <x:c r="G420" s="10" t="n">
        <x:f>MAX(-'00_Arquitectura'!$B$106,MIN('00_Arquitectura'!$B$106,E420+F420))</x:f>
        <x:v>-0.015840000000000316</x:v>
      </x:c>
      <x:c r="H420" s="10" t="n">
        <x:f>MAX(0,MIN(100,D420+G420))</x:f>
        <x:v>49.974560000000004</x:v>
      </x:c>
      <x:c r="I420" s="10" t="n">
        <x:f>0</x:f>
        <x:v>0</x:v>
      </x:c>
      <x:c r="J420" s="10" t="n">
        <x:f>MAX(-'00_Arquitectura'!$B$107,MIN('00_Arquitectura'!$B$107,$J$1205+$J$1208+$J$1209))</x:f>
        <x:v>0</x:v>
      </x:c>
      <x:c r="K420" s="10" t="n">
        <x:f>MAX(0,MIN(100,H420+I420+J420))</x:f>
        <x:v>49.974560000000004</x:v>
      </x:c>
      <x:c r="L420" s="10" t="str">
        <x:v>Aplica link L02. Pulsos y offsets: filtrar Instancias por escenario, turno y targetId. Base separada del nivel visible.</x:v>
      </x:c>
    </x:row>
    <x:row r="421" ht="42" customHeight="1">
      <x:c r="A421" s="5" t="str">
        <x:v>S3_SALARIO</x:v>
      </x:c>
      <x:c r="B421" s="5" t="n">
        <x:v>6</x:v>
      </x:c>
      <x:c r="C421" s="5" t="str">
        <x:v>ingreso_real</x:v>
      </x:c>
      <x:c r="D421" s="5" t="n">
        <x:f>$H$407</x:f>
        <x:v>50</x:v>
      </x:c>
      <x:c r="E421" s="5" t="n">
        <x:f>SUM($I$1717)+0</x:f>
        <x:v>5</x:v>
      </x:c>
      <x:c r="F421" s="5" t="n">
        <x:f>'00_Arquitectura'!$B$101*($K$406-$K$392)+'00_Arquitectura'!$B$102*($K$405-$K$391)</x:f>
        <x:v>-0.0014399999999998414</x:v>
      </x:c>
      <x:c r="G421" s="5" t="n">
        <x:f>MAX(-'00_Arquitectura'!$B$106,MIN('00_Arquitectura'!$B$106,E421+F421))</x:f>
        <x:v>4.99856</x:v>
      </x:c>
      <x:c r="H421" s="5" t="n">
        <x:f>MAX(0,MIN(100,D421+G421))</x:f>
        <x:v>54.99856</x:v>
      </x:c>
      <x:c r="I421" s="5" t="n">
        <x:f>0</x:f>
        <x:v>0</x:v>
      </x:c>
      <x:c r="J421" s="5" t="n">
        <x:f>MAX(-'00_Arquitectura'!$B$107,MIN('00_Arquitectura'!$B$107,0))</x:f>
        <x:v>0</x:v>
      </x:c>
      <x:c r="K421" s="5" t="n">
        <x:f>MAX(0,MIN(100,H421+I421+J421))</x:f>
        <x:v>54.99856</x:v>
      </x:c>
      <x:c r="L421" s="5" t="str">
        <x:v>Aplica link L03. Pulsos y offsets: filtrar Instancias por escenario, turno y targetId. Base separada del nivel visible.</x:v>
      </x:c>
    </x:row>
    <x:row r="422" ht="42" customHeight="1">
      <x:c r="A422" s="10" t="str">
        <x:v>S3_SALARIO</x:v>
      </x:c>
      <x:c r="B422" s="10" t="n">
        <x:v>6</x:v>
      </x:c>
      <x:c r="C422" s="10" t="str">
        <x:v>credito</x:v>
      </x:c>
      <x:c r="D422" s="10" t="n">
        <x:f>$H$408</x:f>
        <x:v>44.778</x:v>
      </x:c>
      <x:c r="E422" s="10" t="n">
        <x:f>0+0</x:f>
        <x:v>0</x:v>
      </x:c>
      <x:c r="F422" s="10" t="n">
        <x:f>-'00_Arquitectura'!$B$103*($H$408-45)+'00_Arquitectura'!$B$104*($K$405-$K$391)+'00_Arquitectura'!$B$105*($K$409-'00_Arquitectura'!$B$117)</x:f>
        <x:v>-0.0866999999999998</x:v>
      </x:c>
      <x:c r="G422" s="10" t="n">
        <x:f>MAX(-'00_Arquitectura'!$B$106,MIN('00_Arquitectura'!$B$106,E422+F422))</x:f>
        <x:v>-0.0866999999999998</x:v>
      </x:c>
      <x:c r="H422" s="10" t="n">
        <x:f>MAX(0,MIN(100,D422+G422))</x:f>
        <x:v>44.6913</x:v>
      </x:c>
      <x:c r="I422" s="10" t="n">
        <x:f>0</x:f>
        <x:v>0</x:v>
      </x:c>
      <x:c r="J422" s="10" t="n">
        <x:f>MAX(-'00_Arquitectura'!$B$107,MIN('00_Arquitectura'!$B$107,$J$1207))</x:f>
        <x:v>0</x:v>
      </x:c>
      <x:c r="K422" s="10" t="n">
        <x:f>MAX(0,MIN(100,H422+I422+J422))</x:f>
        <x:v>44.6913</x:v>
      </x:c>
      <x:c r="L422" s="10" t="str">
        <x:v>Aplica link L04. Pulsos y offsets: filtrar Instancias por escenario, turno y targetId. Base separada del nivel visible.</x:v>
      </x:c>
    </x:row>
    <x:row r="423" ht="34" customHeight="1">
      <x:c r="A423" s="5" t="str">
        <x:v>S3_SALARIO</x:v>
      </x:c>
      <x:c r="B423" s="5" t="n">
        <x:v>6</x:v>
      </x:c>
      <x:c r="C423" s="5" t="str">
        <x:v>fiscal</x:v>
      </x:c>
      <x:c r="D423" s="5" t="n">
        <x:f>$H$409</x:f>
        <x:v>52</x:v>
      </x:c>
      <x:c r="E423" s="5" t="n">
        <x:f>0+0</x:f>
        <x:v>0</x:v>
      </x:c>
      <x:c r="F423" s="5" t="n">
        <x:f>0</x:f>
        <x:v>0</x:v>
      </x:c>
      <x:c r="G423" s="5" t="n">
        <x:f>MAX(-'00_Arquitectura'!$B$106,MIN('00_Arquitectura'!$B$106,E423+F423))</x:f>
        <x:v>0</x:v>
      </x:c>
      <x:c r="H423" s="5" t="n">
        <x:f>$O$40</x:f>
        <x:v>51.99808</x:v>
      </x:c>
      <x:c r="I423" s="5" t="n">
        <x:f>0</x:f>
        <x:v>0</x:v>
      </x:c>
      <x:c r="J423" s="5" t="n">
        <x:f>MAX(-'00_Arquitectura'!$B$107,MIN('00_Arquitectura'!$B$107,0))</x:f>
        <x:v>0</x:v>
      </x:c>
      <x:c r="K423" s="5" t="n">
        <x:f>MAX(0,MIN(100,H423+I423+J423))</x:f>
        <x:v>51.99808</x:v>
      </x:c>
      <x:c r="L423" s="5" t="str">
        <x:v>Derivado de caja: ingreso recurrente, gasto, intereses y deuda. Nunca SUM de efectos fiscales directos.</x:v>
      </x:c>
    </x:row>
    <x:row r="424" ht="34" customHeight="1">
      <x:c r="A424" s="10" t="str">
        <x:v>S3_SALARIO</x:v>
      </x:c>
      <x:c r="B424" s="10" t="n">
        <x:v>6</x:v>
      </x:c>
      <x:c r="C424" s="10" t="str">
        <x:v>externo</x:v>
      </x:c>
      <x:c r="D424" s="10" t="n">
        <x:f>$H$410</x:f>
        <x:v>45</x:v>
      </x:c>
      <x:c r="E424" s="10" t="n">
        <x:f>0+0</x:f>
        <x:v>0</x:v>
      </x:c>
      <x:c r="F424" s="10" t="n">
        <x:f>0</x:f>
        <x:v>0</x:v>
      </x:c>
      <x:c r="G424" s="10" t="n">
        <x:f>MAX(-'00_Arquitectura'!$B$106,MIN('00_Arquitectura'!$B$106,E424+F424))</x:f>
        <x:v>0</x:v>
      </x:c>
      <x:c r="H424" s="10" t="n">
        <x:f>MAX(0,MIN(100,D424+G424))</x:f>
        <x:v>45</x:v>
      </x:c>
      <x:c r="I424" s="10" t="n">
        <x:f>0</x:f>
        <x:v>0</x:v>
      </x:c>
      <x:c r="J424" s="10" t="n">
        <x:f>MAX(-'00_Arquitectura'!$B$107,MIN('00_Arquitectura'!$B$107,$J$1206))</x:f>
        <x:v>0</x:v>
      </x:c>
      <x:c r="K424" s="10" t="n">
        <x:f>MAX(0,MIN(100,H424+I424+J424))</x:f>
        <x:v>45</x:v>
      </x:c>
      <x:c r="L424" s="10" t="str">
        <x:v>Pulsos y offsets: filtrar Instancias por escenario, turno y targetId. Base separada del nivel visible.</x:v>
      </x:c>
    </x:row>
    <x:row r="425" ht="34" customHeight="1">
      <x:c r="A425" s="5" t="str">
        <x:v>S3_SALARIO</x:v>
      </x:c>
      <x:c r="B425" s="5" t="n">
        <x:v>6</x:v>
      </x:c>
      <x:c r="C425" s="5" t="str">
        <x:v>infraestructura</x:v>
      </x:c>
      <x:c r="D425" s="5" t="n">
        <x:f>$H$411</x:f>
        <x:v>45</x:v>
      </x:c>
      <x:c r="E425" s="5" t="n">
        <x:f>0+0</x:f>
        <x:v>0</x:v>
      </x:c>
      <x:c r="F425" s="5" t="n">
        <x:f>0</x:f>
        <x:v>0</x:v>
      </x:c>
      <x:c r="G425" s="5" t="n">
        <x:f>MAX(-'00_Arquitectura'!$B$106,MIN('00_Arquitectura'!$B$106,E425+F425))</x:f>
        <x:v>0</x:v>
      </x:c>
      <x:c r="H425" s="5" t="n">
        <x:f>MAX(0,MIN(100,D425+G425))</x:f>
        <x:v>45</x:v>
      </x:c>
      <x:c r="I425" s="5" t="n">
        <x:f>0</x:f>
        <x:v>0</x:v>
      </x:c>
      <x:c r="J425" s="5" t="n">
        <x:f>MAX(-'00_Arquitectura'!$B$107,MIN('00_Arquitectura'!$B$107,0))</x:f>
        <x:v>0</x:v>
      </x:c>
      <x:c r="K425" s="5" t="n">
        <x:f>MAX(0,MIN(100,H425+I425+J425))</x:f>
        <x:v>45</x:v>
      </x:c>
      <x:c r="L425" s="5" t="str">
        <x:v>Pulsos y offsets: filtrar Instancias por escenario, turno y targetId. Base separada del nivel visible.</x:v>
      </x:c>
    </x:row>
    <x:row r="426" ht="34" customHeight="1">
      <x:c r="A426" s="10" t="str">
        <x:v>S3_SALARIO</x:v>
      </x:c>
      <x:c r="B426" s="10" t="n">
        <x:v>6</x:v>
      </x:c>
      <x:c r="C426" s="10" t="str">
        <x:v>educacion</x:v>
      </x:c>
      <x:c r="D426" s="10" t="n">
        <x:f>$H$412</x:f>
        <x:v>50</x:v>
      </x:c>
      <x:c r="E426" s="10" t="n">
        <x:f>0+0</x:f>
        <x:v>0</x:v>
      </x:c>
      <x:c r="F426" s="10" t="n">
        <x:f>0</x:f>
        <x:v>0</x:v>
      </x:c>
      <x:c r="G426" s="10" t="n">
        <x:f>MAX(-'00_Arquitectura'!$B$106,MIN('00_Arquitectura'!$B$106,E426+F426))</x:f>
        <x:v>0</x:v>
      </x:c>
      <x:c r="H426" s="10" t="n">
        <x:f>MAX(0,MIN(100,D426+G426))</x:f>
        <x:v>50</x:v>
      </x:c>
      <x:c r="I426" s="10" t="n">
        <x:f>0</x:f>
        <x:v>0</x:v>
      </x:c>
      <x:c r="J426" s="10" t="n">
        <x:f>MAX(-'00_Arquitectura'!$B$107,MIN('00_Arquitectura'!$B$107,$J$1213))</x:f>
        <x:v>0</x:v>
      </x:c>
      <x:c r="K426" s="10" t="n">
        <x:f>MAX(0,MIN(100,H426+I426+J426))</x:f>
        <x:v>50</x:v>
      </x:c>
      <x:c r="L426" s="10" t="str">
        <x:v>Pulsos y offsets: filtrar Instancias por escenario, turno y targetId. Base separada del nivel visible.</x:v>
      </x:c>
    </x:row>
    <x:row r="427" ht="34" customHeight="1">
      <x:c r="A427" s="5" t="str">
        <x:v>S3_SALARIO</x:v>
      </x:c>
      <x:c r="B427" s="5" t="n">
        <x:v>6</x:v>
      </x:c>
      <x:c r="C427" s="5" t="str">
        <x:v>salud</x:v>
      </x:c>
      <x:c r="D427" s="5" t="n">
        <x:f>$H$413</x:f>
        <x:v>50</x:v>
      </x:c>
      <x:c r="E427" s="5" t="n">
        <x:f>0+0</x:f>
        <x:v>0</x:v>
      </x:c>
      <x:c r="F427" s="5" t="n">
        <x:f>0</x:f>
        <x:v>0</x:v>
      </x:c>
      <x:c r="G427" s="5" t="n">
        <x:f>MAX(-'00_Arquitectura'!$B$106,MIN('00_Arquitectura'!$B$106,E427+F427))</x:f>
        <x:v>0</x:v>
      </x:c>
      <x:c r="H427" s="5" t="n">
        <x:f>MAX(0,MIN(100,D427+G427))</x:f>
        <x:v>50</x:v>
      </x:c>
      <x:c r="I427" s="5" t="n">
        <x:f>0</x:f>
        <x:v>0</x:v>
      </x:c>
      <x:c r="J427" s="5" t="n">
        <x:f>MAX(-'00_Arquitectura'!$B$107,MIN('00_Arquitectura'!$B$107,0))</x:f>
        <x:v>0</x:v>
      </x:c>
      <x:c r="K427" s="5" t="n">
        <x:f>MAX(0,MIN(100,H427+I427+J427))</x:f>
        <x:v>50</x:v>
      </x:c>
      <x:c r="L427" s="5" t="str">
        <x:v>Pulsos y offsets: filtrar Instancias por escenario, turno y targetId. Base separada del nivel visible.</x:v>
      </x:c>
    </x:row>
    <x:row r="428" ht="34" customHeight="1">
      <x:c r="A428" s="10" t="str">
        <x:v>S3_SALARIO</x:v>
      </x:c>
      <x:c r="B428" s="10" t="n">
        <x:v>6</x:v>
      </x:c>
      <x:c r="C428" s="10" t="str">
        <x:v>proteccion</x:v>
      </x:c>
      <x:c r="D428" s="10" t="n">
        <x:f>$H$414</x:f>
        <x:v>45</x:v>
      </x:c>
      <x:c r="E428" s="10" t="n">
        <x:f>0+0</x:f>
        <x:v>0</x:v>
      </x:c>
      <x:c r="F428" s="10" t="n">
        <x:f>0</x:f>
        <x:v>0</x:v>
      </x:c>
      <x:c r="G428" s="10" t="n">
        <x:f>MAX(-'00_Arquitectura'!$B$106,MIN('00_Arquitectura'!$B$106,E428+F428))</x:f>
        <x:v>0</x:v>
      </x:c>
      <x:c r="H428" s="10" t="n">
        <x:f>MAX(0,MIN(100,D428+G428))</x:f>
        <x:v>45</x:v>
      </x:c>
      <x:c r="I428" s="10" t="n">
        <x:f>0</x:f>
        <x:v>0</x:v>
      </x:c>
      <x:c r="J428" s="10" t="n">
        <x:f>MAX(-'00_Arquitectura'!$B$107,MIN('00_Arquitectura'!$B$107,$J$1211+$J$1215))</x:f>
        <x:v>0</x:v>
      </x:c>
      <x:c r="K428" s="10" t="n">
        <x:f>MAX(0,MIN(100,H428+I428+J428))</x:f>
        <x:v>45</x:v>
      </x:c>
      <x:c r="L428" s="10" t="str">
        <x:v>Pulsos y offsets: filtrar Instancias por escenario, turno y targetId. Base separada del nivel visible.</x:v>
      </x:c>
    </x:row>
    <x:row r="429" ht="34" customHeight="1">
      <x:c r="A429" s="5" t="str">
        <x:v>S3_SALARIO</x:v>
      </x:c>
      <x:c r="B429" s="5" t="n">
        <x:v>6</x:v>
      </x:c>
      <x:c r="C429" s="5" t="str">
        <x:v>seguridad</x:v>
      </x:c>
      <x:c r="D429" s="5" t="n">
        <x:f>$H$415</x:f>
        <x:v>45</x:v>
      </x:c>
      <x:c r="E429" s="5" t="n">
        <x:f>0+0</x:f>
        <x:v>0</x:v>
      </x:c>
      <x:c r="F429" s="5" t="n">
        <x:f>0</x:f>
        <x:v>0</x:v>
      </x:c>
      <x:c r="G429" s="5" t="n">
        <x:f>MAX(-'00_Arquitectura'!$B$106,MIN('00_Arquitectura'!$B$106,E429+F429))</x:f>
        <x:v>0</x:v>
      </x:c>
      <x:c r="H429" s="5" t="n">
        <x:f>MAX(0,MIN(100,D429+G429))</x:f>
        <x:v>45</x:v>
      </x:c>
      <x:c r="I429" s="5" t="n">
        <x:f>0</x:f>
        <x:v>0</x:v>
      </x:c>
      <x:c r="J429" s="5" t="n">
        <x:f>MAX(-'00_Arquitectura'!$B$107,MIN('00_Arquitectura'!$B$107,0))</x:f>
        <x:v>0</x:v>
      </x:c>
      <x:c r="K429" s="5" t="n">
        <x:f>MAX(0,MIN(100,H429+I429+J429))</x:f>
        <x:v>45</x:v>
      </x:c>
      <x:c r="L429" s="5" t="str">
        <x:v>Pulsos y offsets: filtrar Instancias por escenario, turno y targetId. Base separada del nivel visible.</x:v>
      </x:c>
    </x:row>
    <x:row r="430" ht="34" customHeight="1">
      <x:c r="A430" s="10" t="str">
        <x:v>S3_SALARIO</x:v>
      </x:c>
      <x:c r="B430" s="10" t="n">
        <x:v>6</x:v>
      </x:c>
      <x:c r="C430" s="10" t="str">
        <x:v>ciencia</x:v>
      </x:c>
      <x:c r="D430" s="10" t="n">
        <x:f>$H$416</x:f>
        <x:v>40</x:v>
      </x:c>
      <x:c r="E430" s="10" t="n">
        <x:f>0+0</x:f>
        <x:v>0</x:v>
      </x:c>
      <x:c r="F430" s="10" t="n">
        <x:f>0</x:f>
        <x:v>0</x:v>
      </x:c>
      <x:c r="G430" s="10" t="n">
        <x:f>MAX(-'00_Arquitectura'!$B$106,MIN('00_Arquitectura'!$B$106,E430+F430))</x:f>
        <x:v>0</x:v>
      </x:c>
      <x:c r="H430" s="10" t="n">
        <x:f>MAX(0,MIN(100,D430+G430))</x:f>
        <x:v>40</x:v>
      </x:c>
      <x:c r="I430" s="10" t="n">
        <x:f>0</x:f>
        <x:v>0</x:v>
      </x:c>
      <x:c r="J430" s="10" t="n">
        <x:f>MAX(-'00_Arquitectura'!$B$107,MIN('00_Arquitectura'!$B$107,$J$1214))</x:f>
        <x:v>0</x:v>
      </x:c>
      <x:c r="K430" s="10" t="n">
        <x:f>MAX(0,MIN(100,H430+I430+J430))</x:f>
        <x:v>40</x:v>
      </x:c>
      <x:c r="L430" s="10" t="str">
        <x:v>Pulsos y offsets: filtrar Instancias por escenario, turno y targetId. Base separada del nivel visible.</x:v>
      </x:c>
    </x:row>
    <x:row r="431" ht="34" customHeight="1">
      <x:c r="A431" s="5" t="str">
        <x:v>S3_SALARIO</x:v>
      </x:c>
      <x:c r="B431" s="5" t="n">
        <x:v>6</x:v>
      </x:c>
      <x:c r="C431" s="5" t="str">
        <x:v>derechos</x:v>
      </x:c>
      <x:c r="D431" s="5" t="n">
        <x:f>$H$417</x:f>
        <x:v>55</x:v>
      </x:c>
      <x:c r="E431" s="5" t="n">
        <x:f>0+0</x:f>
        <x:v>0</x:v>
      </x:c>
      <x:c r="F431" s="5" t="n">
        <x:f>0</x:f>
        <x:v>0</x:v>
      </x:c>
      <x:c r="G431" s="5" t="n">
        <x:f>MAX(-'00_Arquitectura'!$B$106,MIN('00_Arquitectura'!$B$106,E431+F431))</x:f>
        <x:v>0</x:v>
      </x:c>
      <x:c r="H431" s="5" t="n">
        <x:f>MAX(0,MIN(100,D431+G431))</x:f>
        <x:v>55</x:v>
      </x:c>
      <x:c r="I431" s="5" t="n">
        <x:f>0</x:f>
        <x:v>0</x:v>
      </x:c>
      <x:c r="J431" s="5" t="n">
        <x:f>MAX(-'00_Arquitectura'!$B$107,MIN('00_Arquitectura'!$B$107,0))</x:f>
        <x:v>0</x:v>
      </x:c>
      <x:c r="K431" s="5" t="n">
        <x:f>MAX(0,MIN(100,H431+I431+J431))</x:f>
        <x:v>55</x:v>
      </x:c>
      <x:c r="L431" s="5" t="str">
        <x:v>Pulsos y offsets: filtrar Instancias por escenario, turno y targetId. Base separada del nivel visible.</x:v>
      </x:c>
    </x:row>
    <x:row r="432" ht="34" customHeight="1">
      <x:c r="A432" s="10" t="str">
        <x:v>S3_SALARIO</x:v>
      </x:c>
      <x:c r="B432" s="10" t="n">
        <x:v>6</x:v>
      </x:c>
      <x:c r="C432" s="10" t="str">
        <x:v>ambiente</x:v>
      </x:c>
      <x:c r="D432" s="10" t="n">
        <x:f>$H$418</x:f>
        <x:v>50</x:v>
      </x:c>
      <x:c r="E432" s="10" t="n">
        <x:f>0+0</x:f>
        <x:v>0</x:v>
      </x:c>
      <x:c r="F432" s="10" t="n">
        <x:f>0</x:f>
        <x:v>0</x:v>
      </x:c>
      <x:c r="G432" s="10" t="n">
        <x:f>MAX(-'00_Arquitectura'!$B$106,MIN('00_Arquitectura'!$B$106,E432+F432))</x:f>
        <x:v>0</x:v>
      </x:c>
      <x:c r="H432" s="10" t="n">
        <x:f>MAX(0,MIN(100,D432+G432))</x:f>
        <x:v>50</x:v>
      </x:c>
      <x:c r="I432" s="10" t="n">
        <x:f>0</x:f>
        <x:v>0</x:v>
      </x:c>
      <x:c r="J432" s="10" t="n">
        <x:f>MAX(-'00_Arquitectura'!$B$107,MIN('00_Arquitectura'!$B$107,0))</x:f>
        <x:v>0</x:v>
      </x:c>
      <x:c r="K432" s="10" t="n">
        <x:f>MAX(0,MIN(100,H432+I432+J432))</x:f>
        <x:v>50</x:v>
      </x:c>
      <x:c r="L432" s="10" t="str">
        <x:v>Pulsos y offsets: filtrar Instancias por escenario, turno y targetId. Base separada del nivel visible.</x:v>
      </x:c>
    </x:row>
    <x:row r="433" ht="42" customHeight="1">
      <x:c r="A433" s="5" t="str">
        <x:v>S3_SALARIO</x:v>
      </x:c>
      <x:c r="B433" s="5" t="n">
        <x:v>7</x:v>
      </x:c>
      <x:c r="C433" s="5" t="str">
        <x:v>inflacion</x:v>
      </x:c>
      <x:c r="D433" s="5" t="n">
        <x:f>$H$419</x:f>
        <x:v>40</x:v>
      </x:c>
      <x:c r="E433" s="5" t="n">
        <x:f>SUM($I$1722)+0</x:f>
        <x:v>0</x:v>
      </x:c>
      <x:c r="F433" s="5" t="n">
        <x:f>-'00_Arquitectura'!$B$96*($H$419-40)</x:f>
        <x:v>0</x:v>
      </x:c>
      <x:c r="G433" s="5" t="n">
        <x:f>MAX(-'00_Arquitectura'!$B$106,MIN('00_Arquitectura'!$B$106,E433+F433))</x:f>
        <x:v>0</x:v>
      </x:c>
      <x:c r="H433" s="5" t="n">
        <x:f>MAX(0,MIN(100,D433+G433))</x:f>
        <x:v>40</x:v>
      </x:c>
      <x:c r="I433" s="5" t="n">
        <x:f>0</x:f>
        <x:v>0</x:v>
      </x:c>
      <x:c r="J433" s="5" t="n">
        <x:f>MAX(-'00_Arquitectura'!$B$107,MIN('00_Arquitectura'!$B$107,0))</x:f>
        <x:v>0</x:v>
      </x:c>
      <x:c r="K433" s="5" t="n">
        <x:f>MAX(0,MIN(100,H433+I433+J433))</x:f>
        <x:v>40</x:v>
      </x:c>
      <x:c r="L433" s="5" t="str">
        <x:v>Aplica link L01. Pulsos y offsets: filtrar Instancias por escenario, turno y targetId. Base separada del nivel visible.</x:v>
      </x:c>
    </x:row>
    <x:row r="434" ht="42" customHeight="1">
      <x:c r="A434" s="10" t="str">
        <x:v>S3_SALARIO</x:v>
      </x:c>
      <x:c r="B434" s="10" t="n">
        <x:v>7</x:v>
      </x:c>
      <x:c r="C434" s="10" t="str">
        <x:v>actividad</x:v>
      </x:c>
      <x:c r="D434" s="10" t="n">
        <x:f>$H$420</x:f>
        <x:v>49.974560000000004</x:v>
      </x:c>
      <x:c r="E434" s="10" t="n">
        <x:f>0+0</x:f>
        <x:v>0</x:v>
      </x:c>
      <x:c r="F434" s="10" t="n">
        <x:f>-'00_Arquitectura'!$B$97*($H$420-50)+'00_Arquitectura'!$B$98*($K$422-45)+'00_Arquitectura'!$B$99*($K$425-45)+'00_Arquitectura'!$B$100*($K$424-45)</x:f>
        <x:v>-0.019608000000000916</x:v>
      </x:c>
      <x:c r="G434" s="10" t="n">
        <x:f>MAX(-'00_Arquitectura'!$B$106,MIN('00_Arquitectura'!$B$106,E434+F434))</x:f>
        <x:v>-0.019608000000000916</x:v>
      </x:c>
      <x:c r="H434" s="10" t="n">
        <x:f>MAX(0,MIN(100,D434+G434))</x:f>
        <x:v>49.954952000000006</x:v>
      </x:c>
      <x:c r="I434" s="10" t="n">
        <x:f>0</x:f>
        <x:v>0</x:v>
      </x:c>
      <x:c r="J434" s="10" t="n">
        <x:f>MAX(-'00_Arquitectura'!$B$107,MIN('00_Arquitectura'!$B$107,$J$1223+$J$1226+$J$1227))</x:f>
        <x:v>0</x:v>
      </x:c>
      <x:c r="K434" s="10" t="n">
        <x:f>MAX(0,MIN(100,H434+I434+J434))</x:f>
        <x:v>49.954952000000006</x:v>
      </x:c>
      <x:c r="L434" s="10" t="str">
        <x:v>Aplica link L02. Pulsos y offsets: filtrar Instancias por escenario, turno y targetId. Base separada del nivel visible.</x:v>
      </x:c>
    </x:row>
    <x:row r="435" ht="42" customHeight="1">
      <x:c r="A435" s="5" t="str">
        <x:v>S3_SALARIO</x:v>
      </x:c>
      <x:c r="B435" s="5" t="n">
        <x:v>7</x:v>
      </x:c>
      <x:c r="C435" s="5" t="str">
        <x:v>ingreso_real</x:v>
      </x:c>
      <x:c r="D435" s="5" t="n">
        <x:f>$H$421</x:f>
        <x:v>54.99856</x:v>
      </x:c>
      <x:c r="E435" s="5" t="n">
        <x:f>0+0</x:f>
        <x:v>0</x:v>
      </x:c>
      <x:c r="F435" s="5" t="n">
        <x:f>'00_Arquitectura'!$B$101*($K$420-$K$406)+'00_Arquitectura'!$B$102*($K$419-$K$405)</x:f>
        <x:v>-0.0023759999999995785</x:v>
      </x:c>
      <x:c r="G435" s="5" t="n">
        <x:f>MAX(-'00_Arquitectura'!$B$106,MIN('00_Arquitectura'!$B$106,E435+F435))</x:f>
        <x:v>-0.0023759999999995785</x:v>
      </x:c>
      <x:c r="H435" s="5" t="n">
        <x:f>MAX(0,MIN(100,D435+G435))</x:f>
        <x:v>54.996184</x:v>
      </x:c>
      <x:c r="I435" s="5" t="n">
        <x:f>0</x:f>
        <x:v>0</x:v>
      </x:c>
      <x:c r="J435" s="5" t="n">
        <x:f>MAX(-'00_Arquitectura'!$B$107,MIN('00_Arquitectura'!$B$107,0))</x:f>
        <x:v>0</x:v>
      </x:c>
      <x:c r="K435" s="5" t="n">
        <x:f>MAX(0,MIN(100,H435+I435+J435))</x:f>
        <x:v>54.996184</x:v>
      </x:c>
      <x:c r="L435" s="5" t="str">
        <x:v>Aplica link L03. Pulsos y offsets: filtrar Instancias por escenario, turno y targetId. Base separada del nivel visible.</x:v>
      </x:c>
    </x:row>
    <x:row r="436" ht="42" customHeight="1">
      <x:c r="A436" s="10" t="str">
        <x:v>S3_SALARIO</x:v>
      </x:c>
      <x:c r="B436" s="10" t="n">
        <x:v>7</x:v>
      </x:c>
      <x:c r="C436" s="10" t="str">
        <x:v>credito</x:v>
      </x:c>
      <x:c r="D436" s="10" t="n">
        <x:f>$H$422</x:f>
        <x:v>44.6913</x:v>
      </x:c>
      <x:c r="E436" s="10" t="n">
        <x:f>0+0</x:f>
        <x:v>0</x:v>
      </x:c>
      <x:c r="F436" s="10" t="n">
        <x:f>-'00_Arquitectura'!$B$103*($H$422-45)+'00_Arquitectura'!$B$104*($K$419-$K$405)+'00_Arquitectura'!$B$105*($K$423-'00_Arquitectura'!$B$117)</x:f>
        <x:v>-0.07373339999999971</x:v>
      </x:c>
      <x:c r="G436" s="10" t="n">
        <x:f>MAX(-'00_Arquitectura'!$B$106,MIN('00_Arquitectura'!$B$106,E436+F436))</x:f>
        <x:v>-0.07373339999999971</x:v>
      </x:c>
      <x:c r="H436" s="10" t="n">
        <x:f>MAX(0,MIN(100,D436+G436))</x:f>
        <x:v>44.617566599999996</x:v>
      </x:c>
      <x:c r="I436" s="10" t="n">
        <x:f>0</x:f>
        <x:v>0</x:v>
      </x:c>
      <x:c r="J436" s="10" t="n">
        <x:f>MAX(-'00_Arquitectura'!$B$107,MIN('00_Arquitectura'!$B$107,$J$1225))</x:f>
        <x:v>0</x:v>
      </x:c>
      <x:c r="K436" s="10" t="n">
        <x:f>MAX(0,MIN(100,H436+I436+J436))</x:f>
        <x:v>44.617566599999996</x:v>
      </x:c>
      <x:c r="L436" s="10" t="str">
        <x:v>Aplica link L04. Pulsos y offsets: filtrar Instancias por escenario, turno y targetId. Base separada del nivel visible.</x:v>
      </x:c>
    </x:row>
    <x:row r="437" ht="34" customHeight="1">
      <x:c r="A437" s="5" t="str">
        <x:v>S3_SALARIO</x:v>
      </x:c>
      <x:c r="B437" s="5" t="n">
        <x:v>7</x:v>
      </x:c>
      <x:c r="C437" s="5" t="str">
        <x:v>fiscal</x:v>
      </x:c>
      <x:c r="D437" s="5" t="n">
        <x:f>$H$423</x:f>
        <x:v>51.99808</x:v>
      </x:c>
      <x:c r="E437" s="5" t="n">
        <x:f>0+0</x:f>
        <x:v>0</x:v>
      </x:c>
      <x:c r="F437" s="5" t="n">
        <x:f>0</x:f>
        <x:v>0</x:v>
      </x:c>
      <x:c r="G437" s="5" t="n">
        <x:f>MAX(-'00_Arquitectura'!$B$106,MIN('00_Arquitectura'!$B$106,E437+F437))</x:f>
        <x:v>0</x:v>
      </x:c>
      <x:c r="H437" s="5" t="n">
        <x:f>$O$41</x:f>
        <x:v>45.994912</x:v>
      </x:c>
      <x:c r="I437" s="5" t="n">
        <x:f>0</x:f>
        <x:v>0</x:v>
      </x:c>
      <x:c r="J437" s="5" t="n">
        <x:f>MAX(-'00_Arquitectura'!$B$107,MIN('00_Arquitectura'!$B$107,0))</x:f>
        <x:v>0</x:v>
      </x:c>
      <x:c r="K437" s="5" t="n">
        <x:f>MAX(0,MIN(100,H437+I437+J437))</x:f>
        <x:v>45.994912</x:v>
      </x:c>
      <x:c r="L437" s="5" t="str">
        <x:v>Derivado de caja: ingreso recurrente, gasto, intereses y deuda. Nunca SUM de efectos fiscales directos.</x:v>
      </x:c>
    </x:row>
    <x:row r="438" ht="34" customHeight="1">
      <x:c r="A438" s="10" t="str">
        <x:v>S3_SALARIO</x:v>
      </x:c>
      <x:c r="B438" s="10" t="n">
        <x:v>7</x:v>
      </x:c>
      <x:c r="C438" s="10" t="str">
        <x:v>externo</x:v>
      </x:c>
      <x:c r="D438" s="10" t="n">
        <x:f>$H$424</x:f>
        <x:v>45</x:v>
      </x:c>
      <x:c r="E438" s="10" t="n">
        <x:f>0+0</x:f>
        <x:v>0</x:v>
      </x:c>
      <x:c r="F438" s="10" t="n">
        <x:f>0</x:f>
        <x:v>0</x:v>
      </x:c>
      <x:c r="G438" s="10" t="n">
        <x:f>MAX(-'00_Arquitectura'!$B$106,MIN('00_Arquitectura'!$B$106,E438+F438))</x:f>
        <x:v>0</x:v>
      </x:c>
      <x:c r="H438" s="10" t="n">
        <x:f>MAX(0,MIN(100,D438+G438))</x:f>
        <x:v>45</x:v>
      </x:c>
      <x:c r="I438" s="10" t="n">
        <x:f>0</x:f>
        <x:v>0</x:v>
      </x:c>
      <x:c r="J438" s="10" t="n">
        <x:f>MAX(-'00_Arquitectura'!$B$107,MIN('00_Arquitectura'!$B$107,$J$1224))</x:f>
        <x:v>0</x:v>
      </x:c>
      <x:c r="K438" s="10" t="n">
        <x:f>MAX(0,MIN(100,H438+I438+J438))</x:f>
        <x:v>45</x:v>
      </x:c>
      <x:c r="L438" s="10" t="str">
        <x:v>Pulsos y offsets: filtrar Instancias por escenario, turno y targetId. Base separada del nivel visible.</x:v>
      </x:c>
    </x:row>
    <x:row r="439" ht="34" customHeight="1">
      <x:c r="A439" s="5" t="str">
        <x:v>S3_SALARIO</x:v>
      </x:c>
      <x:c r="B439" s="5" t="n">
        <x:v>7</x:v>
      </x:c>
      <x:c r="C439" s="5" t="str">
        <x:v>infraestructura</x:v>
      </x:c>
      <x:c r="D439" s="5" t="n">
        <x:f>$H$425</x:f>
        <x:v>45</x:v>
      </x:c>
      <x:c r="E439" s="5" t="n">
        <x:f>0+0</x:f>
        <x:v>0</x:v>
      </x:c>
      <x:c r="F439" s="5" t="n">
        <x:f>0</x:f>
        <x:v>0</x:v>
      </x:c>
      <x:c r="G439" s="5" t="n">
        <x:f>MAX(-'00_Arquitectura'!$B$106,MIN('00_Arquitectura'!$B$106,E439+F439))</x:f>
        <x:v>0</x:v>
      </x:c>
      <x:c r="H439" s="5" t="n">
        <x:f>MAX(0,MIN(100,D439+G439))</x:f>
        <x:v>45</x:v>
      </x:c>
      <x:c r="I439" s="5" t="n">
        <x:f>0</x:f>
        <x:v>0</x:v>
      </x:c>
      <x:c r="J439" s="5" t="n">
        <x:f>MAX(-'00_Arquitectura'!$B$107,MIN('00_Arquitectura'!$B$107,0))</x:f>
        <x:v>0</x:v>
      </x:c>
      <x:c r="K439" s="5" t="n">
        <x:f>MAX(0,MIN(100,H439+I439+J439))</x:f>
        <x:v>45</x:v>
      </x:c>
      <x:c r="L439" s="5" t="str">
        <x:v>Pulsos y offsets: filtrar Instancias por escenario, turno y targetId. Base separada del nivel visible.</x:v>
      </x:c>
    </x:row>
    <x:row r="440" ht="34" customHeight="1">
      <x:c r="A440" s="10" t="str">
        <x:v>S3_SALARIO</x:v>
      </x:c>
      <x:c r="B440" s="10" t="n">
        <x:v>7</x:v>
      </x:c>
      <x:c r="C440" s="10" t="str">
        <x:v>educacion</x:v>
      </x:c>
      <x:c r="D440" s="10" t="n">
        <x:f>$H$426</x:f>
        <x:v>50</x:v>
      </x:c>
      <x:c r="E440" s="10" t="n">
        <x:f>0+0</x:f>
        <x:v>0</x:v>
      </x:c>
      <x:c r="F440" s="10" t="n">
        <x:f>0</x:f>
        <x:v>0</x:v>
      </x:c>
      <x:c r="G440" s="10" t="n">
        <x:f>MAX(-'00_Arquitectura'!$B$106,MIN('00_Arquitectura'!$B$106,E440+F440))</x:f>
        <x:v>0</x:v>
      </x:c>
      <x:c r="H440" s="10" t="n">
        <x:f>MAX(0,MIN(100,D440+G440))</x:f>
        <x:v>50</x:v>
      </x:c>
      <x:c r="I440" s="10" t="n">
        <x:f>0</x:f>
        <x:v>0</x:v>
      </x:c>
      <x:c r="J440" s="10" t="n">
        <x:f>MAX(-'00_Arquitectura'!$B$107,MIN('00_Arquitectura'!$B$107,$J$1231))</x:f>
        <x:v>0</x:v>
      </x:c>
      <x:c r="K440" s="10" t="n">
        <x:f>MAX(0,MIN(100,H440+I440+J440))</x:f>
        <x:v>50</x:v>
      </x:c>
      <x:c r="L440" s="10" t="str">
        <x:v>Pulsos y offsets: filtrar Instancias por escenario, turno y targetId. Base separada del nivel visible.</x:v>
      </x:c>
    </x:row>
    <x:row r="441" ht="34" customHeight="1">
      <x:c r="A441" s="5" t="str">
        <x:v>S3_SALARIO</x:v>
      </x:c>
      <x:c r="B441" s="5" t="n">
        <x:v>7</x:v>
      </x:c>
      <x:c r="C441" s="5" t="str">
        <x:v>salud</x:v>
      </x:c>
      <x:c r="D441" s="5" t="n">
        <x:f>$H$427</x:f>
        <x:v>50</x:v>
      </x:c>
      <x:c r="E441" s="5" t="n">
        <x:f>0+0</x:f>
        <x:v>0</x:v>
      </x:c>
      <x:c r="F441" s="5" t="n">
        <x:f>0</x:f>
        <x:v>0</x:v>
      </x:c>
      <x:c r="G441" s="5" t="n">
        <x:f>MAX(-'00_Arquitectura'!$B$106,MIN('00_Arquitectura'!$B$106,E441+F441))</x:f>
        <x:v>0</x:v>
      </x:c>
      <x:c r="H441" s="5" t="n">
        <x:f>MAX(0,MIN(100,D441+G441))</x:f>
        <x:v>50</x:v>
      </x:c>
      <x:c r="I441" s="5" t="n">
        <x:f>0</x:f>
        <x:v>0</x:v>
      </x:c>
      <x:c r="J441" s="5" t="n">
        <x:f>MAX(-'00_Arquitectura'!$B$107,MIN('00_Arquitectura'!$B$107,0))</x:f>
        <x:v>0</x:v>
      </x:c>
      <x:c r="K441" s="5" t="n">
        <x:f>MAX(0,MIN(100,H441+I441+J441))</x:f>
        <x:v>50</x:v>
      </x:c>
      <x:c r="L441" s="5" t="str">
        <x:v>Pulsos y offsets: filtrar Instancias por escenario, turno y targetId. Base separada del nivel visible.</x:v>
      </x:c>
    </x:row>
    <x:row r="442" ht="34" customHeight="1">
      <x:c r="A442" s="10" t="str">
        <x:v>S3_SALARIO</x:v>
      </x:c>
      <x:c r="B442" s="10" t="n">
        <x:v>7</x:v>
      </x:c>
      <x:c r="C442" s="10" t="str">
        <x:v>proteccion</x:v>
      </x:c>
      <x:c r="D442" s="10" t="n">
        <x:f>$H$428</x:f>
        <x:v>45</x:v>
      </x:c>
      <x:c r="E442" s="10" t="n">
        <x:f>0+0</x:f>
        <x:v>0</x:v>
      </x:c>
      <x:c r="F442" s="10" t="n">
        <x:f>0</x:f>
        <x:v>0</x:v>
      </x:c>
      <x:c r="G442" s="10" t="n">
        <x:f>MAX(-'00_Arquitectura'!$B$106,MIN('00_Arquitectura'!$B$106,E442+F442))</x:f>
        <x:v>0</x:v>
      </x:c>
      <x:c r="H442" s="10" t="n">
        <x:f>MAX(0,MIN(100,D442+G442))</x:f>
        <x:v>45</x:v>
      </x:c>
      <x:c r="I442" s="10" t="n">
        <x:f>0</x:f>
        <x:v>0</x:v>
      </x:c>
      <x:c r="J442" s="10" t="n">
        <x:f>MAX(-'00_Arquitectura'!$B$107,MIN('00_Arquitectura'!$B$107,$J$1229+$J$1233))</x:f>
        <x:v>0</x:v>
      </x:c>
      <x:c r="K442" s="10" t="n">
        <x:f>MAX(0,MIN(100,H442+I442+J442))</x:f>
        <x:v>45</x:v>
      </x:c>
      <x:c r="L442" s="10" t="str">
        <x:v>Pulsos y offsets: filtrar Instancias por escenario, turno y targetId. Base separada del nivel visible.</x:v>
      </x:c>
    </x:row>
    <x:row r="443" ht="34" customHeight="1">
      <x:c r="A443" s="5" t="str">
        <x:v>S3_SALARIO</x:v>
      </x:c>
      <x:c r="B443" s="5" t="n">
        <x:v>7</x:v>
      </x:c>
      <x:c r="C443" s="5" t="str">
        <x:v>seguridad</x:v>
      </x:c>
      <x:c r="D443" s="5" t="n">
        <x:f>$H$429</x:f>
        <x:v>45</x:v>
      </x:c>
      <x:c r="E443" s="5" t="n">
        <x:f>0+0</x:f>
        <x:v>0</x:v>
      </x:c>
      <x:c r="F443" s="5" t="n">
        <x:f>0</x:f>
        <x:v>0</x:v>
      </x:c>
      <x:c r="G443" s="5" t="n">
        <x:f>MAX(-'00_Arquitectura'!$B$106,MIN('00_Arquitectura'!$B$106,E443+F443))</x:f>
        <x:v>0</x:v>
      </x:c>
      <x:c r="H443" s="5" t="n">
        <x:f>MAX(0,MIN(100,D443+G443))</x:f>
        <x:v>45</x:v>
      </x:c>
      <x:c r="I443" s="5" t="n">
        <x:f>0</x:f>
        <x:v>0</x:v>
      </x:c>
      <x:c r="J443" s="5" t="n">
        <x:f>MAX(-'00_Arquitectura'!$B$107,MIN('00_Arquitectura'!$B$107,0))</x:f>
        <x:v>0</x:v>
      </x:c>
      <x:c r="K443" s="5" t="n">
        <x:f>MAX(0,MIN(100,H443+I443+J443))</x:f>
        <x:v>45</x:v>
      </x:c>
      <x:c r="L443" s="5" t="str">
        <x:v>Pulsos y offsets: filtrar Instancias por escenario, turno y targetId. Base separada del nivel visible.</x:v>
      </x:c>
    </x:row>
    <x:row r="444" ht="34" customHeight="1">
      <x:c r="A444" s="10" t="str">
        <x:v>S3_SALARIO</x:v>
      </x:c>
      <x:c r="B444" s="10" t="n">
        <x:v>7</x:v>
      </x:c>
      <x:c r="C444" s="10" t="str">
        <x:v>ciencia</x:v>
      </x:c>
      <x:c r="D444" s="10" t="n">
        <x:f>$H$430</x:f>
        <x:v>40</x:v>
      </x:c>
      <x:c r="E444" s="10" t="n">
        <x:f>0+0</x:f>
        <x:v>0</x:v>
      </x:c>
      <x:c r="F444" s="10" t="n">
        <x:f>0</x:f>
        <x:v>0</x:v>
      </x:c>
      <x:c r="G444" s="10" t="n">
        <x:f>MAX(-'00_Arquitectura'!$B$106,MIN('00_Arquitectura'!$B$106,E444+F444))</x:f>
        <x:v>0</x:v>
      </x:c>
      <x:c r="H444" s="10" t="n">
        <x:f>MAX(0,MIN(100,D444+G444))</x:f>
        <x:v>40</x:v>
      </x:c>
      <x:c r="I444" s="10" t="n">
        <x:f>0</x:f>
        <x:v>0</x:v>
      </x:c>
      <x:c r="J444" s="10" t="n">
        <x:f>MAX(-'00_Arquitectura'!$B$107,MIN('00_Arquitectura'!$B$107,$J$1232))</x:f>
        <x:v>0</x:v>
      </x:c>
      <x:c r="K444" s="10" t="n">
        <x:f>MAX(0,MIN(100,H444+I444+J444))</x:f>
        <x:v>40</x:v>
      </x:c>
      <x:c r="L444" s="10" t="str">
        <x:v>Pulsos y offsets: filtrar Instancias por escenario, turno y targetId. Base separada del nivel visible.</x:v>
      </x:c>
    </x:row>
    <x:row r="445" ht="34" customHeight="1">
      <x:c r="A445" s="5" t="str">
        <x:v>S3_SALARIO</x:v>
      </x:c>
      <x:c r="B445" s="5" t="n">
        <x:v>7</x:v>
      </x:c>
      <x:c r="C445" s="5" t="str">
        <x:v>derechos</x:v>
      </x:c>
      <x:c r="D445" s="5" t="n">
        <x:f>$H$431</x:f>
        <x:v>55</x:v>
      </x:c>
      <x:c r="E445" s="5" t="n">
        <x:f>0+0</x:f>
        <x:v>0</x:v>
      </x:c>
      <x:c r="F445" s="5" t="n">
        <x:f>0</x:f>
        <x:v>0</x:v>
      </x:c>
      <x:c r="G445" s="5" t="n">
        <x:f>MAX(-'00_Arquitectura'!$B$106,MIN('00_Arquitectura'!$B$106,E445+F445))</x:f>
        <x:v>0</x:v>
      </x:c>
      <x:c r="H445" s="5" t="n">
        <x:f>MAX(0,MIN(100,D445+G445))</x:f>
        <x:v>55</x:v>
      </x:c>
      <x:c r="I445" s="5" t="n">
        <x:f>0</x:f>
        <x:v>0</x:v>
      </x:c>
      <x:c r="J445" s="5" t="n">
        <x:f>MAX(-'00_Arquitectura'!$B$107,MIN('00_Arquitectura'!$B$107,0))</x:f>
        <x:v>0</x:v>
      </x:c>
      <x:c r="K445" s="5" t="n">
        <x:f>MAX(0,MIN(100,H445+I445+J445))</x:f>
        <x:v>55</x:v>
      </x:c>
      <x:c r="L445" s="5" t="str">
        <x:v>Pulsos y offsets: filtrar Instancias por escenario, turno y targetId. Base separada del nivel visible.</x:v>
      </x:c>
    </x:row>
    <x:row r="446" ht="34" customHeight="1">
      <x:c r="A446" s="10" t="str">
        <x:v>S3_SALARIO</x:v>
      </x:c>
      <x:c r="B446" s="10" t="n">
        <x:v>7</x:v>
      </x:c>
      <x:c r="C446" s="10" t="str">
        <x:v>ambiente</x:v>
      </x:c>
      <x:c r="D446" s="10" t="n">
        <x:f>$H$432</x:f>
        <x:v>50</x:v>
      </x:c>
      <x:c r="E446" s="10" t="n">
        <x:f>0+0</x:f>
        <x:v>0</x:v>
      </x:c>
      <x:c r="F446" s="10" t="n">
        <x:f>0</x:f>
        <x:v>0</x:v>
      </x:c>
      <x:c r="G446" s="10" t="n">
        <x:f>MAX(-'00_Arquitectura'!$B$106,MIN('00_Arquitectura'!$B$106,E446+F446))</x:f>
        <x:v>0</x:v>
      </x:c>
      <x:c r="H446" s="10" t="n">
        <x:f>MAX(0,MIN(100,D446+G446))</x:f>
        <x:v>50</x:v>
      </x:c>
      <x:c r="I446" s="10" t="n">
        <x:f>0</x:f>
        <x:v>0</x:v>
      </x:c>
      <x:c r="J446" s="10" t="n">
        <x:f>MAX(-'00_Arquitectura'!$B$107,MIN('00_Arquitectura'!$B$107,0))</x:f>
        <x:v>0</x:v>
      </x:c>
      <x:c r="K446" s="10" t="n">
        <x:f>MAX(0,MIN(100,H446+I446+J446))</x:f>
        <x:v>50</x:v>
      </x:c>
      <x:c r="L446" s="10" t="str">
        <x:v>Pulsos y offsets: filtrar Instancias por escenario, turno y targetId. Base separada del nivel visible.</x:v>
      </x:c>
    </x:row>
    <x:row r="447" ht="42" customHeight="1">
      <x:c r="A447" s="5" t="str">
        <x:v>S3_SALARIO</x:v>
      </x:c>
      <x:c r="B447" s="5" t="n">
        <x:v>8</x:v>
      </x:c>
      <x:c r="C447" s="5" t="str">
        <x:v>inflacion</x:v>
      </x:c>
      <x:c r="D447" s="5" t="n">
        <x:f>$H$433</x:f>
        <x:v>40</x:v>
      </x:c>
      <x:c r="E447" s="5" t="n">
        <x:f>0+0</x:f>
        <x:v>0</x:v>
      </x:c>
      <x:c r="F447" s="5" t="n">
        <x:f>-'00_Arquitectura'!$B$96*($H$433-40)</x:f>
        <x:v>0</x:v>
      </x:c>
      <x:c r="G447" s="5" t="n">
        <x:f>MAX(-'00_Arquitectura'!$B$106,MIN('00_Arquitectura'!$B$106,E447+F447))</x:f>
        <x:v>0</x:v>
      </x:c>
      <x:c r="H447" s="5" t="n">
        <x:f>MAX(0,MIN(100,D447+G447))</x:f>
        <x:v>40</x:v>
      </x:c>
      <x:c r="I447" s="5" t="n">
        <x:f>0</x:f>
        <x:v>0</x:v>
      </x:c>
      <x:c r="J447" s="5" t="n">
        <x:f>MAX(-'00_Arquitectura'!$B$107,MIN('00_Arquitectura'!$B$107,0))</x:f>
        <x:v>0</x:v>
      </x:c>
      <x:c r="K447" s="5" t="n">
        <x:f>MAX(0,MIN(100,H447+I447+J447))</x:f>
        <x:v>40</x:v>
      </x:c>
      <x:c r="L447" s="5" t="str">
        <x:v>Aplica link L01. Pulsos y offsets: filtrar Instancias por escenario, turno y targetId. Base separada del nivel visible.</x:v>
      </x:c>
    </x:row>
    <x:row r="448" ht="42" customHeight="1">
      <x:c r="A448" s="10" t="str">
        <x:v>S3_SALARIO</x:v>
      </x:c>
      <x:c r="B448" s="10" t="n">
        <x:v>8</x:v>
      </x:c>
      <x:c r="C448" s="10" t="str">
        <x:v>actividad</x:v>
      </x:c>
      <x:c r="D448" s="10" t="n">
        <x:f>$H$434</x:f>
        <x:v>49.954952000000006</x:v>
      </x:c>
      <x:c r="E448" s="10" t="n">
        <x:f>0+0</x:f>
        <x:v>0</x:v>
      </x:c>
      <x:c r="F448" s="10" t="n">
        <x:f>-'00_Arquitectura'!$B$97*($H$434-50)+'00_Arquitectura'!$B$98*($K$436-45)+'00_Arquitectura'!$B$99*($K$439-45)+'00_Arquitectura'!$B$100*($K$438-45)</x:f>
        <x:v>-0.021585072000001447</x:v>
      </x:c>
      <x:c r="G448" s="10" t="n">
        <x:f>MAX(-'00_Arquitectura'!$B$106,MIN('00_Arquitectura'!$B$106,E448+F448))</x:f>
        <x:v>-0.021585072000001447</x:v>
      </x:c>
      <x:c r="H448" s="10" t="n">
        <x:f>MAX(0,MIN(100,D448+G448))</x:f>
        <x:v>49.933366928000005</x:v>
      </x:c>
      <x:c r="I448" s="10" t="n">
        <x:f>0</x:f>
        <x:v>0</x:v>
      </x:c>
      <x:c r="J448" s="10" t="n">
        <x:f>MAX(-'00_Arquitectura'!$B$107,MIN('00_Arquitectura'!$B$107,$J$1241+$J$1244+$J$1245))</x:f>
        <x:v>0</x:v>
      </x:c>
      <x:c r="K448" s="10" t="n">
        <x:f>MAX(0,MIN(100,H448+I448+J448))</x:f>
        <x:v>49.933366928000005</x:v>
      </x:c>
      <x:c r="L448" s="10" t="str">
        <x:v>Aplica link L02. Pulsos y offsets: filtrar Instancias por escenario, turno y targetId. Base separada del nivel visible.</x:v>
      </x:c>
    </x:row>
    <x:row r="449" ht="42" customHeight="1">
      <x:c r="A449" s="5" t="str">
        <x:v>S3_SALARIO</x:v>
      </x:c>
      <x:c r="B449" s="5" t="n">
        <x:v>8</x:v>
      </x:c>
      <x:c r="C449" s="5" t="str">
        <x:v>ingreso_real</x:v>
      </x:c>
      <x:c r="D449" s="5" t="n">
        <x:f>$H$435</x:f>
        <x:v>54.996184</x:v>
      </x:c>
      <x:c r="E449" s="5" t="n">
        <x:f>0+0</x:f>
        <x:v>0</x:v>
      </x:c>
      <x:c r="F449" s="5" t="n">
        <x:f>'00_Arquitectura'!$B$101*($K$434-$K$420)+'00_Arquitectura'!$B$102*($K$433-$K$419)</x:f>
        <x:v>-0.0029411999999997105</x:v>
      </x:c>
      <x:c r="G449" s="5" t="n">
        <x:f>MAX(-'00_Arquitectura'!$B$106,MIN('00_Arquitectura'!$B$106,E449+F449))</x:f>
        <x:v>-0.0029411999999997105</x:v>
      </x:c>
      <x:c r="H449" s="5" t="n">
        <x:f>MAX(0,MIN(100,D449+G449))</x:f>
        <x:v>54.9932428</x:v>
      </x:c>
      <x:c r="I449" s="5" t="n">
        <x:f>0</x:f>
        <x:v>0</x:v>
      </x:c>
      <x:c r="J449" s="5" t="n">
        <x:f>MAX(-'00_Arquitectura'!$B$107,MIN('00_Arquitectura'!$B$107,0))</x:f>
        <x:v>0</x:v>
      </x:c>
      <x:c r="K449" s="5" t="n">
        <x:f>MAX(0,MIN(100,H449+I449+J449))</x:f>
        <x:v>54.9932428</x:v>
      </x:c>
      <x:c r="L449" s="5" t="str">
        <x:v>Aplica link L03. Pulsos y offsets: filtrar Instancias por escenario, turno y targetId. Base separada del nivel visible.</x:v>
      </x:c>
    </x:row>
    <x:row r="450" ht="42" customHeight="1">
      <x:c r="A450" s="10" t="str">
        <x:v>S3_SALARIO</x:v>
      </x:c>
      <x:c r="B450" s="10" t="n">
        <x:v>8</x:v>
      </x:c>
      <x:c r="C450" s="10" t="str">
        <x:v>credito</x:v>
      </x:c>
      <x:c r="D450" s="10" t="n">
        <x:f>$H$436</x:f>
        <x:v>44.617566599999996</x:v>
      </x:c>
      <x:c r="E450" s="10" t="n">
        <x:f>0+0</x:f>
        <x:v>0</x:v>
      </x:c>
      <x:c r="F450" s="10" t="n">
        <x:f>-'00_Arquitectura'!$B$103*($H$436-45)+'00_Arquitectura'!$B$104*($K$433-$K$419)+'00_Arquitectura'!$B$105*($K$437-'00_Arquitectura'!$B$117)</x:f>
        <x:v>-0.1827367499999995</x:v>
      </x:c>
      <x:c r="G450" s="10" t="n">
        <x:f>MAX(-'00_Arquitectura'!$B$106,MIN('00_Arquitectura'!$B$106,E450+F450))</x:f>
        <x:v>-0.1827367499999995</x:v>
      </x:c>
      <x:c r="H450" s="10" t="n">
        <x:f>MAX(0,MIN(100,D450+G450))</x:f>
        <x:v>44.43482985</x:v>
      </x:c>
      <x:c r="I450" s="10" t="n">
        <x:f>0</x:f>
        <x:v>0</x:v>
      </x:c>
      <x:c r="J450" s="10" t="n">
        <x:f>MAX(-'00_Arquitectura'!$B$107,MIN('00_Arquitectura'!$B$107,$J$1243))</x:f>
        <x:v>0</x:v>
      </x:c>
      <x:c r="K450" s="10" t="n">
        <x:f>MAX(0,MIN(100,H450+I450+J450))</x:f>
        <x:v>44.43482985</x:v>
      </x:c>
      <x:c r="L450" s="10" t="str">
        <x:v>Aplica link L04. Pulsos y offsets: filtrar Instancias por escenario, turno y targetId. Base separada del nivel visible.</x:v>
      </x:c>
    </x:row>
    <x:row r="451" ht="34" customHeight="1">
      <x:c r="A451" s="5" t="str">
        <x:v>S3_SALARIO</x:v>
      </x:c>
      <x:c r="B451" s="5" t="n">
        <x:v>8</x:v>
      </x:c>
      <x:c r="C451" s="5" t="str">
        <x:v>fiscal</x:v>
      </x:c>
      <x:c r="D451" s="5" t="n">
        <x:f>$H$437</x:f>
        <x:v>45.994912</x:v>
      </x:c>
      <x:c r="E451" s="5" t="n">
        <x:f>0+0</x:f>
        <x:v>0</x:v>
      </x:c>
      <x:c r="F451" s="5" t="n">
        <x:f>0</x:f>
        <x:v>0</x:v>
      </x:c>
      <x:c r="G451" s="5" t="n">
        <x:f>MAX(-'00_Arquitectura'!$B$106,MIN('00_Arquitectura'!$B$106,E451+F451))</x:f>
        <x:v>0</x:v>
      </x:c>
      <x:c r="H451" s="5" t="n">
        <x:f>$O$42</x:f>
        <x:v>45.9909904</x:v>
      </x:c>
      <x:c r="I451" s="5" t="n">
        <x:f>0</x:f>
        <x:v>0</x:v>
      </x:c>
      <x:c r="J451" s="5" t="n">
        <x:f>MAX(-'00_Arquitectura'!$B$107,MIN('00_Arquitectura'!$B$107,0))</x:f>
        <x:v>0</x:v>
      </x:c>
      <x:c r="K451" s="5" t="n">
        <x:f>MAX(0,MIN(100,H451+I451+J451))</x:f>
        <x:v>45.9909904</x:v>
      </x:c>
      <x:c r="L451" s="5" t="str">
        <x:v>Derivado de caja: ingreso recurrente, gasto, intereses y deuda. Nunca SUM de efectos fiscales directos.</x:v>
      </x:c>
    </x:row>
    <x:row r="452" ht="34" customHeight="1">
      <x:c r="A452" s="10" t="str">
        <x:v>S3_SALARIO</x:v>
      </x:c>
      <x:c r="B452" s="10" t="n">
        <x:v>8</x:v>
      </x:c>
      <x:c r="C452" s="10" t="str">
        <x:v>externo</x:v>
      </x:c>
      <x:c r="D452" s="10" t="n">
        <x:f>$H$438</x:f>
        <x:v>45</x:v>
      </x:c>
      <x:c r="E452" s="10" t="n">
        <x:f>0+0</x:f>
        <x:v>0</x:v>
      </x:c>
      <x:c r="F452" s="10" t="n">
        <x:f>0</x:f>
        <x:v>0</x:v>
      </x:c>
      <x:c r="G452" s="10" t="n">
        <x:f>MAX(-'00_Arquitectura'!$B$106,MIN('00_Arquitectura'!$B$106,E452+F452))</x:f>
        <x:v>0</x:v>
      </x:c>
      <x:c r="H452" s="10" t="n">
        <x:f>MAX(0,MIN(100,D452+G452))</x:f>
        <x:v>45</x:v>
      </x:c>
      <x:c r="I452" s="10" t="n">
        <x:f>0</x:f>
        <x:v>0</x:v>
      </x:c>
      <x:c r="J452" s="10" t="n">
        <x:f>MAX(-'00_Arquitectura'!$B$107,MIN('00_Arquitectura'!$B$107,$J$1242))</x:f>
        <x:v>0</x:v>
      </x:c>
      <x:c r="K452" s="10" t="n">
        <x:f>MAX(0,MIN(100,H452+I452+J452))</x:f>
        <x:v>45</x:v>
      </x:c>
      <x:c r="L452" s="10" t="str">
        <x:v>Pulsos y offsets: filtrar Instancias por escenario, turno y targetId. Base separada del nivel visible.</x:v>
      </x:c>
    </x:row>
    <x:row r="453" ht="34" customHeight="1">
      <x:c r="A453" s="5" t="str">
        <x:v>S3_SALARIO</x:v>
      </x:c>
      <x:c r="B453" s="5" t="n">
        <x:v>8</x:v>
      </x:c>
      <x:c r="C453" s="5" t="str">
        <x:v>infraestructura</x:v>
      </x:c>
      <x:c r="D453" s="5" t="n">
        <x:f>$H$439</x:f>
        <x:v>45</x:v>
      </x:c>
      <x:c r="E453" s="5" t="n">
        <x:f>0+0</x:f>
        <x:v>0</x:v>
      </x:c>
      <x:c r="F453" s="5" t="n">
        <x:f>0</x:f>
        <x:v>0</x:v>
      </x:c>
      <x:c r="G453" s="5" t="n">
        <x:f>MAX(-'00_Arquitectura'!$B$106,MIN('00_Arquitectura'!$B$106,E453+F453))</x:f>
        <x:v>0</x:v>
      </x:c>
      <x:c r="H453" s="5" t="n">
        <x:f>MAX(0,MIN(100,D453+G453))</x:f>
        <x:v>45</x:v>
      </x:c>
      <x:c r="I453" s="5" t="n">
        <x:f>0</x:f>
        <x:v>0</x:v>
      </x:c>
      <x:c r="J453" s="5" t="n">
        <x:f>MAX(-'00_Arquitectura'!$B$107,MIN('00_Arquitectura'!$B$107,0))</x:f>
        <x:v>0</x:v>
      </x:c>
      <x:c r="K453" s="5" t="n">
        <x:f>MAX(0,MIN(100,H453+I453+J453))</x:f>
        <x:v>45</x:v>
      </x:c>
      <x:c r="L453" s="5" t="str">
        <x:v>Pulsos y offsets: filtrar Instancias por escenario, turno y targetId. Base separada del nivel visible.</x:v>
      </x:c>
    </x:row>
    <x:row r="454" ht="34" customHeight="1">
      <x:c r="A454" s="10" t="str">
        <x:v>S3_SALARIO</x:v>
      </x:c>
      <x:c r="B454" s="10" t="n">
        <x:v>8</x:v>
      </x:c>
      <x:c r="C454" s="10" t="str">
        <x:v>educacion</x:v>
      </x:c>
      <x:c r="D454" s="10" t="n">
        <x:f>$H$440</x:f>
        <x:v>50</x:v>
      </x:c>
      <x:c r="E454" s="10" t="n">
        <x:f>0+0</x:f>
        <x:v>0</x:v>
      </x:c>
      <x:c r="F454" s="10" t="n">
        <x:f>0</x:f>
        <x:v>0</x:v>
      </x:c>
      <x:c r="G454" s="10" t="n">
        <x:f>MAX(-'00_Arquitectura'!$B$106,MIN('00_Arquitectura'!$B$106,E454+F454))</x:f>
        <x:v>0</x:v>
      </x:c>
      <x:c r="H454" s="10" t="n">
        <x:f>MAX(0,MIN(100,D454+G454))</x:f>
        <x:v>50</x:v>
      </x:c>
      <x:c r="I454" s="10" t="n">
        <x:f>0</x:f>
        <x:v>0</x:v>
      </x:c>
      <x:c r="J454" s="10" t="n">
        <x:f>MAX(-'00_Arquitectura'!$B$107,MIN('00_Arquitectura'!$B$107,$J$1249))</x:f>
        <x:v>0</x:v>
      </x:c>
      <x:c r="K454" s="10" t="n">
        <x:f>MAX(0,MIN(100,H454+I454+J454))</x:f>
        <x:v>50</x:v>
      </x:c>
      <x:c r="L454" s="10" t="str">
        <x:v>Pulsos y offsets: filtrar Instancias por escenario, turno y targetId. Base separada del nivel visible.</x:v>
      </x:c>
    </x:row>
    <x:row r="455" ht="34" customHeight="1">
      <x:c r="A455" s="5" t="str">
        <x:v>S3_SALARIO</x:v>
      </x:c>
      <x:c r="B455" s="5" t="n">
        <x:v>8</x:v>
      </x:c>
      <x:c r="C455" s="5" t="str">
        <x:v>salud</x:v>
      </x:c>
      <x:c r="D455" s="5" t="n">
        <x:f>$H$441</x:f>
        <x:v>50</x:v>
      </x:c>
      <x:c r="E455" s="5" t="n">
        <x:f>0+0</x:f>
        <x:v>0</x:v>
      </x:c>
      <x:c r="F455" s="5" t="n">
        <x:f>0</x:f>
        <x:v>0</x:v>
      </x:c>
      <x:c r="G455" s="5" t="n">
        <x:f>MAX(-'00_Arquitectura'!$B$106,MIN('00_Arquitectura'!$B$106,E455+F455))</x:f>
        <x:v>0</x:v>
      </x:c>
      <x:c r="H455" s="5" t="n">
        <x:f>MAX(0,MIN(100,D455+G455))</x:f>
        <x:v>50</x:v>
      </x:c>
      <x:c r="I455" s="5" t="n">
        <x:f>0</x:f>
        <x:v>0</x:v>
      </x:c>
      <x:c r="J455" s="5" t="n">
        <x:f>MAX(-'00_Arquitectura'!$B$107,MIN('00_Arquitectura'!$B$107,0))</x:f>
        <x:v>0</x:v>
      </x:c>
      <x:c r="K455" s="5" t="n">
        <x:f>MAX(0,MIN(100,H455+I455+J455))</x:f>
        <x:v>50</x:v>
      </x:c>
      <x:c r="L455" s="5" t="str">
        <x:v>Pulsos y offsets: filtrar Instancias por escenario, turno y targetId. Base separada del nivel visible.</x:v>
      </x:c>
    </x:row>
    <x:row r="456" ht="34" customHeight="1">
      <x:c r="A456" s="10" t="str">
        <x:v>S3_SALARIO</x:v>
      </x:c>
      <x:c r="B456" s="10" t="n">
        <x:v>8</x:v>
      </x:c>
      <x:c r="C456" s="10" t="str">
        <x:v>proteccion</x:v>
      </x:c>
      <x:c r="D456" s="10" t="n">
        <x:f>$H$442</x:f>
        <x:v>45</x:v>
      </x:c>
      <x:c r="E456" s="10" t="n">
        <x:f>0+0</x:f>
        <x:v>0</x:v>
      </x:c>
      <x:c r="F456" s="10" t="n">
        <x:f>0</x:f>
        <x:v>0</x:v>
      </x:c>
      <x:c r="G456" s="10" t="n">
        <x:f>MAX(-'00_Arquitectura'!$B$106,MIN('00_Arquitectura'!$B$106,E456+F456))</x:f>
        <x:v>0</x:v>
      </x:c>
      <x:c r="H456" s="10" t="n">
        <x:f>MAX(0,MIN(100,D456+G456))</x:f>
        <x:v>45</x:v>
      </x:c>
      <x:c r="I456" s="10" t="n">
        <x:f>0</x:f>
        <x:v>0</x:v>
      </x:c>
      <x:c r="J456" s="10" t="n">
        <x:f>MAX(-'00_Arquitectura'!$B$107,MIN('00_Arquitectura'!$B$107,$J$1247+$J$1251))</x:f>
        <x:v>0</x:v>
      </x:c>
      <x:c r="K456" s="10" t="n">
        <x:f>MAX(0,MIN(100,H456+I456+J456))</x:f>
        <x:v>45</x:v>
      </x:c>
      <x:c r="L456" s="10" t="str">
        <x:v>Pulsos y offsets: filtrar Instancias por escenario, turno y targetId. Base separada del nivel visible.</x:v>
      </x:c>
    </x:row>
    <x:row r="457" ht="34" customHeight="1">
      <x:c r="A457" s="5" t="str">
        <x:v>S3_SALARIO</x:v>
      </x:c>
      <x:c r="B457" s="5" t="n">
        <x:v>8</x:v>
      </x:c>
      <x:c r="C457" s="5" t="str">
        <x:v>seguridad</x:v>
      </x:c>
      <x:c r="D457" s="5" t="n">
        <x:f>$H$443</x:f>
        <x:v>45</x:v>
      </x:c>
      <x:c r="E457" s="5" t="n">
        <x:f>0+0</x:f>
        <x:v>0</x:v>
      </x:c>
      <x:c r="F457" s="5" t="n">
        <x:f>0</x:f>
        <x:v>0</x:v>
      </x:c>
      <x:c r="G457" s="5" t="n">
        <x:f>MAX(-'00_Arquitectura'!$B$106,MIN('00_Arquitectura'!$B$106,E457+F457))</x:f>
        <x:v>0</x:v>
      </x:c>
      <x:c r="H457" s="5" t="n">
        <x:f>MAX(0,MIN(100,D457+G457))</x:f>
        <x:v>45</x:v>
      </x:c>
      <x:c r="I457" s="5" t="n">
        <x:f>0</x:f>
        <x:v>0</x:v>
      </x:c>
      <x:c r="J457" s="5" t="n">
        <x:f>MAX(-'00_Arquitectura'!$B$107,MIN('00_Arquitectura'!$B$107,0))</x:f>
        <x:v>0</x:v>
      </x:c>
      <x:c r="K457" s="5" t="n">
        <x:f>MAX(0,MIN(100,H457+I457+J457))</x:f>
        <x:v>45</x:v>
      </x:c>
      <x:c r="L457" s="5" t="str">
        <x:v>Pulsos y offsets: filtrar Instancias por escenario, turno y targetId. Base separada del nivel visible.</x:v>
      </x:c>
    </x:row>
    <x:row r="458" ht="34" customHeight="1">
      <x:c r="A458" s="10" t="str">
        <x:v>S3_SALARIO</x:v>
      </x:c>
      <x:c r="B458" s="10" t="n">
        <x:v>8</x:v>
      </x:c>
      <x:c r="C458" s="10" t="str">
        <x:v>ciencia</x:v>
      </x:c>
      <x:c r="D458" s="10" t="n">
        <x:f>$H$444</x:f>
        <x:v>40</x:v>
      </x:c>
      <x:c r="E458" s="10" t="n">
        <x:f>0+0</x:f>
        <x:v>0</x:v>
      </x:c>
      <x:c r="F458" s="10" t="n">
        <x:f>0</x:f>
        <x:v>0</x:v>
      </x:c>
      <x:c r="G458" s="10" t="n">
        <x:f>MAX(-'00_Arquitectura'!$B$106,MIN('00_Arquitectura'!$B$106,E458+F458))</x:f>
        <x:v>0</x:v>
      </x:c>
      <x:c r="H458" s="10" t="n">
        <x:f>MAX(0,MIN(100,D458+G458))</x:f>
        <x:v>40</x:v>
      </x:c>
      <x:c r="I458" s="10" t="n">
        <x:f>0</x:f>
        <x:v>0</x:v>
      </x:c>
      <x:c r="J458" s="10" t="n">
        <x:f>MAX(-'00_Arquitectura'!$B$107,MIN('00_Arquitectura'!$B$107,$J$1250))</x:f>
        <x:v>0</x:v>
      </x:c>
      <x:c r="K458" s="10" t="n">
        <x:f>MAX(0,MIN(100,H458+I458+J458))</x:f>
        <x:v>40</x:v>
      </x:c>
      <x:c r="L458" s="10" t="str">
        <x:v>Pulsos y offsets: filtrar Instancias por escenario, turno y targetId. Base separada del nivel visible.</x:v>
      </x:c>
    </x:row>
    <x:row r="459" ht="34" customHeight="1">
      <x:c r="A459" s="5" t="str">
        <x:v>S3_SALARIO</x:v>
      </x:c>
      <x:c r="B459" s="5" t="n">
        <x:v>8</x:v>
      </x:c>
      <x:c r="C459" s="5" t="str">
        <x:v>derechos</x:v>
      </x:c>
      <x:c r="D459" s="5" t="n">
        <x:f>$H$445</x:f>
        <x:v>55</x:v>
      </x:c>
      <x:c r="E459" s="5" t="n">
        <x:f>0+0</x:f>
        <x:v>0</x:v>
      </x:c>
      <x:c r="F459" s="5" t="n">
        <x:f>0</x:f>
        <x:v>0</x:v>
      </x:c>
      <x:c r="G459" s="5" t="n">
        <x:f>MAX(-'00_Arquitectura'!$B$106,MIN('00_Arquitectura'!$B$106,E459+F459))</x:f>
        <x:v>0</x:v>
      </x:c>
      <x:c r="H459" s="5" t="n">
        <x:f>MAX(0,MIN(100,D459+G459))</x:f>
        <x:v>55</x:v>
      </x:c>
      <x:c r="I459" s="5" t="n">
        <x:f>0</x:f>
        <x:v>0</x:v>
      </x:c>
      <x:c r="J459" s="5" t="n">
        <x:f>MAX(-'00_Arquitectura'!$B$107,MIN('00_Arquitectura'!$B$107,0))</x:f>
        <x:v>0</x:v>
      </x:c>
      <x:c r="K459" s="5" t="n">
        <x:f>MAX(0,MIN(100,H459+I459+J459))</x:f>
        <x:v>55</x:v>
      </x:c>
      <x:c r="L459" s="5" t="str">
        <x:v>Pulsos y offsets: filtrar Instancias por escenario, turno y targetId. Base separada del nivel visible.</x:v>
      </x:c>
    </x:row>
    <x:row r="460" ht="34" customHeight="1">
      <x:c r="A460" s="10" t="str">
        <x:v>S3_SALARIO</x:v>
      </x:c>
      <x:c r="B460" s="10" t="n">
        <x:v>8</x:v>
      </x:c>
      <x:c r="C460" s="10" t="str">
        <x:v>ambiente</x:v>
      </x:c>
      <x:c r="D460" s="10" t="n">
        <x:f>$H$446</x:f>
        <x:v>50</x:v>
      </x:c>
      <x:c r="E460" s="10" t="n">
        <x:f>0+0</x:f>
        <x:v>0</x:v>
      </x:c>
      <x:c r="F460" s="10" t="n">
        <x:f>0</x:f>
        <x:v>0</x:v>
      </x:c>
      <x:c r="G460" s="10" t="n">
        <x:f>MAX(-'00_Arquitectura'!$B$106,MIN('00_Arquitectura'!$B$106,E460+F460))</x:f>
        <x:v>0</x:v>
      </x:c>
      <x:c r="H460" s="10" t="n">
        <x:f>MAX(0,MIN(100,D460+G460))</x:f>
        <x:v>50</x:v>
      </x:c>
      <x:c r="I460" s="10" t="n">
        <x:f>0</x:f>
        <x:v>0</x:v>
      </x:c>
      <x:c r="J460" s="10" t="n">
        <x:f>MAX(-'00_Arquitectura'!$B$107,MIN('00_Arquitectura'!$B$107,0))</x:f>
        <x:v>0</x:v>
      </x:c>
      <x:c r="K460" s="10" t="n">
        <x:f>MAX(0,MIN(100,H460+I460+J460))</x:f>
        <x:v>50</x:v>
      </x:c>
      <x:c r="L460" s="10" t="str">
        <x:v>Pulsos y offsets: filtrar Instancias por escenario, turno y targetId. Base separada del nivel visible.</x:v>
      </x:c>
    </x:row>
    <x:row r="461" ht="42" customHeight="1">
      <x:c r="A461" s="5" t="str">
        <x:v>S3_SALARIO</x:v>
      </x:c>
      <x:c r="B461" s="5" t="n">
        <x:v>9</x:v>
      </x:c>
      <x:c r="C461" s="5" t="str">
        <x:v>inflacion</x:v>
      </x:c>
      <x:c r="D461" s="5" t="n">
        <x:f>$H$447</x:f>
        <x:v>40</x:v>
      </x:c>
      <x:c r="E461" s="5" t="n">
        <x:f>0+0</x:f>
        <x:v>0</x:v>
      </x:c>
      <x:c r="F461" s="5" t="n">
        <x:f>-'00_Arquitectura'!$B$96*($H$447-40)</x:f>
        <x:v>0</x:v>
      </x:c>
      <x:c r="G461" s="5" t="n">
        <x:f>MAX(-'00_Arquitectura'!$B$106,MIN('00_Arquitectura'!$B$106,E461+F461))</x:f>
        <x:v>0</x:v>
      </x:c>
      <x:c r="H461" s="5" t="n">
        <x:f>MAX(0,MIN(100,D461+G461))</x:f>
        <x:v>40</x:v>
      </x:c>
      <x:c r="I461" s="5" t="n">
        <x:f>0</x:f>
        <x:v>0</x:v>
      </x:c>
      <x:c r="J461" s="5" t="n">
        <x:f>MAX(-'00_Arquitectura'!$B$107,MIN('00_Arquitectura'!$B$107,0))</x:f>
        <x:v>0</x:v>
      </x:c>
      <x:c r="K461" s="5" t="n">
        <x:f>MAX(0,MIN(100,H461+I461+J461))</x:f>
        <x:v>40</x:v>
      </x:c>
      <x:c r="L461" s="5" t="str">
        <x:v>Aplica link L01. Pulsos y offsets: filtrar Instancias por escenario, turno y targetId. Base separada del nivel visible.</x:v>
      </x:c>
    </x:row>
    <x:row r="462" ht="42" customHeight="1">
      <x:c r="A462" s="10" t="str">
        <x:v>S3_SALARIO</x:v>
      </x:c>
      <x:c r="B462" s="10" t="n">
        <x:v>9</x:v>
      </x:c>
      <x:c r="C462" s="10" t="str">
        <x:v>actividad</x:v>
      </x:c>
      <x:c r="D462" s="10" t="n">
        <x:f>$H$448</x:f>
        <x:v>49.933366928000005</x:v>
      </x:c>
      <x:c r="E462" s="10" t="n">
        <x:f>0+0</x:f>
        <x:v>0</x:v>
      </x:c>
      <x:c r="F462" s="10" t="n">
        <x:f>-'00_Arquitectura'!$B$97*($H$448-50)+'00_Arquitectura'!$B$98*($K$450-45)+'00_Arquitectura'!$B$99*($K$453-45)+'00_Arquitectura'!$B$100*($K$452-45)</x:f>
        <x:v>-0.031886997600001056</x:v>
      </x:c>
      <x:c r="G462" s="10" t="n">
        <x:f>MAX(-'00_Arquitectura'!$B$106,MIN('00_Arquitectura'!$B$106,E462+F462))</x:f>
        <x:v>-0.031886997600001056</x:v>
      </x:c>
      <x:c r="H462" s="10" t="n">
        <x:f>MAX(0,MIN(100,D462+G462))</x:f>
        <x:v>49.9014799304</x:v>
      </x:c>
      <x:c r="I462" s="10" t="n">
        <x:f>0</x:f>
        <x:v>0</x:v>
      </x:c>
      <x:c r="J462" s="10" t="n">
        <x:f>MAX(-'00_Arquitectura'!$B$107,MIN('00_Arquitectura'!$B$107,$J$1259+$J$1262+$J$1263))</x:f>
        <x:v>0</x:v>
      </x:c>
      <x:c r="K462" s="10" t="n">
        <x:f>MAX(0,MIN(100,H462+I462+J462))</x:f>
        <x:v>49.9014799304</x:v>
      </x:c>
      <x:c r="L462" s="10" t="str">
        <x:v>Aplica link L02. Pulsos y offsets: filtrar Instancias por escenario, turno y targetId. Base separada del nivel visible.</x:v>
      </x:c>
    </x:row>
    <x:row r="463" ht="42" customHeight="1">
      <x:c r="A463" s="5" t="str">
        <x:v>S3_SALARIO</x:v>
      </x:c>
      <x:c r="B463" s="5" t="n">
        <x:v>9</x:v>
      </x:c>
      <x:c r="C463" s="5" t="str">
        <x:v>ingreso_real</x:v>
      </x:c>
      <x:c r="D463" s="5" t="n">
        <x:f>$H$449</x:f>
        <x:v>54.9932428</x:v>
      </x:c>
      <x:c r="E463" s="5" t="n">
        <x:f>0+0</x:f>
        <x:v>0</x:v>
      </x:c>
      <x:c r="F463" s="5" t="n">
        <x:f>'00_Arquitectura'!$B$101*($K$448-$K$434)+'00_Arquitectura'!$B$102*($K$447-$K$433)</x:f>
        <x:v>-0.003237760800000089</x:v>
      </x:c>
      <x:c r="G463" s="5" t="n">
        <x:f>MAX(-'00_Arquitectura'!$B$106,MIN('00_Arquitectura'!$B$106,E463+F463))</x:f>
        <x:v>-0.003237760800000089</x:v>
      </x:c>
      <x:c r="H463" s="5" t="n">
        <x:f>MAX(0,MIN(100,D463+G463))</x:f>
        <x:v>54.9900050392</x:v>
      </x:c>
      <x:c r="I463" s="5" t="n">
        <x:f>0</x:f>
        <x:v>0</x:v>
      </x:c>
      <x:c r="J463" s="5" t="n">
        <x:f>MAX(-'00_Arquitectura'!$B$107,MIN('00_Arquitectura'!$B$107,0))</x:f>
        <x:v>0</x:v>
      </x:c>
      <x:c r="K463" s="5" t="n">
        <x:f>MAX(0,MIN(100,H463+I463+J463))</x:f>
        <x:v>54.9900050392</x:v>
      </x:c>
      <x:c r="L463" s="5" t="str">
        <x:v>Aplica link L03. Pulsos y offsets: filtrar Instancias por escenario, turno y targetId. Base separada del nivel visible.</x:v>
      </x:c>
    </x:row>
    <x:row r="464" ht="42" customHeight="1">
      <x:c r="A464" s="10" t="str">
        <x:v>S3_SALARIO</x:v>
      </x:c>
      <x:c r="B464" s="10" t="n">
        <x:v>9</x:v>
      </x:c>
      <x:c r="C464" s="10" t="str">
        <x:v>credito</x:v>
      </x:c>
      <x:c r="D464" s="10" t="n">
        <x:f>$H$450</x:f>
        <x:v>44.43482985</x:v>
      </x:c>
      <x:c r="E464" s="10" t="n">
        <x:f>0+0</x:f>
        <x:v>0</x:v>
      </x:c>
      <x:c r="F464" s="10" t="n">
        <x:f>-'00_Arquitectura'!$B$103*($H$450-45)+'00_Arquitectura'!$B$104*($K$447-$K$433)+'00_Arquitectura'!$B$105*($K$451-'00_Arquitectura'!$B$117)</x:f>
        <x:v>-0.15540466949999998</x:v>
      </x:c>
      <x:c r="G464" s="10" t="n">
        <x:f>MAX(-'00_Arquitectura'!$B$106,MIN('00_Arquitectura'!$B$106,E464+F464))</x:f>
        <x:v>-0.15540466949999998</x:v>
      </x:c>
      <x:c r="H464" s="10" t="n">
        <x:f>MAX(0,MIN(100,D464+G464))</x:f>
        <x:v>44.2794251805</x:v>
      </x:c>
      <x:c r="I464" s="10" t="n">
        <x:f>0</x:f>
        <x:v>0</x:v>
      </x:c>
      <x:c r="J464" s="10" t="n">
        <x:f>MAX(-'00_Arquitectura'!$B$107,MIN('00_Arquitectura'!$B$107,$J$1261))</x:f>
        <x:v>0</x:v>
      </x:c>
      <x:c r="K464" s="10" t="n">
        <x:f>MAX(0,MIN(100,H464+I464+J464))</x:f>
        <x:v>44.2794251805</x:v>
      </x:c>
      <x:c r="L464" s="10" t="str">
        <x:v>Aplica link L04. Pulsos y offsets: filtrar Instancias por escenario, turno y targetId. Base separada del nivel visible.</x:v>
      </x:c>
    </x:row>
    <x:row r="465" ht="34" customHeight="1">
      <x:c r="A465" s="5" t="str">
        <x:v>S3_SALARIO</x:v>
      </x:c>
      <x:c r="B465" s="5" t="n">
        <x:v>9</x:v>
      </x:c>
      <x:c r="C465" s="5" t="str">
        <x:v>fiscal</x:v>
      </x:c>
      <x:c r="D465" s="5" t="n">
        <x:f>$H$451</x:f>
        <x:v>45.9909904</x:v>
      </x:c>
      <x:c r="E465" s="5" t="n">
        <x:f>0+0</x:f>
        <x:v>0</x:v>
      </x:c>
      <x:c r="F465" s="5" t="n">
        <x:f>0</x:f>
        <x:v>0</x:v>
      </x:c>
      <x:c r="G465" s="5" t="n">
        <x:f>MAX(-'00_Arquitectura'!$B$106,MIN('00_Arquitectura'!$B$106,E465+F465))</x:f>
        <x:v>0</x:v>
      </x:c>
      <x:c r="H465" s="5" t="n">
        <x:f>$O$43</x:f>
        <x:v>45.9866733856</x:v>
      </x:c>
      <x:c r="I465" s="5" t="n">
        <x:f>0</x:f>
        <x:v>0</x:v>
      </x:c>
      <x:c r="J465" s="5" t="n">
        <x:f>MAX(-'00_Arquitectura'!$B$107,MIN('00_Arquitectura'!$B$107,0))</x:f>
        <x:v>0</x:v>
      </x:c>
      <x:c r="K465" s="5" t="n">
        <x:f>MAX(0,MIN(100,H465+I465+J465))</x:f>
        <x:v>45.9866733856</x:v>
      </x:c>
      <x:c r="L465" s="5" t="str">
        <x:v>Derivado de caja: ingreso recurrente, gasto, intereses y deuda. Nunca SUM de efectos fiscales directos.</x:v>
      </x:c>
    </x:row>
    <x:row r="466" ht="34" customHeight="1">
      <x:c r="A466" s="10" t="str">
        <x:v>S3_SALARIO</x:v>
      </x:c>
      <x:c r="B466" s="10" t="n">
        <x:v>9</x:v>
      </x:c>
      <x:c r="C466" s="10" t="str">
        <x:v>externo</x:v>
      </x:c>
      <x:c r="D466" s="10" t="n">
        <x:f>$H$452</x:f>
        <x:v>45</x:v>
      </x:c>
      <x:c r="E466" s="10" t="n">
        <x:f>0+0</x:f>
        <x:v>0</x:v>
      </x:c>
      <x:c r="F466" s="10" t="n">
        <x:f>0</x:f>
        <x:v>0</x:v>
      </x:c>
      <x:c r="G466" s="10" t="n">
        <x:f>MAX(-'00_Arquitectura'!$B$106,MIN('00_Arquitectura'!$B$106,E466+F466))</x:f>
        <x:v>0</x:v>
      </x:c>
      <x:c r="H466" s="10" t="n">
        <x:f>MAX(0,MIN(100,D466+G466))</x:f>
        <x:v>45</x:v>
      </x:c>
      <x:c r="I466" s="10" t="n">
        <x:f>0</x:f>
        <x:v>0</x:v>
      </x:c>
      <x:c r="J466" s="10" t="n">
        <x:f>MAX(-'00_Arquitectura'!$B$107,MIN('00_Arquitectura'!$B$107,$J$1260))</x:f>
        <x:v>0</x:v>
      </x:c>
      <x:c r="K466" s="10" t="n">
        <x:f>MAX(0,MIN(100,H466+I466+J466))</x:f>
        <x:v>45</x:v>
      </x:c>
      <x:c r="L466" s="10" t="str">
        <x:v>Pulsos y offsets: filtrar Instancias por escenario, turno y targetId. Base separada del nivel visible.</x:v>
      </x:c>
    </x:row>
    <x:row r="467" ht="34" customHeight="1">
      <x:c r="A467" s="5" t="str">
        <x:v>S3_SALARIO</x:v>
      </x:c>
      <x:c r="B467" s="5" t="n">
        <x:v>9</x:v>
      </x:c>
      <x:c r="C467" s="5" t="str">
        <x:v>infraestructura</x:v>
      </x:c>
      <x:c r="D467" s="5" t="n">
        <x:f>$H$453</x:f>
        <x:v>45</x:v>
      </x:c>
      <x:c r="E467" s="5" t="n">
        <x:f>0+0</x:f>
        <x:v>0</x:v>
      </x:c>
      <x:c r="F467" s="5" t="n">
        <x:f>0</x:f>
        <x:v>0</x:v>
      </x:c>
      <x:c r="G467" s="5" t="n">
        <x:f>MAX(-'00_Arquitectura'!$B$106,MIN('00_Arquitectura'!$B$106,E467+F467))</x:f>
        <x:v>0</x:v>
      </x:c>
      <x:c r="H467" s="5" t="n">
        <x:f>MAX(0,MIN(100,D467+G467))</x:f>
        <x:v>45</x:v>
      </x:c>
      <x:c r="I467" s="5" t="n">
        <x:f>0</x:f>
        <x:v>0</x:v>
      </x:c>
      <x:c r="J467" s="5" t="n">
        <x:f>MAX(-'00_Arquitectura'!$B$107,MIN('00_Arquitectura'!$B$107,0))</x:f>
        <x:v>0</x:v>
      </x:c>
      <x:c r="K467" s="5" t="n">
        <x:f>MAX(0,MIN(100,H467+I467+J467))</x:f>
        <x:v>45</x:v>
      </x:c>
      <x:c r="L467" s="5" t="str">
        <x:v>Pulsos y offsets: filtrar Instancias por escenario, turno y targetId. Base separada del nivel visible.</x:v>
      </x:c>
    </x:row>
    <x:row r="468" ht="34" customHeight="1">
      <x:c r="A468" s="10" t="str">
        <x:v>S3_SALARIO</x:v>
      </x:c>
      <x:c r="B468" s="10" t="n">
        <x:v>9</x:v>
      </x:c>
      <x:c r="C468" s="10" t="str">
        <x:v>educacion</x:v>
      </x:c>
      <x:c r="D468" s="10" t="n">
        <x:f>$H$454</x:f>
        <x:v>50</x:v>
      </x:c>
      <x:c r="E468" s="10" t="n">
        <x:f>0+0</x:f>
        <x:v>0</x:v>
      </x:c>
      <x:c r="F468" s="10" t="n">
        <x:f>0</x:f>
        <x:v>0</x:v>
      </x:c>
      <x:c r="G468" s="10" t="n">
        <x:f>MAX(-'00_Arquitectura'!$B$106,MIN('00_Arquitectura'!$B$106,E468+F468))</x:f>
        <x:v>0</x:v>
      </x:c>
      <x:c r="H468" s="10" t="n">
        <x:f>MAX(0,MIN(100,D468+G468))</x:f>
        <x:v>50</x:v>
      </x:c>
      <x:c r="I468" s="10" t="n">
        <x:f>0</x:f>
        <x:v>0</x:v>
      </x:c>
      <x:c r="J468" s="10" t="n">
        <x:f>MAX(-'00_Arquitectura'!$B$107,MIN('00_Arquitectura'!$B$107,$J$1267))</x:f>
        <x:v>0</x:v>
      </x:c>
      <x:c r="K468" s="10" t="n">
        <x:f>MAX(0,MIN(100,H468+I468+J468))</x:f>
        <x:v>50</x:v>
      </x:c>
      <x:c r="L468" s="10" t="str">
        <x:v>Pulsos y offsets: filtrar Instancias por escenario, turno y targetId. Base separada del nivel visible.</x:v>
      </x:c>
    </x:row>
    <x:row r="469" ht="34" customHeight="1">
      <x:c r="A469" s="5" t="str">
        <x:v>S3_SALARIO</x:v>
      </x:c>
      <x:c r="B469" s="5" t="n">
        <x:v>9</x:v>
      </x:c>
      <x:c r="C469" s="5" t="str">
        <x:v>salud</x:v>
      </x:c>
      <x:c r="D469" s="5" t="n">
        <x:f>$H$455</x:f>
        <x:v>50</x:v>
      </x:c>
      <x:c r="E469" s="5" t="n">
        <x:f>0+0</x:f>
        <x:v>0</x:v>
      </x:c>
      <x:c r="F469" s="5" t="n">
        <x:f>0</x:f>
        <x:v>0</x:v>
      </x:c>
      <x:c r="G469" s="5" t="n">
        <x:f>MAX(-'00_Arquitectura'!$B$106,MIN('00_Arquitectura'!$B$106,E469+F469))</x:f>
        <x:v>0</x:v>
      </x:c>
      <x:c r="H469" s="5" t="n">
        <x:f>MAX(0,MIN(100,D469+G469))</x:f>
        <x:v>50</x:v>
      </x:c>
      <x:c r="I469" s="5" t="n">
        <x:f>0</x:f>
        <x:v>0</x:v>
      </x:c>
      <x:c r="J469" s="5" t="n">
        <x:f>MAX(-'00_Arquitectura'!$B$107,MIN('00_Arquitectura'!$B$107,0))</x:f>
        <x:v>0</x:v>
      </x:c>
      <x:c r="K469" s="5" t="n">
        <x:f>MAX(0,MIN(100,H469+I469+J469))</x:f>
        <x:v>50</x:v>
      </x:c>
      <x:c r="L469" s="5" t="str">
        <x:v>Pulsos y offsets: filtrar Instancias por escenario, turno y targetId. Base separada del nivel visible.</x:v>
      </x:c>
    </x:row>
    <x:row r="470" ht="34" customHeight="1">
      <x:c r="A470" s="10" t="str">
        <x:v>S3_SALARIO</x:v>
      </x:c>
      <x:c r="B470" s="10" t="n">
        <x:v>9</x:v>
      </x:c>
      <x:c r="C470" s="10" t="str">
        <x:v>proteccion</x:v>
      </x:c>
      <x:c r="D470" s="10" t="n">
        <x:f>$H$456</x:f>
        <x:v>45</x:v>
      </x:c>
      <x:c r="E470" s="10" t="n">
        <x:f>0+0</x:f>
        <x:v>0</x:v>
      </x:c>
      <x:c r="F470" s="10" t="n">
        <x:f>0</x:f>
        <x:v>0</x:v>
      </x:c>
      <x:c r="G470" s="10" t="n">
        <x:f>MAX(-'00_Arquitectura'!$B$106,MIN('00_Arquitectura'!$B$106,E470+F470))</x:f>
        <x:v>0</x:v>
      </x:c>
      <x:c r="H470" s="10" t="n">
        <x:f>MAX(0,MIN(100,D470+G470))</x:f>
        <x:v>45</x:v>
      </x:c>
      <x:c r="I470" s="10" t="n">
        <x:f>0</x:f>
        <x:v>0</x:v>
      </x:c>
      <x:c r="J470" s="10" t="n">
        <x:f>MAX(-'00_Arquitectura'!$B$107,MIN('00_Arquitectura'!$B$107,$J$1265+$J$1269))</x:f>
        <x:v>0</x:v>
      </x:c>
      <x:c r="K470" s="10" t="n">
        <x:f>MAX(0,MIN(100,H470+I470+J470))</x:f>
        <x:v>45</x:v>
      </x:c>
      <x:c r="L470" s="10" t="str">
        <x:v>Pulsos y offsets: filtrar Instancias por escenario, turno y targetId. Base separada del nivel visible.</x:v>
      </x:c>
    </x:row>
    <x:row r="471" ht="34" customHeight="1">
      <x:c r="A471" s="5" t="str">
        <x:v>S3_SALARIO</x:v>
      </x:c>
      <x:c r="B471" s="5" t="n">
        <x:v>9</x:v>
      </x:c>
      <x:c r="C471" s="5" t="str">
        <x:v>seguridad</x:v>
      </x:c>
      <x:c r="D471" s="5" t="n">
        <x:f>$H$457</x:f>
        <x:v>45</x:v>
      </x:c>
      <x:c r="E471" s="5" t="n">
        <x:f>0+0</x:f>
        <x:v>0</x:v>
      </x:c>
      <x:c r="F471" s="5" t="n">
        <x:f>0</x:f>
        <x:v>0</x:v>
      </x:c>
      <x:c r="G471" s="5" t="n">
        <x:f>MAX(-'00_Arquitectura'!$B$106,MIN('00_Arquitectura'!$B$106,E471+F471))</x:f>
        <x:v>0</x:v>
      </x:c>
      <x:c r="H471" s="5" t="n">
        <x:f>MAX(0,MIN(100,D471+G471))</x:f>
        <x:v>45</x:v>
      </x:c>
      <x:c r="I471" s="5" t="n">
        <x:f>0</x:f>
        <x:v>0</x:v>
      </x:c>
      <x:c r="J471" s="5" t="n">
        <x:f>MAX(-'00_Arquitectura'!$B$107,MIN('00_Arquitectura'!$B$107,0))</x:f>
        <x:v>0</x:v>
      </x:c>
      <x:c r="K471" s="5" t="n">
        <x:f>MAX(0,MIN(100,H471+I471+J471))</x:f>
        <x:v>45</x:v>
      </x:c>
      <x:c r="L471" s="5" t="str">
        <x:v>Pulsos y offsets: filtrar Instancias por escenario, turno y targetId. Base separada del nivel visible.</x:v>
      </x:c>
    </x:row>
    <x:row r="472" ht="34" customHeight="1">
      <x:c r="A472" s="10" t="str">
        <x:v>S3_SALARIO</x:v>
      </x:c>
      <x:c r="B472" s="10" t="n">
        <x:v>9</x:v>
      </x:c>
      <x:c r="C472" s="10" t="str">
        <x:v>ciencia</x:v>
      </x:c>
      <x:c r="D472" s="10" t="n">
        <x:f>$H$458</x:f>
        <x:v>40</x:v>
      </x:c>
      <x:c r="E472" s="10" t="n">
        <x:f>0+0</x:f>
        <x:v>0</x:v>
      </x:c>
      <x:c r="F472" s="10" t="n">
        <x:f>0</x:f>
        <x:v>0</x:v>
      </x:c>
      <x:c r="G472" s="10" t="n">
        <x:f>MAX(-'00_Arquitectura'!$B$106,MIN('00_Arquitectura'!$B$106,E472+F472))</x:f>
        <x:v>0</x:v>
      </x:c>
      <x:c r="H472" s="10" t="n">
        <x:f>MAX(0,MIN(100,D472+G472))</x:f>
        <x:v>40</x:v>
      </x:c>
      <x:c r="I472" s="10" t="n">
        <x:f>0</x:f>
        <x:v>0</x:v>
      </x:c>
      <x:c r="J472" s="10" t="n">
        <x:f>MAX(-'00_Arquitectura'!$B$107,MIN('00_Arquitectura'!$B$107,$J$1268))</x:f>
        <x:v>0</x:v>
      </x:c>
      <x:c r="K472" s="10" t="n">
        <x:f>MAX(0,MIN(100,H472+I472+J472))</x:f>
        <x:v>40</x:v>
      </x:c>
      <x:c r="L472" s="10" t="str">
        <x:v>Pulsos y offsets: filtrar Instancias por escenario, turno y targetId. Base separada del nivel visible.</x:v>
      </x:c>
    </x:row>
    <x:row r="473" ht="34" customHeight="1">
      <x:c r="A473" s="5" t="str">
        <x:v>S3_SALARIO</x:v>
      </x:c>
      <x:c r="B473" s="5" t="n">
        <x:v>9</x:v>
      </x:c>
      <x:c r="C473" s="5" t="str">
        <x:v>derechos</x:v>
      </x:c>
      <x:c r="D473" s="5" t="n">
        <x:f>$H$459</x:f>
        <x:v>55</x:v>
      </x:c>
      <x:c r="E473" s="5" t="n">
        <x:f>0+0</x:f>
        <x:v>0</x:v>
      </x:c>
      <x:c r="F473" s="5" t="n">
        <x:f>0</x:f>
        <x:v>0</x:v>
      </x:c>
      <x:c r="G473" s="5" t="n">
        <x:f>MAX(-'00_Arquitectura'!$B$106,MIN('00_Arquitectura'!$B$106,E473+F473))</x:f>
        <x:v>0</x:v>
      </x:c>
      <x:c r="H473" s="5" t="n">
        <x:f>MAX(0,MIN(100,D473+G473))</x:f>
        <x:v>55</x:v>
      </x:c>
      <x:c r="I473" s="5" t="n">
        <x:f>0</x:f>
        <x:v>0</x:v>
      </x:c>
      <x:c r="J473" s="5" t="n">
        <x:f>MAX(-'00_Arquitectura'!$B$107,MIN('00_Arquitectura'!$B$107,0))</x:f>
        <x:v>0</x:v>
      </x:c>
      <x:c r="K473" s="5" t="n">
        <x:f>MAX(0,MIN(100,H473+I473+J473))</x:f>
        <x:v>55</x:v>
      </x:c>
      <x:c r="L473" s="5" t="str">
        <x:v>Pulsos y offsets: filtrar Instancias por escenario, turno y targetId. Base separada del nivel visible.</x:v>
      </x:c>
    </x:row>
    <x:row r="474" ht="34" customHeight="1">
      <x:c r="A474" s="10" t="str">
        <x:v>S3_SALARIO</x:v>
      </x:c>
      <x:c r="B474" s="10" t="n">
        <x:v>9</x:v>
      </x:c>
      <x:c r="C474" s="10" t="str">
        <x:v>ambiente</x:v>
      </x:c>
      <x:c r="D474" s="10" t="n">
        <x:f>$H$460</x:f>
        <x:v>50</x:v>
      </x:c>
      <x:c r="E474" s="10" t="n">
        <x:f>0+0</x:f>
        <x:v>0</x:v>
      </x:c>
      <x:c r="F474" s="10" t="n">
        <x:f>0</x:f>
        <x:v>0</x:v>
      </x:c>
      <x:c r="G474" s="10" t="n">
        <x:f>MAX(-'00_Arquitectura'!$B$106,MIN('00_Arquitectura'!$B$106,E474+F474))</x:f>
        <x:v>0</x:v>
      </x:c>
      <x:c r="H474" s="10" t="n">
        <x:f>MAX(0,MIN(100,D474+G474))</x:f>
        <x:v>50</x:v>
      </x:c>
      <x:c r="I474" s="10" t="n">
        <x:f>0</x:f>
        <x:v>0</x:v>
      </x:c>
      <x:c r="J474" s="10" t="n">
        <x:f>MAX(-'00_Arquitectura'!$B$107,MIN('00_Arquitectura'!$B$107,0))</x:f>
        <x:v>0</x:v>
      </x:c>
      <x:c r="K474" s="10" t="n">
        <x:f>MAX(0,MIN(100,H474+I474+J474))</x:f>
        <x:v>50</x:v>
      </x:c>
      <x:c r="L474" s="10" t="str">
        <x:v>Pulsos y offsets: filtrar Instancias por escenario, turno y targetId. Base separada del nivel visible.</x:v>
      </x:c>
    </x:row>
    <x:row r="475" ht="42" customHeight="1">
      <x:c r="A475" s="5" t="str">
        <x:v>S3_SALARIO</x:v>
      </x:c>
      <x:c r="B475" s="5" t="n">
        <x:v>10</x:v>
      </x:c>
      <x:c r="C475" s="5" t="str">
        <x:v>inflacion</x:v>
      </x:c>
      <x:c r="D475" s="5" t="n">
        <x:f>$H$461</x:f>
        <x:v>40</x:v>
      </x:c>
      <x:c r="E475" s="5" t="n">
        <x:f>0+0</x:f>
        <x:v>0</x:v>
      </x:c>
      <x:c r="F475" s="5" t="n">
        <x:f>-'00_Arquitectura'!$B$96*($H$461-40)</x:f>
        <x:v>0</x:v>
      </x:c>
      <x:c r="G475" s="5" t="n">
        <x:f>MAX(-'00_Arquitectura'!$B$106,MIN('00_Arquitectura'!$B$106,E475+F475))</x:f>
        <x:v>0</x:v>
      </x:c>
      <x:c r="H475" s="5" t="n">
        <x:f>MAX(0,MIN(100,D475+G475))</x:f>
        <x:v>40</x:v>
      </x:c>
      <x:c r="I475" s="5" t="n">
        <x:f>0</x:f>
        <x:v>0</x:v>
      </x:c>
      <x:c r="J475" s="5" t="n">
        <x:f>MAX(-'00_Arquitectura'!$B$107,MIN('00_Arquitectura'!$B$107,0))</x:f>
        <x:v>0</x:v>
      </x:c>
      <x:c r="K475" s="5" t="n">
        <x:f>MAX(0,MIN(100,H475+I475+J475))</x:f>
        <x:v>40</x:v>
      </x:c>
      <x:c r="L475" s="5" t="str">
        <x:v>Aplica link L01. Pulsos y offsets: filtrar Instancias por escenario, turno y targetId. Base separada del nivel visible.</x:v>
      </x:c>
    </x:row>
    <x:row r="476" ht="42" customHeight="1">
      <x:c r="A476" s="10" t="str">
        <x:v>S3_SALARIO</x:v>
      </x:c>
      <x:c r="B476" s="10" t="n">
        <x:v>10</x:v>
      </x:c>
      <x:c r="C476" s="10" t="str">
        <x:v>actividad</x:v>
      </x:c>
      <x:c r="D476" s="10" t="n">
        <x:f>$H$462</x:f>
        <x:v>49.9014799304</x:v>
      </x:c>
      <x:c r="E476" s="10" t="n">
        <x:f>0+0</x:f>
        <x:v>0</x:v>
      </x:c>
      <x:c r="F476" s="10" t="n">
        <x:f>-'00_Arquitectura'!$B$97*($H$462-50)+'00_Arquitectura'!$B$98*($K$464-45)+'00_Arquitectura'!$B$99*($K$467-45)+'00_Arquitectura'!$B$100*($K$466-45)</x:f>
        <x:v>-0.037941971640000245</x:v>
      </x:c>
      <x:c r="G476" s="10" t="n">
        <x:f>MAX(-'00_Arquitectura'!$B$106,MIN('00_Arquitectura'!$B$106,E476+F476))</x:f>
        <x:v>-0.037941971640000245</x:v>
      </x:c>
      <x:c r="H476" s="10" t="n">
        <x:f>MAX(0,MIN(100,D476+G476))</x:f>
        <x:v>49.86353795876</x:v>
      </x:c>
      <x:c r="I476" s="10" t="n">
        <x:f>0</x:f>
        <x:v>0</x:v>
      </x:c>
      <x:c r="J476" s="10" t="n">
        <x:f>MAX(-'00_Arquitectura'!$B$107,MIN('00_Arquitectura'!$B$107,$J$1277+$J$1280+$J$1281))</x:f>
        <x:v>0</x:v>
      </x:c>
      <x:c r="K476" s="10" t="n">
        <x:f>MAX(0,MIN(100,H476+I476+J476))</x:f>
        <x:v>49.86353795876</x:v>
      </x:c>
      <x:c r="L476" s="10" t="str">
        <x:v>Aplica link L02. Pulsos y offsets: filtrar Instancias por escenario, turno y targetId. Base separada del nivel visible.</x:v>
      </x:c>
    </x:row>
    <x:row r="477" ht="42" customHeight="1">
      <x:c r="A477" s="5" t="str">
        <x:v>S3_SALARIO</x:v>
      </x:c>
      <x:c r="B477" s="5" t="n">
        <x:v>10</x:v>
      </x:c>
      <x:c r="C477" s="5" t="str">
        <x:v>ingreso_real</x:v>
      </x:c>
      <x:c r="D477" s="5" t="n">
        <x:f>$H$463</x:f>
        <x:v>54.9900050392</x:v>
      </x:c>
      <x:c r="E477" s="5" t="n">
        <x:f>0+0</x:f>
        <x:v>0</x:v>
      </x:c>
      <x:c r="F477" s="5" t="n">
        <x:f>'00_Arquitectura'!$B$101*($K$462-$K$448)+'00_Arquitectura'!$B$102*($K$461-$K$447)</x:f>
        <x:v>-0.004783049640000669</x:v>
      </x:c>
      <x:c r="G477" s="5" t="n">
        <x:f>MAX(-'00_Arquitectura'!$B$106,MIN('00_Arquitectura'!$B$106,E477+F477))</x:f>
        <x:v>-0.004783049640000669</x:v>
      </x:c>
      <x:c r="H477" s="5" t="n">
        <x:f>MAX(0,MIN(100,D477+G477))</x:f>
        <x:v>54.985221989559996</x:v>
      </x:c>
      <x:c r="I477" s="5" t="n">
        <x:f>0</x:f>
        <x:v>0</x:v>
      </x:c>
      <x:c r="J477" s="5" t="n">
        <x:f>MAX(-'00_Arquitectura'!$B$107,MIN('00_Arquitectura'!$B$107,0))</x:f>
        <x:v>0</x:v>
      </x:c>
      <x:c r="K477" s="5" t="n">
        <x:f>MAX(0,MIN(100,H477+I477+J477))</x:f>
        <x:v>54.985221989559996</x:v>
      </x:c>
      <x:c r="L477" s="5" t="str">
        <x:v>Aplica link L03. Pulsos y offsets: filtrar Instancias por escenario, turno y targetId. Base separada del nivel visible.</x:v>
      </x:c>
    </x:row>
    <x:row r="478" ht="42" customHeight="1">
      <x:c r="A478" s="10" t="str">
        <x:v>S3_SALARIO</x:v>
      </x:c>
      <x:c r="B478" s="10" t="n">
        <x:v>10</x:v>
      </x:c>
      <x:c r="C478" s="10" t="str">
        <x:v>credito</x:v>
      </x:c>
      <x:c r="D478" s="10" t="n">
        <x:f>$H$464</x:f>
        <x:v>44.2794251805</x:v>
      </x:c>
      <x:c r="E478" s="10" t="n">
        <x:f>0+0</x:f>
        <x:v>0</x:v>
      </x:c>
      <x:c r="F478" s="10" t="n">
        <x:f>-'00_Arquitectura'!$B$103*($H$464-45)+'00_Arquitectura'!$B$104*($K$461-$K$447)+'00_Arquitectura'!$B$105*($K$465-'00_Arquitectura'!$B$117)</x:f>
        <x:v>-0.13218030936299985</x:v>
      </x:c>
      <x:c r="G478" s="10" t="n">
        <x:f>MAX(-'00_Arquitectura'!$B$106,MIN('00_Arquitectura'!$B$106,E478+F478))</x:f>
        <x:v>-0.13218030936299985</x:v>
      </x:c>
      <x:c r="H478" s="10" t="n">
        <x:f>MAX(0,MIN(100,D478+G478))</x:f>
        <x:v>44.147244871137</x:v>
      </x:c>
      <x:c r="I478" s="10" t="n">
        <x:f>0</x:f>
        <x:v>0</x:v>
      </x:c>
      <x:c r="J478" s="10" t="n">
        <x:f>MAX(-'00_Arquitectura'!$B$107,MIN('00_Arquitectura'!$B$107,$J$1279))</x:f>
        <x:v>0</x:v>
      </x:c>
      <x:c r="K478" s="10" t="n">
        <x:f>MAX(0,MIN(100,H478+I478+J478))</x:f>
        <x:v>44.147244871137</x:v>
      </x:c>
      <x:c r="L478" s="10" t="str">
        <x:v>Aplica link L04. Pulsos y offsets: filtrar Instancias por escenario, turno y targetId. Base separada del nivel visible.</x:v>
      </x:c>
    </x:row>
    <x:row r="479" ht="34" customHeight="1">
      <x:c r="A479" s="5" t="str">
        <x:v>S3_SALARIO</x:v>
      </x:c>
      <x:c r="B479" s="5" t="n">
        <x:v>10</x:v>
      </x:c>
      <x:c r="C479" s="5" t="str">
        <x:v>fiscal</x:v>
      </x:c>
      <x:c r="D479" s="5" t="n">
        <x:f>$H$465</x:f>
        <x:v>45.9866733856</x:v>
      </x:c>
      <x:c r="E479" s="5" t="n">
        <x:f>0+0</x:f>
        <x:v>0</x:v>
      </x:c>
      <x:c r="F479" s="5" t="n">
        <x:f>0</x:f>
        <x:v>0</x:v>
      </x:c>
      <x:c r="G479" s="5" t="n">
        <x:f>MAX(-'00_Arquitectura'!$B$106,MIN('00_Arquitectura'!$B$106,E479+F479))</x:f>
        <x:v>0</x:v>
      </x:c>
      <x:c r="H479" s="5" t="n">
        <x:f>$O$44</x:f>
        <x:v>45.98029598608</x:v>
      </x:c>
      <x:c r="I479" s="5" t="n">
        <x:f>0</x:f>
        <x:v>0</x:v>
      </x:c>
      <x:c r="J479" s="5" t="n">
        <x:f>MAX(-'00_Arquitectura'!$B$107,MIN('00_Arquitectura'!$B$107,0))</x:f>
        <x:v>0</x:v>
      </x:c>
      <x:c r="K479" s="5" t="n">
        <x:f>MAX(0,MIN(100,H479+I479+J479))</x:f>
        <x:v>45.98029598608</x:v>
      </x:c>
      <x:c r="L479" s="5" t="str">
        <x:v>Derivado de caja: ingreso recurrente, gasto, intereses y deuda. Nunca SUM de efectos fiscales directos.</x:v>
      </x:c>
    </x:row>
    <x:row r="480" ht="34" customHeight="1">
      <x:c r="A480" s="10" t="str">
        <x:v>S3_SALARIO</x:v>
      </x:c>
      <x:c r="B480" s="10" t="n">
        <x:v>10</x:v>
      </x:c>
      <x:c r="C480" s="10" t="str">
        <x:v>externo</x:v>
      </x:c>
      <x:c r="D480" s="10" t="n">
        <x:f>$H$466</x:f>
        <x:v>45</x:v>
      </x:c>
      <x:c r="E480" s="10" t="n">
        <x:f>0+0</x:f>
        <x:v>0</x:v>
      </x:c>
      <x:c r="F480" s="10" t="n">
        <x:f>0</x:f>
        <x:v>0</x:v>
      </x:c>
      <x:c r="G480" s="10" t="n">
        <x:f>MAX(-'00_Arquitectura'!$B$106,MIN('00_Arquitectura'!$B$106,E480+F480))</x:f>
        <x:v>0</x:v>
      </x:c>
      <x:c r="H480" s="10" t="n">
        <x:f>MAX(0,MIN(100,D480+G480))</x:f>
        <x:v>45</x:v>
      </x:c>
      <x:c r="I480" s="10" t="n">
        <x:f>0</x:f>
        <x:v>0</x:v>
      </x:c>
      <x:c r="J480" s="10" t="n">
        <x:f>MAX(-'00_Arquitectura'!$B$107,MIN('00_Arquitectura'!$B$107,$J$1278))</x:f>
        <x:v>0</x:v>
      </x:c>
      <x:c r="K480" s="10" t="n">
        <x:f>MAX(0,MIN(100,H480+I480+J480))</x:f>
        <x:v>45</x:v>
      </x:c>
      <x:c r="L480" s="10" t="str">
        <x:v>Pulsos y offsets: filtrar Instancias por escenario, turno y targetId. Base separada del nivel visible.</x:v>
      </x:c>
    </x:row>
    <x:row r="481" ht="34" customHeight="1">
      <x:c r="A481" s="5" t="str">
        <x:v>S3_SALARIO</x:v>
      </x:c>
      <x:c r="B481" s="5" t="n">
        <x:v>10</x:v>
      </x:c>
      <x:c r="C481" s="5" t="str">
        <x:v>infraestructura</x:v>
      </x:c>
      <x:c r="D481" s="5" t="n">
        <x:f>$H$467</x:f>
        <x:v>45</x:v>
      </x:c>
      <x:c r="E481" s="5" t="n">
        <x:f>0+0</x:f>
        <x:v>0</x:v>
      </x:c>
      <x:c r="F481" s="5" t="n">
        <x:f>0</x:f>
        <x:v>0</x:v>
      </x:c>
      <x:c r="G481" s="5" t="n">
        <x:f>MAX(-'00_Arquitectura'!$B$106,MIN('00_Arquitectura'!$B$106,E481+F481))</x:f>
        <x:v>0</x:v>
      </x:c>
      <x:c r="H481" s="5" t="n">
        <x:f>MAX(0,MIN(100,D481+G481))</x:f>
        <x:v>45</x:v>
      </x:c>
      <x:c r="I481" s="5" t="n">
        <x:f>0</x:f>
        <x:v>0</x:v>
      </x:c>
      <x:c r="J481" s="5" t="n">
        <x:f>MAX(-'00_Arquitectura'!$B$107,MIN('00_Arquitectura'!$B$107,0))</x:f>
        <x:v>0</x:v>
      </x:c>
      <x:c r="K481" s="5" t="n">
        <x:f>MAX(0,MIN(100,H481+I481+J481))</x:f>
        <x:v>45</x:v>
      </x:c>
      <x:c r="L481" s="5" t="str">
        <x:v>Pulsos y offsets: filtrar Instancias por escenario, turno y targetId. Base separada del nivel visible.</x:v>
      </x:c>
    </x:row>
    <x:row r="482" ht="34" customHeight="1">
      <x:c r="A482" s="10" t="str">
        <x:v>S3_SALARIO</x:v>
      </x:c>
      <x:c r="B482" s="10" t="n">
        <x:v>10</x:v>
      </x:c>
      <x:c r="C482" s="10" t="str">
        <x:v>educacion</x:v>
      </x:c>
      <x:c r="D482" s="10" t="n">
        <x:f>$H$468</x:f>
        <x:v>50</x:v>
      </x:c>
      <x:c r="E482" s="10" t="n">
        <x:f>0+0</x:f>
        <x:v>0</x:v>
      </x:c>
      <x:c r="F482" s="10" t="n">
        <x:f>0</x:f>
        <x:v>0</x:v>
      </x:c>
      <x:c r="G482" s="10" t="n">
        <x:f>MAX(-'00_Arquitectura'!$B$106,MIN('00_Arquitectura'!$B$106,E482+F482))</x:f>
        <x:v>0</x:v>
      </x:c>
      <x:c r="H482" s="10" t="n">
        <x:f>MAX(0,MIN(100,D482+G482))</x:f>
        <x:v>50</x:v>
      </x:c>
      <x:c r="I482" s="10" t="n">
        <x:f>0</x:f>
        <x:v>0</x:v>
      </x:c>
      <x:c r="J482" s="10" t="n">
        <x:f>MAX(-'00_Arquitectura'!$B$107,MIN('00_Arquitectura'!$B$107,$J$1285))</x:f>
        <x:v>0</x:v>
      </x:c>
      <x:c r="K482" s="10" t="n">
        <x:f>MAX(0,MIN(100,H482+I482+J482))</x:f>
        <x:v>50</x:v>
      </x:c>
      <x:c r="L482" s="10" t="str">
        <x:v>Pulsos y offsets: filtrar Instancias por escenario, turno y targetId. Base separada del nivel visible.</x:v>
      </x:c>
    </x:row>
    <x:row r="483" ht="34" customHeight="1">
      <x:c r="A483" s="5" t="str">
        <x:v>S3_SALARIO</x:v>
      </x:c>
      <x:c r="B483" s="5" t="n">
        <x:v>10</x:v>
      </x:c>
      <x:c r="C483" s="5" t="str">
        <x:v>salud</x:v>
      </x:c>
      <x:c r="D483" s="5" t="n">
        <x:f>$H$469</x:f>
        <x:v>50</x:v>
      </x:c>
      <x:c r="E483" s="5" t="n">
        <x:f>0+0</x:f>
        <x:v>0</x:v>
      </x:c>
      <x:c r="F483" s="5" t="n">
        <x:f>0</x:f>
        <x:v>0</x:v>
      </x:c>
      <x:c r="G483" s="5" t="n">
        <x:f>MAX(-'00_Arquitectura'!$B$106,MIN('00_Arquitectura'!$B$106,E483+F483))</x:f>
        <x:v>0</x:v>
      </x:c>
      <x:c r="H483" s="5" t="n">
        <x:f>MAX(0,MIN(100,D483+G483))</x:f>
        <x:v>50</x:v>
      </x:c>
      <x:c r="I483" s="5" t="n">
        <x:f>0</x:f>
        <x:v>0</x:v>
      </x:c>
      <x:c r="J483" s="5" t="n">
        <x:f>MAX(-'00_Arquitectura'!$B$107,MIN('00_Arquitectura'!$B$107,0))</x:f>
        <x:v>0</x:v>
      </x:c>
      <x:c r="K483" s="5" t="n">
        <x:f>MAX(0,MIN(100,H483+I483+J483))</x:f>
        <x:v>50</x:v>
      </x:c>
      <x:c r="L483" s="5" t="str">
        <x:v>Pulsos y offsets: filtrar Instancias por escenario, turno y targetId. Base separada del nivel visible.</x:v>
      </x:c>
    </x:row>
    <x:row r="484" ht="34" customHeight="1">
      <x:c r="A484" s="10" t="str">
        <x:v>S3_SALARIO</x:v>
      </x:c>
      <x:c r="B484" s="10" t="n">
        <x:v>10</x:v>
      </x:c>
      <x:c r="C484" s="10" t="str">
        <x:v>proteccion</x:v>
      </x:c>
      <x:c r="D484" s="10" t="n">
        <x:f>$H$470</x:f>
        <x:v>45</x:v>
      </x:c>
      <x:c r="E484" s="10" t="n">
        <x:f>0+0</x:f>
        <x:v>0</x:v>
      </x:c>
      <x:c r="F484" s="10" t="n">
        <x:f>0</x:f>
        <x:v>0</x:v>
      </x:c>
      <x:c r="G484" s="10" t="n">
        <x:f>MAX(-'00_Arquitectura'!$B$106,MIN('00_Arquitectura'!$B$106,E484+F484))</x:f>
        <x:v>0</x:v>
      </x:c>
      <x:c r="H484" s="10" t="n">
        <x:f>MAX(0,MIN(100,D484+G484))</x:f>
        <x:v>45</x:v>
      </x:c>
      <x:c r="I484" s="10" t="n">
        <x:f>0</x:f>
        <x:v>0</x:v>
      </x:c>
      <x:c r="J484" s="10" t="n">
        <x:f>MAX(-'00_Arquitectura'!$B$107,MIN('00_Arquitectura'!$B$107,$J$1283+$J$1287))</x:f>
        <x:v>0</x:v>
      </x:c>
      <x:c r="K484" s="10" t="n">
        <x:f>MAX(0,MIN(100,H484+I484+J484))</x:f>
        <x:v>45</x:v>
      </x:c>
      <x:c r="L484" s="10" t="str">
        <x:v>Pulsos y offsets: filtrar Instancias por escenario, turno y targetId. Base separada del nivel visible.</x:v>
      </x:c>
    </x:row>
    <x:row r="485" ht="34" customHeight="1">
      <x:c r="A485" s="5" t="str">
        <x:v>S3_SALARIO</x:v>
      </x:c>
      <x:c r="B485" s="5" t="n">
        <x:v>10</x:v>
      </x:c>
      <x:c r="C485" s="5" t="str">
        <x:v>seguridad</x:v>
      </x:c>
      <x:c r="D485" s="5" t="n">
        <x:f>$H$471</x:f>
        <x:v>45</x:v>
      </x:c>
      <x:c r="E485" s="5" t="n">
        <x:f>0+0</x:f>
        <x:v>0</x:v>
      </x:c>
      <x:c r="F485" s="5" t="n">
        <x:f>0</x:f>
        <x:v>0</x:v>
      </x:c>
      <x:c r="G485" s="5" t="n">
        <x:f>MAX(-'00_Arquitectura'!$B$106,MIN('00_Arquitectura'!$B$106,E485+F485))</x:f>
        <x:v>0</x:v>
      </x:c>
      <x:c r="H485" s="5" t="n">
        <x:f>MAX(0,MIN(100,D485+G485))</x:f>
        <x:v>45</x:v>
      </x:c>
      <x:c r="I485" s="5" t="n">
        <x:f>0</x:f>
        <x:v>0</x:v>
      </x:c>
      <x:c r="J485" s="5" t="n">
        <x:f>MAX(-'00_Arquitectura'!$B$107,MIN('00_Arquitectura'!$B$107,0))</x:f>
        <x:v>0</x:v>
      </x:c>
      <x:c r="K485" s="5" t="n">
        <x:f>MAX(0,MIN(100,H485+I485+J485))</x:f>
        <x:v>45</x:v>
      </x:c>
      <x:c r="L485" s="5" t="str">
        <x:v>Pulsos y offsets: filtrar Instancias por escenario, turno y targetId. Base separada del nivel visible.</x:v>
      </x:c>
    </x:row>
    <x:row r="486" ht="34" customHeight="1">
      <x:c r="A486" s="10" t="str">
        <x:v>S3_SALARIO</x:v>
      </x:c>
      <x:c r="B486" s="10" t="n">
        <x:v>10</x:v>
      </x:c>
      <x:c r="C486" s="10" t="str">
        <x:v>ciencia</x:v>
      </x:c>
      <x:c r="D486" s="10" t="n">
        <x:f>$H$472</x:f>
        <x:v>40</x:v>
      </x:c>
      <x:c r="E486" s="10" t="n">
        <x:f>0+0</x:f>
        <x:v>0</x:v>
      </x:c>
      <x:c r="F486" s="10" t="n">
        <x:f>0</x:f>
        <x:v>0</x:v>
      </x:c>
      <x:c r="G486" s="10" t="n">
        <x:f>MAX(-'00_Arquitectura'!$B$106,MIN('00_Arquitectura'!$B$106,E486+F486))</x:f>
        <x:v>0</x:v>
      </x:c>
      <x:c r="H486" s="10" t="n">
        <x:f>MAX(0,MIN(100,D486+G486))</x:f>
        <x:v>40</x:v>
      </x:c>
      <x:c r="I486" s="10" t="n">
        <x:f>0</x:f>
        <x:v>0</x:v>
      </x:c>
      <x:c r="J486" s="10" t="n">
        <x:f>MAX(-'00_Arquitectura'!$B$107,MIN('00_Arquitectura'!$B$107,$J$1286))</x:f>
        <x:v>0</x:v>
      </x:c>
      <x:c r="K486" s="10" t="n">
        <x:f>MAX(0,MIN(100,H486+I486+J486))</x:f>
        <x:v>40</x:v>
      </x:c>
      <x:c r="L486" s="10" t="str">
        <x:v>Pulsos y offsets: filtrar Instancias por escenario, turno y targetId. Base separada del nivel visible.</x:v>
      </x:c>
    </x:row>
    <x:row r="487" ht="34" customHeight="1">
      <x:c r="A487" s="5" t="str">
        <x:v>S3_SALARIO</x:v>
      </x:c>
      <x:c r="B487" s="5" t="n">
        <x:v>10</x:v>
      </x:c>
      <x:c r="C487" s="5" t="str">
        <x:v>derechos</x:v>
      </x:c>
      <x:c r="D487" s="5" t="n">
        <x:f>$H$473</x:f>
        <x:v>55</x:v>
      </x:c>
      <x:c r="E487" s="5" t="n">
        <x:f>0+0</x:f>
        <x:v>0</x:v>
      </x:c>
      <x:c r="F487" s="5" t="n">
        <x:f>0</x:f>
        <x:v>0</x:v>
      </x:c>
      <x:c r="G487" s="5" t="n">
        <x:f>MAX(-'00_Arquitectura'!$B$106,MIN('00_Arquitectura'!$B$106,E487+F487))</x:f>
        <x:v>0</x:v>
      </x:c>
      <x:c r="H487" s="5" t="n">
        <x:f>MAX(0,MIN(100,D487+G487))</x:f>
        <x:v>55</x:v>
      </x:c>
      <x:c r="I487" s="5" t="n">
        <x:f>0</x:f>
        <x:v>0</x:v>
      </x:c>
      <x:c r="J487" s="5" t="n">
        <x:f>MAX(-'00_Arquitectura'!$B$107,MIN('00_Arquitectura'!$B$107,0))</x:f>
        <x:v>0</x:v>
      </x:c>
      <x:c r="K487" s="5" t="n">
        <x:f>MAX(0,MIN(100,H487+I487+J487))</x:f>
        <x:v>55</x:v>
      </x:c>
      <x:c r="L487" s="5" t="str">
        <x:v>Pulsos y offsets: filtrar Instancias por escenario, turno y targetId. Base separada del nivel visible.</x:v>
      </x:c>
    </x:row>
    <x:row r="488" ht="34" customHeight="1">
      <x:c r="A488" s="10" t="str">
        <x:v>S3_SALARIO</x:v>
      </x:c>
      <x:c r="B488" s="10" t="n">
        <x:v>10</x:v>
      </x:c>
      <x:c r="C488" s="10" t="str">
        <x:v>ambiente</x:v>
      </x:c>
      <x:c r="D488" s="10" t="n">
        <x:f>$H$474</x:f>
        <x:v>50</x:v>
      </x:c>
      <x:c r="E488" s="10" t="n">
        <x:f>0+0</x:f>
        <x:v>0</x:v>
      </x:c>
      <x:c r="F488" s="10" t="n">
        <x:f>0</x:f>
        <x:v>0</x:v>
      </x:c>
      <x:c r="G488" s="10" t="n">
        <x:f>MAX(-'00_Arquitectura'!$B$106,MIN('00_Arquitectura'!$B$106,E488+F488))</x:f>
        <x:v>0</x:v>
      </x:c>
      <x:c r="H488" s="10" t="n">
        <x:f>MAX(0,MIN(100,D488+G488))</x:f>
        <x:v>50</x:v>
      </x:c>
      <x:c r="I488" s="10" t="n">
        <x:f>0</x:f>
        <x:v>0</x:v>
      </x:c>
      <x:c r="J488" s="10" t="n">
        <x:f>MAX(-'00_Arquitectura'!$B$107,MIN('00_Arquitectura'!$B$107,0))</x:f>
        <x:v>0</x:v>
      </x:c>
      <x:c r="K488" s="10" t="n">
        <x:f>MAX(0,MIN(100,H488+I488+J488))</x:f>
        <x:v>50</x:v>
      </x:c>
      <x:c r="L488" s="10" t="str">
        <x:v>Pulsos y offsets: filtrar Instancias por escenario, turno y targetId. Base separada del nivel visible.</x:v>
      </x:c>
    </x:row>
    <x:row r="489" ht="42" customHeight="1">
      <x:c r="A489" s="5" t="str">
        <x:v>S4_PRESTAMO</x:v>
      </x:c>
      <x:c r="B489" s="5" t="n">
        <x:v>1</x:v>
      </x:c>
      <x:c r="C489" s="5" t="str">
        <x:v>inflacion</x:v>
      </x:c>
      <x:c r="D489" s="5" t="n">
        <x:f>'01_Indicadores'!$H$6</x:f>
        <x:v>40</x:v>
      </x:c>
      <x:c r="E489" s="5" t="n">
        <x:f>0+0</x:f>
        <x:v>0</x:v>
      </x:c>
      <x:c r="F489" s="5" t="n">
        <x:f>-'00_Arquitectura'!$B$96*('01_Indicadores'!$H$6-40)</x:f>
        <x:v>0</x:v>
      </x:c>
      <x:c r="G489" s="5" t="n">
        <x:f>MAX(-'00_Arquitectura'!$B$106,MIN('00_Arquitectura'!$B$106,E489+F489))</x:f>
        <x:v>0</x:v>
      </x:c>
      <x:c r="H489" s="5" t="n">
        <x:f>MAX(0,MIN(100,D489+G489))</x:f>
        <x:v>40</x:v>
      </x:c>
      <x:c r="I489" s="5" t="n">
        <x:f>0</x:f>
        <x:v>0</x:v>
      </x:c>
      <x:c r="J489" s="5" t="n">
        <x:f>MAX(-'00_Arquitectura'!$B$107,MIN('00_Arquitectura'!$B$107,0))</x:f>
        <x:v>0</x:v>
      </x:c>
      <x:c r="K489" s="5" t="n">
        <x:f>MAX(0,MIN(100,H489+I489+J489))</x:f>
        <x:v>40</x:v>
      </x:c>
      <x:c r="L489" s="5" t="str">
        <x:v>Aplica link L01. Pulsos y offsets: filtrar Instancias por escenario, turno y targetId. Base separada del nivel visible.</x:v>
      </x:c>
    </x:row>
    <x:row r="490" ht="42" customHeight="1">
      <x:c r="A490" s="10" t="str">
        <x:v>S4_PRESTAMO</x:v>
      </x:c>
      <x:c r="B490" s="10" t="n">
        <x:v>1</x:v>
      </x:c>
      <x:c r="C490" s="10" t="str">
        <x:v>actividad</x:v>
      </x:c>
      <x:c r="D490" s="10" t="n">
        <x:f>'01_Indicadores'!$H$7</x:f>
        <x:v>50</x:v>
      </x:c>
      <x:c r="E490" s="10" t="n">
        <x:f>0+0</x:f>
        <x:v>0</x:v>
      </x:c>
      <x:c r="F490" s="10" t="n">
        <x:f>-'00_Arquitectura'!$B$97*('01_Indicadores'!$H$7-50)+'00_Arquitectura'!$B$98*('01_Indicadores'!$H$9-45)+'00_Arquitectura'!$B$99*('01_Indicadores'!$H$12-45)+'00_Arquitectura'!$B$100*('01_Indicadores'!$H$11-45)</x:f>
        <x:v>0</x:v>
      </x:c>
      <x:c r="G490" s="10" t="n">
        <x:f>MAX(-'00_Arquitectura'!$B$106,MIN('00_Arquitectura'!$B$106,E490+F490))</x:f>
        <x:v>0</x:v>
      </x:c>
      <x:c r="H490" s="10" t="n">
        <x:f>MAX(0,MIN(100,D490+G490))</x:f>
        <x:v>50</x:v>
      </x:c>
      <x:c r="I490" s="10" t="n">
        <x:f>0</x:f>
        <x:v>0</x:v>
      </x:c>
      <x:c r="J490" s="10" t="n">
        <x:f>MAX(-'00_Arquitectura'!$B$107,MIN('00_Arquitectura'!$B$107,0))</x:f>
        <x:v>0</x:v>
      </x:c>
      <x:c r="K490" s="10" t="n">
        <x:f>MAX(0,MIN(100,H490+I490+J490))</x:f>
        <x:v>50</x:v>
      </x:c>
      <x:c r="L490" s="10" t="str">
        <x:v>Aplica link L02. Pulsos y offsets: filtrar Instancias por escenario, turno y targetId. Base separada del nivel visible.</x:v>
      </x:c>
    </x:row>
    <x:row r="491" ht="42" customHeight="1">
      <x:c r="A491" s="5" t="str">
        <x:v>S4_PRESTAMO</x:v>
      </x:c>
      <x:c r="B491" s="5" t="n">
        <x:v>1</x:v>
      </x:c>
      <x:c r="C491" s="5" t="str">
        <x:v>ingreso_real</x:v>
      </x:c>
      <x:c r="D491" s="5" t="n">
        <x:f>'01_Indicadores'!$H$8</x:f>
        <x:v>45</x:v>
      </x:c>
      <x:c r="E491" s="5" t="n">
        <x:f>0+0</x:f>
        <x:v>0</x:v>
      </x:c>
      <x:c r="F491" s="5" t="n">
        <x:f>'00_Arquitectura'!$B$101*('01_Indicadores'!$H$7-'01_Indicadores'!$H$7)+'00_Arquitectura'!$B$102*('01_Indicadores'!$H$6-'01_Indicadores'!$H$6)</x:f>
        <x:v>0</x:v>
      </x:c>
      <x:c r="G491" s="5" t="n">
        <x:f>MAX(-'00_Arquitectura'!$B$106,MIN('00_Arquitectura'!$B$106,E491+F491))</x:f>
        <x:v>0</x:v>
      </x:c>
      <x:c r="H491" s="5" t="n">
        <x:f>MAX(0,MIN(100,D491+G491))</x:f>
        <x:v>45</x:v>
      </x:c>
      <x:c r="I491" s="5" t="n">
        <x:f>0</x:f>
        <x:v>0</x:v>
      </x:c>
      <x:c r="J491" s="5" t="n">
        <x:f>MAX(-'00_Arquitectura'!$B$107,MIN('00_Arquitectura'!$B$107,0))</x:f>
        <x:v>0</x:v>
      </x:c>
      <x:c r="K491" s="5" t="n">
        <x:f>MAX(0,MIN(100,H491+I491+J491))</x:f>
        <x:v>45</x:v>
      </x:c>
      <x:c r="L491" s="5" t="str">
        <x:v>Aplica link L03. Pulsos y offsets: filtrar Instancias por escenario, turno y targetId. Base separada del nivel visible.</x:v>
      </x:c>
    </x:row>
    <x:row r="492" ht="42" customHeight="1">
      <x:c r="A492" s="10" t="str">
        <x:v>S4_PRESTAMO</x:v>
      </x:c>
      <x:c r="B492" s="10" t="n">
        <x:v>1</x:v>
      </x:c>
      <x:c r="C492" s="10" t="str">
        <x:v>credito</x:v>
      </x:c>
      <x:c r="D492" s="10" t="n">
        <x:f>'01_Indicadores'!$H$9</x:f>
        <x:v>45</x:v>
      </x:c>
      <x:c r="E492" s="10" t="n">
        <x:f>0+0</x:f>
        <x:v>0</x:v>
      </x:c>
      <x:c r="F492" s="10" t="n">
        <x:f>-'00_Arquitectura'!$B$103*('01_Indicadores'!$H$9-45)+'00_Arquitectura'!$B$104*('01_Indicadores'!$H$6-'01_Indicadores'!$H$6)+'00_Arquitectura'!$B$105*('01_Indicadores'!$H$10-'00_Arquitectura'!$B$117)</x:f>
        <x:v>0</x:v>
      </x:c>
      <x:c r="G492" s="10" t="n">
        <x:f>MAX(-'00_Arquitectura'!$B$106,MIN('00_Arquitectura'!$B$106,E492+F492))</x:f>
        <x:v>0</x:v>
      </x:c>
      <x:c r="H492" s="10" t="n">
        <x:f>MAX(0,MIN(100,D492+G492))</x:f>
        <x:v>45</x:v>
      </x:c>
      <x:c r="I492" s="10" t="n">
        <x:f>0</x:f>
        <x:v>0</x:v>
      </x:c>
      <x:c r="J492" s="10" t="n">
        <x:f>MAX(-'00_Arquitectura'!$B$107,MIN('00_Arquitectura'!$B$107,0))</x:f>
        <x:v>0</x:v>
      </x:c>
      <x:c r="K492" s="10" t="n">
        <x:f>MAX(0,MIN(100,H492+I492+J492))</x:f>
        <x:v>45</x:v>
      </x:c>
      <x:c r="L492" s="10" t="str">
        <x:v>Aplica link L04. Pulsos y offsets: filtrar Instancias por escenario, turno y targetId. Base separada del nivel visible.</x:v>
      </x:c>
    </x:row>
    <x:row r="493" ht="34" customHeight="1">
      <x:c r="A493" s="5" t="str">
        <x:v>S4_PRESTAMO</x:v>
      </x:c>
      <x:c r="B493" s="5" t="n">
        <x:v>1</x:v>
      </x:c>
      <x:c r="C493" s="5" t="str">
        <x:v>fiscal</x:v>
      </x:c>
      <x:c r="D493" s="5" t="n">
        <x:f>'01_Indicadores'!$H$10</x:f>
        <x:v>58</x:v>
      </x:c>
      <x:c r="E493" s="5" t="n">
        <x:f>0+0</x:f>
        <x:v>0</x:v>
      </x:c>
      <x:c r="F493" s="5" t="n">
        <x:f>0</x:f>
        <x:v>0</x:v>
      </x:c>
      <x:c r="G493" s="5" t="n">
        <x:f>MAX(-'00_Arquitectura'!$B$106,MIN('00_Arquitectura'!$B$106,E493+F493))</x:f>
        <x:v>0</x:v>
      </x:c>
      <x:c r="H493" s="5" t="n">
        <x:f>$O$45</x:f>
        <x:v>58</x:v>
      </x:c>
      <x:c r="I493" s="5" t="n">
        <x:f>0</x:f>
        <x:v>0</x:v>
      </x:c>
      <x:c r="J493" s="5" t="n">
        <x:f>MAX(-'00_Arquitectura'!$B$107,MIN('00_Arquitectura'!$B$107,0))</x:f>
        <x:v>0</x:v>
      </x:c>
      <x:c r="K493" s="5" t="n">
        <x:f>MAX(0,MIN(100,H493+I493+J493))</x:f>
        <x:v>58</x:v>
      </x:c>
      <x:c r="L493" s="5" t="str">
        <x:v>Derivado de caja: ingreso recurrente, gasto, intereses y deuda. Nunca SUM de efectos fiscales directos.</x:v>
      </x:c>
    </x:row>
    <x:row r="494" ht="34" customHeight="1">
      <x:c r="A494" s="10" t="str">
        <x:v>S4_PRESTAMO</x:v>
      </x:c>
      <x:c r="B494" s="10" t="n">
        <x:v>1</x:v>
      </x:c>
      <x:c r="C494" s="10" t="str">
        <x:v>externo</x:v>
      </x:c>
      <x:c r="D494" s="10" t="n">
        <x:f>'01_Indicadores'!$H$11</x:f>
        <x:v>45</x:v>
      </x:c>
      <x:c r="E494" s="10" t="n">
        <x:f>0+0</x:f>
        <x:v>0</x:v>
      </x:c>
      <x:c r="F494" s="10" t="n">
        <x:f>0</x:f>
        <x:v>0</x:v>
      </x:c>
      <x:c r="G494" s="10" t="n">
        <x:f>MAX(-'00_Arquitectura'!$B$106,MIN('00_Arquitectura'!$B$106,E494+F494))</x:f>
        <x:v>0</x:v>
      </x:c>
      <x:c r="H494" s="10" t="n">
        <x:f>MAX(0,MIN(100,D494+G494))</x:f>
        <x:v>45</x:v>
      </x:c>
      <x:c r="I494" s="10" t="n">
        <x:f>0</x:f>
        <x:v>0</x:v>
      </x:c>
      <x:c r="J494" s="10" t="n">
        <x:f>MAX(-'00_Arquitectura'!$B$107,MIN('00_Arquitectura'!$B$107,0))</x:f>
        <x:v>0</x:v>
      </x:c>
      <x:c r="K494" s="10" t="n">
        <x:f>MAX(0,MIN(100,H494+I494+J494))</x:f>
        <x:v>45</x:v>
      </x:c>
      <x:c r="L494" s="10" t="str">
        <x:v>Pulsos y offsets: filtrar Instancias por escenario, turno y targetId. Base separada del nivel visible.</x:v>
      </x:c>
    </x:row>
    <x:row r="495" ht="34" customHeight="1">
      <x:c r="A495" s="5" t="str">
        <x:v>S4_PRESTAMO</x:v>
      </x:c>
      <x:c r="B495" s="5" t="n">
        <x:v>1</x:v>
      </x:c>
      <x:c r="C495" s="5" t="str">
        <x:v>infraestructura</x:v>
      </x:c>
      <x:c r="D495" s="5" t="n">
        <x:f>'01_Indicadores'!$H$12</x:f>
        <x:v>45</x:v>
      </x:c>
      <x:c r="E495" s="5" t="n">
        <x:f>0+0</x:f>
        <x:v>0</x:v>
      </x:c>
      <x:c r="F495" s="5" t="n">
        <x:f>0</x:f>
        <x:v>0</x:v>
      </x:c>
      <x:c r="G495" s="5" t="n">
        <x:f>MAX(-'00_Arquitectura'!$B$106,MIN('00_Arquitectura'!$B$106,E495+F495))</x:f>
        <x:v>0</x:v>
      </x:c>
      <x:c r="H495" s="5" t="n">
        <x:f>MAX(0,MIN(100,D495+G495))</x:f>
        <x:v>45</x:v>
      </x:c>
      <x:c r="I495" s="5" t="n">
        <x:f>0</x:f>
        <x:v>0</x:v>
      </x:c>
      <x:c r="J495" s="5" t="n">
        <x:f>MAX(-'00_Arquitectura'!$B$107,MIN('00_Arquitectura'!$B$107,0))</x:f>
        <x:v>0</x:v>
      </x:c>
      <x:c r="K495" s="5" t="n">
        <x:f>MAX(0,MIN(100,H495+I495+J495))</x:f>
        <x:v>45</x:v>
      </x:c>
      <x:c r="L495" s="5" t="str">
        <x:v>Pulsos y offsets: filtrar Instancias por escenario, turno y targetId. Base separada del nivel visible.</x:v>
      </x:c>
    </x:row>
    <x:row r="496" ht="34" customHeight="1">
      <x:c r="A496" s="10" t="str">
        <x:v>S4_PRESTAMO</x:v>
      </x:c>
      <x:c r="B496" s="10" t="n">
        <x:v>1</x:v>
      </x:c>
      <x:c r="C496" s="10" t="str">
        <x:v>educacion</x:v>
      </x:c>
      <x:c r="D496" s="10" t="n">
        <x:f>'01_Indicadores'!$H$13</x:f>
        <x:v>50</x:v>
      </x:c>
      <x:c r="E496" s="10" t="n">
        <x:f>0+0</x:f>
        <x:v>0</x:v>
      </x:c>
      <x:c r="F496" s="10" t="n">
        <x:f>0</x:f>
        <x:v>0</x:v>
      </x:c>
      <x:c r="G496" s="10" t="n">
        <x:f>MAX(-'00_Arquitectura'!$B$106,MIN('00_Arquitectura'!$B$106,E496+F496))</x:f>
        <x:v>0</x:v>
      </x:c>
      <x:c r="H496" s="10" t="n">
        <x:f>MAX(0,MIN(100,D496+G496))</x:f>
        <x:v>50</x:v>
      </x:c>
      <x:c r="I496" s="10" t="n">
        <x:f>0</x:f>
        <x:v>0</x:v>
      </x:c>
      <x:c r="J496" s="10" t="n">
        <x:f>MAX(-'00_Arquitectura'!$B$107,MIN('00_Arquitectura'!$B$107,0))</x:f>
        <x:v>0</x:v>
      </x:c>
      <x:c r="K496" s="10" t="n">
        <x:f>MAX(0,MIN(100,H496+I496+J496))</x:f>
        <x:v>50</x:v>
      </x:c>
      <x:c r="L496" s="10" t="str">
        <x:v>Pulsos y offsets: filtrar Instancias por escenario, turno y targetId. Base separada del nivel visible.</x:v>
      </x:c>
    </x:row>
    <x:row r="497" ht="34" customHeight="1">
      <x:c r="A497" s="5" t="str">
        <x:v>S4_PRESTAMO</x:v>
      </x:c>
      <x:c r="B497" s="5" t="n">
        <x:v>1</x:v>
      </x:c>
      <x:c r="C497" s="5" t="str">
        <x:v>salud</x:v>
      </x:c>
      <x:c r="D497" s="5" t="n">
        <x:f>'01_Indicadores'!$H$14</x:f>
        <x:v>50</x:v>
      </x:c>
      <x:c r="E497" s="5" t="n">
        <x:f>0+0</x:f>
        <x:v>0</x:v>
      </x:c>
      <x:c r="F497" s="5" t="n">
        <x:f>0</x:f>
        <x:v>0</x:v>
      </x:c>
      <x:c r="G497" s="5" t="n">
        <x:f>MAX(-'00_Arquitectura'!$B$106,MIN('00_Arquitectura'!$B$106,E497+F497))</x:f>
        <x:v>0</x:v>
      </x:c>
      <x:c r="H497" s="5" t="n">
        <x:f>MAX(0,MIN(100,D497+G497))</x:f>
        <x:v>50</x:v>
      </x:c>
      <x:c r="I497" s="5" t="n">
        <x:f>0</x:f>
        <x:v>0</x:v>
      </x:c>
      <x:c r="J497" s="5" t="n">
        <x:f>MAX(-'00_Arquitectura'!$B$107,MIN('00_Arquitectura'!$B$107,0))</x:f>
        <x:v>0</x:v>
      </x:c>
      <x:c r="K497" s="5" t="n">
        <x:f>MAX(0,MIN(100,H497+I497+J497))</x:f>
        <x:v>50</x:v>
      </x:c>
      <x:c r="L497" s="5" t="str">
        <x:v>Pulsos y offsets: filtrar Instancias por escenario, turno y targetId. Base separada del nivel visible.</x:v>
      </x:c>
    </x:row>
    <x:row r="498" ht="34" customHeight="1">
      <x:c r="A498" s="10" t="str">
        <x:v>S4_PRESTAMO</x:v>
      </x:c>
      <x:c r="B498" s="10" t="n">
        <x:v>1</x:v>
      </x:c>
      <x:c r="C498" s="10" t="str">
        <x:v>proteccion</x:v>
      </x:c>
      <x:c r="D498" s="10" t="n">
        <x:f>'01_Indicadores'!$H$15</x:f>
        <x:v>45</x:v>
      </x:c>
      <x:c r="E498" s="10" t="n">
        <x:f>0+0</x:f>
        <x:v>0</x:v>
      </x:c>
      <x:c r="F498" s="10" t="n">
        <x:f>0</x:f>
        <x:v>0</x:v>
      </x:c>
      <x:c r="G498" s="10" t="n">
        <x:f>MAX(-'00_Arquitectura'!$B$106,MIN('00_Arquitectura'!$B$106,E498+F498))</x:f>
        <x:v>0</x:v>
      </x:c>
      <x:c r="H498" s="10" t="n">
        <x:f>MAX(0,MIN(100,D498+G498))</x:f>
        <x:v>45</x:v>
      </x:c>
      <x:c r="I498" s="10" t="n">
        <x:f>0</x:f>
        <x:v>0</x:v>
      </x:c>
      <x:c r="J498" s="10" t="n">
        <x:f>MAX(-'00_Arquitectura'!$B$107,MIN('00_Arquitectura'!$B$107,0))</x:f>
        <x:v>0</x:v>
      </x:c>
      <x:c r="K498" s="10" t="n">
        <x:f>MAX(0,MIN(100,H498+I498+J498))</x:f>
        <x:v>45</x:v>
      </x:c>
      <x:c r="L498" s="10" t="str">
        <x:v>Pulsos y offsets: filtrar Instancias por escenario, turno y targetId. Base separada del nivel visible.</x:v>
      </x:c>
    </x:row>
    <x:row r="499" ht="34" customHeight="1">
      <x:c r="A499" s="5" t="str">
        <x:v>S4_PRESTAMO</x:v>
      </x:c>
      <x:c r="B499" s="5" t="n">
        <x:v>1</x:v>
      </x:c>
      <x:c r="C499" s="5" t="str">
        <x:v>seguridad</x:v>
      </x:c>
      <x:c r="D499" s="5" t="n">
        <x:f>'01_Indicadores'!$H$16</x:f>
        <x:v>45</x:v>
      </x:c>
      <x:c r="E499" s="5" t="n">
        <x:f>0+0</x:f>
        <x:v>0</x:v>
      </x:c>
      <x:c r="F499" s="5" t="n">
        <x:f>0</x:f>
        <x:v>0</x:v>
      </x:c>
      <x:c r="G499" s="5" t="n">
        <x:f>MAX(-'00_Arquitectura'!$B$106,MIN('00_Arquitectura'!$B$106,E499+F499))</x:f>
        <x:v>0</x:v>
      </x:c>
      <x:c r="H499" s="5" t="n">
        <x:f>MAX(0,MIN(100,D499+G499))</x:f>
        <x:v>45</x:v>
      </x:c>
      <x:c r="I499" s="5" t="n">
        <x:f>0</x:f>
        <x:v>0</x:v>
      </x:c>
      <x:c r="J499" s="5" t="n">
        <x:f>MAX(-'00_Arquitectura'!$B$107,MIN('00_Arquitectura'!$B$107,0))</x:f>
        <x:v>0</x:v>
      </x:c>
      <x:c r="K499" s="5" t="n">
        <x:f>MAX(0,MIN(100,H499+I499+J499))</x:f>
        <x:v>45</x:v>
      </x:c>
      <x:c r="L499" s="5" t="str">
        <x:v>Pulsos y offsets: filtrar Instancias por escenario, turno y targetId. Base separada del nivel visible.</x:v>
      </x:c>
    </x:row>
    <x:row r="500" ht="34" customHeight="1">
      <x:c r="A500" s="10" t="str">
        <x:v>S4_PRESTAMO</x:v>
      </x:c>
      <x:c r="B500" s="10" t="n">
        <x:v>1</x:v>
      </x:c>
      <x:c r="C500" s="10" t="str">
        <x:v>ciencia</x:v>
      </x:c>
      <x:c r="D500" s="10" t="n">
        <x:f>'01_Indicadores'!$H$17</x:f>
        <x:v>40</x:v>
      </x:c>
      <x:c r="E500" s="10" t="n">
        <x:f>0+0</x:f>
        <x:v>0</x:v>
      </x:c>
      <x:c r="F500" s="10" t="n">
        <x:f>0</x:f>
        <x:v>0</x:v>
      </x:c>
      <x:c r="G500" s="10" t="n">
        <x:f>MAX(-'00_Arquitectura'!$B$106,MIN('00_Arquitectura'!$B$106,E500+F500))</x:f>
        <x:v>0</x:v>
      </x:c>
      <x:c r="H500" s="10" t="n">
        <x:f>MAX(0,MIN(100,D500+G500))</x:f>
        <x:v>40</x:v>
      </x:c>
      <x:c r="I500" s="10" t="n">
        <x:f>0</x:f>
        <x:v>0</x:v>
      </x:c>
      <x:c r="J500" s="10" t="n">
        <x:f>MAX(-'00_Arquitectura'!$B$107,MIN('00_Arquitectura'!$B$107,0))</x:f>
        <x:v>0</x:v>
      </x:c>
      <x:c r="K500" s="10" t="n">
        <x:f>MAX(0,MIN(100,H500+I500+J500))</x:f>
        <x:v>40</x:v>
      </x:c>
      <x:c r="L500" s="10" t="str">
        <x:v>Pulsos y offsets: filtrar Instancias por escenario, turno y targetId. Base separada del nivel visible.</x:v>
      </x:c>
    </x:row>
    <x:row r="501" ht="34" customHeight="1">
      <x:c r="A501" s="5" t="str">
        <x:v>S4_PRESTAMO</x:v>
      </x:c>
      <x:c r="B501" s="5" t="n">
        <x:v>1</x:v>
      </x:c>
      <x:c r="C501" s="5" t="str">
        <x:v>derechos</x:v>
      </x:c>
      <x:c r="D501" s="5" t="n">
        <x:f>'01_Indicadores'!$H$18</x:f>
        <x:v>55</x:v>
      </x:c>
      <x:c r="E501" s="5" t="n">
        <x:f>0+0</x:f>
        <x:v>0</x:v>
      </x:c>
      <x:c r="F501" s="5" t="n">
        <x:f>0</x:f>
        <x:v>0</x:v>
      </x:c>
      <x:c r="G501" s="5" t="n">
        <x:f>MAX(-'00_Arquitectura'!$B$106,MIN('00_Arquitectura'!$B$106,E501+F501))</x:f>
        <x:v>0</x:v>
      </x:c>
      <x:c r="H501" s="5" t="n">
        <x:f>MAX(0,MIN(100,D501+G501))</x:f>
        <x:v>55</x:v>
      </x:c>
      <x:c r="I501" s="5" t="n">
        <x:f>0</x:f>
        <x:v>0</x:v>
      </x:c>
      <x:c r="J501" s="5" t="n">
        <x:f>MAX(-'00_Arquitectura'!$B$107,MIN('00_Arquitectura'!$B$107,0))</x:f>
        <x:v>0</x:v>
      </x:c>
      <x:c r="K501" s="5" t="n">
        <x:f>MAX(0,MIN(100,H501+I501+J501))</x:f>
        <x:v>55</x:v>
      </x:c>
      <x:c r="L501" s="5" t="str">
        <x:v>Pulsos y offsets: filtrar Instancias por escenario, turno y targetId. Base separada del nivel visible.</x:v>
      </x:c>
    </x:row>
    <x:row r="502" ht="34" customHeight="1">
      <x:c r="A502" s="10" t="str">
        <x:v>S4_PRESTAMO</x:v>
      </x:c>
      <x:c r="B502" s="10" t="n">
        <x:v>1</x:v>
      </x:c>
      <x:c r="C502" s="10" t="str">
        <x:v>ambiente</x:v>
      </x:c>
      <x:c r="D502" s="10" t="n">
        <x:f>'01_Indicadores'!$H$19</x:f>
        <x:v>50</x:v>
      </x:c>
      <x:c r="E502" s="10" t="n">
        <x:f>0+0</x:f>
        <x:v>0</x:v>
      </x:c>
      <x:c r="F502" s="10" t="n">
        <x:f>0</x:f>
        <x:v>0</x:v>
      </x:c>
      <x:c r="G502" s="10" t="n">
        <x:f>MAX(-'00_Arquitectura'!$B$106,MIN('00_Arquitectura'!$B$106,E502+F502))</x:f>
        <x:v>0</x:v>
      </x:c>
      <x:c r="H502" s="10" t="n">
        <x:f>MAX(0,MIN(100,D502+G502))</x:f>
        <x:v>50</x:v>
      </x:c>
      <x:c r="I502" s="10" t="n">
        <x:f>0</x:f>
        <x:v>0</x:v>
      </x:c>
      <x:c r="J502" s="10" t="n">
        <x:f>MAX(-'00_Arquitectura'!$B$107,MIN('00_Arquitectura'!$B$107,0))</x:f>
        <x:v>0</x:v>
      </x:c>
      <x:c r="K502" s="10" t="n">
        <x:f>MAX(0,MIN(100,H502+I502+J502))</x:f>
        <x:v>50</x:v>
      </x:c>
      <x:c r="L502" s="10" t="str">
        <x:v>Pulsos y offsets: filtrar Instancias por escenario, turno y targetId. Base separada del nivel visible.</x:v>
      </x:c>
    </x:row>
    <x:row r="503" ht="42" customHeight="1">
      <x:c r="A503" s="5" t="str">
        <x:v>S4_PRESTAMO</x:v>
      </x:c>
      <x:c r="B503" s="5" t="n">
        <x:v>2</x:v>
      </x:c>
      <x:c r="C503" s="5" t="str">
        <x:v>inflacion</x:v>
      </x:c>
      <x:c r="D503" s="5" t="n">
        <x:f>$H$489</x:f>
        <x:v>40</x:v>
      </x:c>
      <x:c r="E503" s="5" t="n">
        <x:f>0+0</x:f>
        <x:v>0</x:v>
      </x:c>
      <x:c r="F503" s="5" t="n">
        <x:f>-'00_Arquitectura'!$B$96*($H$489-40)</x:f>
        <x:v>0</x:v>
      </x:c>
      <x:c r="G503" s="5" t="n">
        <x:f>MAX(-'00_Arquitectura'!$B$106,MIN('00_Arquitectura'!$B$106,E503+F503))</x:f>
        <x:v>0</x:v>
      </x:c>
      <x:c r="H503" s="5" t="n">
        <x:f>MAX(0,MIN(100,D503+G503))</x:f>
        <x:v>40</x:v>
      </x:c>
      <x:c r="I503" s="5" t="n">
        <x:f>0</x:f>
        <x:v>0</x:v>
      </x:c>
      <x:c r="J503" s="5" t="n">
        <x:f>MAX(-'00_Arquitectura'!$B$107,MIN('00_Arquitectura'!$B$107,0))</x:f>
        <x:v>0</x:v>
      </x:c>
      <x:c r="K503" s="5" t="n">
        <x:f>MAX(0,MIN(100,H503+I503+J503))</x:f>
        <x:v>40</x:v>
      </x:c>
      <x:c r="L503" s="5" t="str">
        <x:v>Aplica link L01. Pulsos y offsets: filtrar Instancias por escenario, turno y targetId. Base separada del nivel visible.</x:v>
      </x:c>
    </x:row>
    <x:row r="504" ht="42" customHeight="1">
      <x:c r="A504" s="10" t="str">
        <x:v>S4_PRESTAMO</x:v>
      </x:c>
      <x:c r="B504" s="10" t="n">
        <x:v>2</x:v>
      </x:c>
      <x:c r="C504" s="10" t="str">
        <x:v>actividad</x:v>
      </x:c>
      <x:c r="D504" s="10" t="n">
        <x:f>$H$490</x:f>
        <x:v>50</x:v>
      </x:c>
      <x:c r="E504" s="10" t="n">
        <x:f>0+0</x:f>
        <x:v>0</x:v>
      </x:c>
      <x:c r="F504" s="10" t="n">
        <x:f>-'00_Arquitectura'!$B$97*($H$490-50)+'00_Arquitectura'!$B$98*($K$492-45)+'00_Arquitectura'!$B$99*($K$495-45)+'00_Arquitectura'!$B$100*($K$494-45)</x:f>
        <x:v>0</x:v>
      </x:c>
      <x:c r="G504" s="10" t="n">
        <x:f>MAX(-'00_Arquitectura'!$B$106,MIN('00_Arquitectura'!$B$106,E504+F504))</x:f>
        <x:v>0</x:v>
      </x:c>
      <x:c r="H504" s="10" t="n">
        <x:f>MAX(0,MIN(100,D504+G504))</x:f>
        <x:v>50</x:v>
      </x:c>
      <x:c r="I504" s="10" t="n">
        <x:f>0</x:f>
        <x:v>0</x:v>
      </x:c>
      <x:c r="J504" s="10" t="n">
        <x:f>MAX(-'00_Arquitectura'!$B$107,MIN('00_Arquitectura'!$B$107,$J$1313+$J$1316+$J$1317))</x:f>
        <x:v>0</x:v>
      </x:c>
      <x:c r="K504" s="10" t="n">
        <x:f>MAX(0,MIN(100,H504+I504+J504))</x:f>
        <x:v>50</x:v>
      </x:c>
      <x:c r="L504" s="10" t="str">
        <x:v>Aplica link L02. Pulsos y offsets: filtrar Instancias por escenario, turno y targetId. Base separada del nivel visible.</x:v>
      </x:c>
    </x:row>
    <x:row r="505" ht="42" customHeight="1">
      <x:c r="A505" s="5" t="str">
        <x:v>S4_PRESTAMO</x:v>
      </x:c>
      <x:c r="B505" s="5" t="n">
        <x:v>2</x:v>
      </x:c>
      <x:c r="C505" s="5" t="str">
        <x:v>ingreso_real</x:v>
      </x:c>
      <x:c r="D505" s="5" t="n">
        <x:f>$H$491</x:f>
        <x:v>45</x:v>
      </x:c>
      <x:c r="E505" s="5" t="n">
        <x:f>0+0</x:f>
        <x:v>0</x:v>
      </x:c>
      <x:c r="F505" s="5" t="n">
        <x:f>'00_Arquitectura'!$B$101*($K$490-'01_Indicadores'!$H$7)+'00_Arquitectura'!$B$102*($K$489-'01_Indicadores'!$H$6)</x:f>
        <x:v>0</x:v>
      </x:c>
      <x:c r="G505" s="5" t="n">
        <x:f>MAX(-'00_Arquitectura'!$B$106,MIN('00_Arquitectura'!$B$106,E505+F505))</x:f>
        <x:v>0</x:v>
      </x:c>
      <x:c r="H505" s="5" t="n">
        <x:f>MAX(0,MIN(100,D505+G505))</x:f>
        <x:v>45</x:v>
      </x:c>
      <x:c r="I505" s="5" t="n">
        <x:f>0</x:f>
        <x:v>0</x:v>
      </x:c>
      <x:c r="J505" s="5" t="n">
        <x:f>MAX(-'00_Arquitectura'!$B$107,MIN('00_Arquitectura'!$B$107,0))</x:f>
        <x:v>0</x:v>
      </x:c>
      <x:c r="K505" s="5" t="n">
        <x:f>MAX(0,MIN(100,H505+I505+J505))</x:f>
        <x:v>45</x:v>
      </x:c>
      <x:c r="L505" s="5" t="str">
        <x:v>Aplica link L03. Pulsos y offsets: filtrar Instancias por escenario, turno y targetId. Base separada del nivel visible.</x:v>
      </x:c>
    </x:row>
    <x:row r="506" ht="42" customHeight="1">
      <x:c r="A506" s="10" t="str">
        <x:v>S4_PRESTAMO</x:v>
      </x:c>
      <x:c r="B506" s="10" t="n">
        <x:v>2</x:v>
      </x:c>
      <x:c r="C506" s="10" t="str">
        <x:v>credito</x:v>
      </x:c>
      <x:c r="D506" s="10" t="n">
        <x:f>$H$492</x:f>
        <x:v>45</x:v>
      </x:c>
      <x:c r="E506" s="10" t="n">
        <x:f>0+0</x:f>
        <x:v>0</x:v>
      </x:c>
      <x:c r="F506" s="10" t="n">
        <x:f>-'00_Arquitectura'!$B$103*($H$492-45)+'00_Arquitectura'!$B$104*($K$489-'01_Indicadores'!$H$6)+'00_Arquitectura'!$B$105*($K$493-'00_Arquitectura'!$B$117)</x:f>
        <x:v>0</x:v>
      </x:c>
      <x:c r="G506" s="10" t="n">
        <x:f>MAX(-'00_Arquitectura'!$B$106,MIN('00_Arquitectura'!$B$106,E506+F506))</x:f>
        <x:v>0</x:v>
      </x:c>
      <x:c r="H506" s="10" t="n">
        <x:f>MAX(0,MIN(100,D506+G506))</x:f>
        <x:v>45</x:v>
      </x:c>
      <x:c r="I506" s="10" t="n">
        <x:f>0</x:f>
        <x:v>0</x:v>
      </x:c>
      <x:c r="J506" s="10" t="n">
        <x:f>MAX(-'00_Arquitectura'!$B$107,MIN('00_Arquitectura'!$B$107,$J$1315))</x:f>
        <x:v>0</x:v>
      </x:c>
      <x:c r="K506" s="10" t="n">
        <x:f>MAX(0,MIN(100,H506+I506+J506))</x:f>
        <x:v>45</x:v>
      </x:c>
      <x:c r="L506" s="10" t="str">
        <x:v>Aplica link L04. Pulsos y offsets: filtrar Instancias por escenario, turno y targetId. Base separada del nivel visible.</x:v>
      </x:c>
    </x:row>
    <x:row r="507" ht="34" customHeight="1">
      <x:c r="A507" s="5" t="str">
        <x:v>S4_PRESTAMO</x:v>
      </x:c>
      <x:c r="B507" s="5" t="n">
        <x:v>2</x:v>
      </x:c>
      <x:c r="C507" s="5" t="str">
        <x:v>fiscal</x:v>
      </x:c>
      <x:c r="D507" s="5" t="n">
        <x:f>$H$493</x:f>
        <x:v>58</x:v>
      </x:c>
      <x:c r="E507" s="5" t="n">
        <x:f>0+0</x:f>
        <x:v>0</x:v>
      </x:c>
      <x:c r="F507" s="5" t="n">
        <x:f>0</x:f>
        <x:v>0</x:v>
      </x:c>
      <x:c r="G507" s="5" t="n">
        <x:f>MAX(-'00_Arquitectura'!$B$106,MIN('00_Arquitectura'!$B$106,E507+F507))</x:f>
        <x:v>0</x:v>
      </x:c>
      <x:c r="H507" s="5" t="n">
        <x:f>$O$46</x:f>
        <x:v>50</x:v>
      </x:c>
      <x:c r="I507" s="5" t="n">
        <x:f>0</x:f>
        <x:v>0</x:v>
      </x:c>
      <x:c r="J507" s="5" t="n">
        <x:f>MAX(-'00_Arquitectura'!$B$107,MIN('00_Arquitectura'!$B$107,0))</x:f>
        <x:v>0</x:v>
      </x:c>
      <x:c r="K507" s="5" t="n">
        <x:f>MAX(0,MIN(100,H507+I507+J507))</x:f>
        <x:v>50</x:v>
      </x:c>
      <x:c r="L507" s="5" t="str">
        <x:v>Derivado de caja: ingreso recurrente, gasto, intereses y deuda. Nunca SUM de efectos fiscales directos.</x:v>
      </x:c>
    </x:row>
    <x:row r="508" ht="34" customHeight="1">
      <x:c r="A508" s="10" t="str">
        <x:v>S4_PRESTAMO</x:v>
      </x:c>
      <x:c r="B508" s="10" t="n">
        <x:v>2</x:v>
      </x:c>
      <x:c r="C508" s="10" t="str">
        <x:v>externo</x:v>
      </x:c>
      <x:c r="D508" s="10" t="n">
        <x:f>$H$494</x:f>
        <x:v>45</x:v>
      </x:c>
      <x:c r="E508" s="10" t="n">
        <x:f>0+0</x:f>
        <x:v>0</x:v>
      </x:c>
      <x:c r="F508" s="10" t="n">
        <x:f>0</x:f>
        <x:v>0</x:v>
      </x:c>
      <x:c r="G508" s="10" t="n">
        <x:f>MAX(-'00_Arquitectura'!$B$106,MIN('00_Arquitectura'!$B$106,E508+F508))</x:f>
        <x:v>0</x:v>
      </x:c>
      <x:c r="H508" s="10" t="n">
        <x:f>MAX(0,MIN(100,D508+G508))</x:f>
        <x:v>45</x:v>
      </x:c>
      <x:c r="I508" s="10" t="n">
        <x:f>0</x:f>
        <x:v>0</x:v>
      </x:c>
      <x:c r="J508" s="10" t="n">
        <x:f>MAX(-'00_Arquitectura'!$B$107,MIN('00_Arquitectura'!$B$107,$J$1314))</x:f>
        <x:v>0</x:v>
      </x:c>
      <x:c r="K508" s="10" t="n">
        <x:f>MAX(0,MIN(100,H508+I508+J508))</x:f>
        <x:v>45</x:v>
      </x:c>
      <x:c r="L508" s="10" t="str">
        <x:v>Pulsos y offsets: filtrar Instancias por escenario, turno y targetId. Base separada del nivel visible.</x:v>
      </x:c>
    </x:row>
    <x:row r="509" ht="34" customHeight="1">
      <x:c r="A509" s="5" t="str">
        <x:v>S4_PRESTAMO</x:v>
      </x:c>
      <x:c r="B509" s="5" t="n">
        <x:v>2</x:v>
      </x:c>
      <x:c r="C509" s="5" t="str">
        <x:v>infraestructura</x:v>
      </x:c>
      <x:c r="D509" s="5" t="n">
        <x:f>$H$495</x:f>
        <x:v>45</x:v>
      </x:c>
      <x:c r="E509" s="5" t="n">
        <x:f>0+0</x:f>
        <x:v>0</x:v>
      </x:c>
      <x:c r="F509" s="5" t="n">
        <x:f>0</x:f>
        <x:v>0</x:v>
      </x:c>
      <x:c r="G509" s="5" t="n">
        <x:f>MAX(-'00_Arquitectura'!$B$106,MIN('00_Arquitectura'!$B$106,E509+F509))</x:f>
        <x:v>0</x:v>
      </x:c>
      <x:c r="H509" s="5" t="n">
        <x:f>MAX(0,MIN(100,D509+G509))</x:f>
        <x:v>45</x:v>
      </x:c>
      <x:c r="I509" s="5" t="n">
        <x:f>0</x:f>
        <x:v>0</x:v>
      </x:c>
      <x:c r="J509" s="5" t="n">
        <x:f>MAX(-'00_Arquitectura'!$B$107,MIN('00_Arquitectura'!$B$107,0))</x:f>
        <x:v>0</x:v>
      </x:c>
      <x:c r="K509" s="5" t="n">
        <x:f>MAX(0,MIN(100,H509+I509+J509))</x:f>
        <x:v>45</x:v>
      </x:c>
      <x:c r="L509" s="5" t="str">
        <x:v>Pulsos y offsets: filtrar Instancias por escenario, turno y targetId. Base separada del nivel visible.</x:v>
      </x:c>
    </x:row>
    <x:row r="510" ht="34" customHeight="1">
      <x:c r="A510" s="10" t="str">
        <x:v>S4_PRESTAMO</x:v>
      </x:c>
      <x:c r="B510" s="10" t="n">
        <x:v>2</x:v>
      </x:c>
      <x:c r="C510" s="10" t="str">
        <x:v>educacion</x:v>
      </x:c>
      <x:c r="D510" s="10" t="n">
        <x:f>$H$496</x:f>
        <x:v>50</x:v>
      </x:c>
      <x:c r="E510" s="10" t="n">
        <x:f>0+0</x:f>
        <x:v>0</x:v>
      </x:c>
      <x:c r="F510" s="10" t="n">
        <x:f>0</x:f>
        <x:v>0</x:v>
      </x:c>
      <x:c r="G510" s="10" t="n">
        <x:f>MAX(-'00_Arquitectura'!$B$106,MIN('00_Arquitectura'!$B$106,E510+F510))</x:f>
        <x:v>0</x:v>
      </x:c>
      <x:c r="H510" s="10" t="n">
        <x:f>MAX(0,MIN(100,D510+G510))</x:f>
        <x:v>50</x:v>
      </x:c>
      <x:c r="I510" s="10" t="n">
        <x:f>0</x:f>
        <x:v>0</x:v>
      </x:c>
      <x:c r="J510" s="10" t="n">
        <x:f>MAX(-'00_Arquitectura'!$B$107,MIN('00_Arquitectura'!$B$107,$J$1321))</x:f>
        <x:v>0</x:v>
      </x:c>
      <x:c r="K510" s="10" t="n">
        <x:f>MAX(0,MIN(100,H510+I510+J510))</x:f>
        <x:v>50</x:v>
      </x:c>
      <x:c r="L510" s="10" t="str">
        <x:v>Pulsos y offsets: filtrar Instancias por escenario, turno y targetId. Base separada del nivel visible.</x:v>
      </x:c>
    </x:row>
    <x:row r="511" ht="34" customHeight="1">
      <x:c r="A511" s="5" t="str">
        <x:v>S4_PRESTAMO</x:v>
      </x:c>
      <x:c r="B511" s="5" t="n">
        <x:v>2</x:v>
      </x:c>
      <x:c r="C511" s="5" t="str">
        <x:v>salud</x:v>
      </x:c>
      <x:c r="D511" s="5" t="n">
        <x:f>$H$497</x:f>
        <x:v>50</x:v>
      </x:c>
      <x:c r="E511" s="5" t="n">
        <x:f>0+0</x:f>
        <x:v>0</x:v>
      </x:c>
      <x:c r="F511" s="5" t="n">
        <x:f>0</x:f>
        <x:v>0</x:v>
      </x:c>
      <x:c r="G511" s="5" t="n">
        <x:f>MAX(-'00_Arquitectura'!$B$106,MIN('00_Arquitectura'!$B$106,E511+F511))</x:f>
        <x:v>0</x:v>
      </x:c>
      <x:c r="H511" s="5" t="n">
        <x:f>MAX(0,MIN(100,D511+G511))</x:f>
        <x:v>50</x:v>
      </x:c>
      <x:c r="I511" s="5" t="n">
        <x:f>0</x:f>
        <x:v>0</x:v>
      </x:c>
      <x:c r="J511" s="5" t="n">
        <x:f>MAX(-'00_Arquitectura'!$B$107,MIN('00_Arquitectura'!$B$107,0))</x:f>
        <x:v>0</x:v>
      </x:c>
      <x:c r="K511" s="5" t="n">
        <x:f>MAX(0,MIN(100,H511+I511+J511))</x:f>
        <x:v>50</x:v>
      </x:c>
      <x:c r="L511" s="5" t="str">
        <x:v>Pulsos y offsets: filtrar Instancias por escenario, turno y targetId. Base separada del nivel visible.</x:v>
      </x:c>
    </x:row>
    <x:row r="512" ht="34" customHeight="1">
      <x:c r="A512" s="10" t="str">
        <x:v>S4_PRESTAMO</x:v>
      </x:c>
      <x:c r="B512" s="10" t="n">
        <x:v>2</x:v>
      </x:c>
      <x:c r="C512" s="10" t="str">
        <x:v>proteccion</x:v>
      </x:c>
      <x:c r="D512" s="10" t="n">
        <x:f>$H$498</x:f>
        <x:v>45</x:v>
      </x:c>
      <x:c r="E512" s="10" t="n">
        <x:f>0+0</x:f>
        <x:v>0</x:v>
      </x:c>
      <x:c r="F512" s="10" t="n">
        <x:f>0</x:f>
        <x:v>0</x:v>
      </x:c>
      <x:c r="G512" s="10" t="n">
        <x:f>MAX(-'00_Arquitectura'!$B$106,MIN('00_Arquitectura'!$B$106,E512+F512))</x:f>
        <x:v>0</x:v>
      </x:c>
      <x:c r="H512" s="10" t="n">
        <x:f>MAX(0,MIN(100,D512+G512))</x:f>
        <x:v>45</x:v>
      </x:c>
      <x:c r="I512" s="10" t="n">
        <x:f>0</x:f>
        <x:v>0</x:v>
      </x:c>
      <x:c r="J512" s="10" t="n">
        <x:f>MAX(-'00_Arquitectura'!$B$107,MIN('00_Arquitectura'!$B$107,$J$1319+$J$1323))</x:f>
        <x:v>0</x:v>
      </x:c>
      <x:c r="K512" s="10" t="n">
        <x:f>MAX(0,MIN(100,H512+I512+J512))</x:f>
        <x:v>45</x:v>
      </x:c>
      <x:c r="L512" s="10" t="str">
        <x:v>Pulsos y offsets: filtrar Instancias por escenario, turno y targetId. Base separada del nivel visible.</x:v>
      </x:c>
    </x:row>
    <x:row r="513" ht="34" customHeight="1">
      <x:c r="A513" s="5" t="str">
        <x:v>S4_PRESTAMO</x:v>
      </x:c>
      <x:c r="B513" s="5" t="n">
        <x:v>2</x:v>
      </x:c>
      <x:c r="C513" s="5" t="str">
        <x:v>seguridad</x:v>
      </x:c>
      <x:c r="D513" s="5" t="n">
        <x:f>$H$499</x:f>
        <x:v>45</x:v>
      </x:c>
      <x:c r="E513" s="5" t="n">
        <x:f>0+0</x:f>
        <x:v>0</x:v>
      </x:c>
      <x:c r="F513" s="5" t="n">
        <x:f>0</x:f>
        <x:v>0</x:v>
      </x:c>
      <x:c r="G513" s="5" t="n">
        <x:f>MAX(-'00_Arquitectura'!$B$106,MIN('00_Arquitectura'!$B$106,E513+F513))</x:f>
        <x:v>0</x:v>
      </x:c>
      <x:c r="H513" s="5" t="n">
        <x:f>MAX(0,MIN(100,D513+G513))</x:f>
        <x:v>45</x:v>
      </x:c>
      <x:c r="I513" s="5" t="n">
        <x:f>0</x:f>
        <x:v>0</x:v>
      </x:c>
      <x:c r="J513" s="5" t="n">
        <x:f>MAX(-'00_Arquitectura'!$B$107,MIN('00_Arquitectura'!$B$107,0))</x:f>
        <x:v>0</x:v>
      </x:c>
      <x:c r="K513" s="5" t="n">
        <x:f>MAX(0,MIN(100,H513+I513+J513))</x:f>
        <x:v>45</x:v>
      </x:c>
      <x:c r="L513" s="5" t="str">
        <x:v>Pulsos y offsets: filtrar Instancias por escenario, turno y targetId. Base separada del nivel visible.</x:v>
      </x:c>
    </x:row>
    <x:row r="514" ht="34" customHeight="1">
      <x:c r="A514" s="10" t="str">
        <x:v>S4_PRESTAMO</x:v>
      </x:c>
      <x:c r="B514" s="10" t="n">
        <x:v>2</x:v>
      </x:c>
      <x:c r="C514" s="10" t="str">
        <x:v>ciencia</x:v>
      </x:c>
      <x:c r="D514" s="10" t="n">
        <x:f>$H$500</x:f>
        <x:v>40</x:v>
      </x:c>
      <x:c r="E514" s="10" t="n">
        <x:f>0+0</x:f>
        <x:v>0</x:v>
      </x:c>
      <x:c r="F514" s="10" t="n">
        <x:f>0</x:f>
        <x:v>0</x:v>
      </x:c>
      <x:c r="G514" s="10" t="n">
        <x:f>MAX(-'00_Arquitectura'!$B$106,MIN('00_Arquitectura'!$B$106,E514+F514))</x:f>
        <x:v>0</x:v>
      </x:c>
      <x:c r="H514" s="10" t="n">
        <x:f>MAX(0,MIN(100,D514+G514))</x:f>
        <x:v>40</x:v>
      </x:c>
      <x:c r="I514" s="10" t="n">
        <x:f>0</x:f>
        <x:v>0</x:v>
      </x:c>
      <x:c r="J514" s="10" t="n">
        <x:f>MAX(-'00_Arquitectura'!$B$107,MIN('00_Arquitectura'!$B$107,$J$1322))</x:f>
        <x:v>0</x:v>
      </x:c>
      <x:c r="K514" s="10" t="n">
        <x:f>MAX(0,MIN(100,H514+I514+J514))</x:f>
        <x:v>40</x:v>
      </x:c>
      <x:c r="L514" s="10" t="str">
        <x:v>Pulsos y offsets: filtrar Instancias por escenario, turno y targetId. Base separada del nivel visible.</x:v>
      </x:c>
    </x:row>
    <x:row r="515" ht="34" customHeight="1">
      <x:c r="A515" s="5" t="str">
        <x:v>S4_PRESTAMO</x:v>
      </x:c>
      <x:c r="B515" s="5" t="n">
        <x:v>2</x:v>
      </x:c>
      <x:c r="C515" s="5" t="str">
        <x:v>derechos</x:v>
      </x:c>
      <x:c r="D515" s="5" t="n">
        <x:f>$H$501</x:f>
        <x:v>55</x:v>
      </x:c>
      <x:c r="E515" s="5" t="n">
        <x:f>SUM($I$1732)+0</x:f>
        <x:v>2</x:v>
      </x:c>
      <x:c r="F515" s="5" t="n">
        <x:f>0</x:f>
        <x:v>0</x:v>
      </x:c>
      <x:c r="G515" s="5" t="n">
        <x:f>MAX(-'00_Arquitectura'!$B$106,MIN('00_Arquitectura'!$B$106,E515+F515))</x:f>
        <x:v>2</x:v>
      </x:c>
      <x:c r="H515" s="5" t="n">
        <x:f>MAX(0,MIN(100,D515+G515))</x:f>
        <x:v>57</x:v>
      </x:c>
      <x:c r="I515" s="5" t="n">
        <x:f>0</x:f>
        <x:v>0</x:v>
      </x:c>
      <x:c r="J515" s="5" t="n">
        <x:f>MAX(-'00_Arquitectura'!$B$107,MIN('00_Arquitectura'!$B$107,0))</x:f>
        <x:v>0</x:v>
      </x:c>
      <x:c r="K515" s="5" t="n">
        <x:f>MAX(0,MIN(100,H515+I515+J515))</x:f>
        <x:v>57</x:v>
      </x:c>
      <x:c r="L515" s="5" t="str">
        <x:v>Pulsos y offsets: filtrar Instancias por escenario, turno y targetId. Base separada del nivel visible.</x:v>
      </x:c>
    </x:row>
    <x:row r="516" ht="34" customHeight="1">
      <x:c r="A516" s="10" t="str">
        <x:v>S4_PRESTAMO</x:v>
      </x:c>
      <x:c r="B516" s="10" t="n">
        <x:v>2</x:v>
      </x:c>
      <x:c r="C516" s="10" t="str">
        <x:v>ambiente</x:v>
      </x:c>
      <x:c r="D516" s="10" t="n">
        <x:f>$H$502</x:f>
        <x:v>50</x:v>
      </x:c>
      <x:c r="E516" s="10" t="n">
        <x:f>0+0</x:f>
        <x:v>0</x:v>
      </x:c>
      <x:c r="F516" s="10" t="n">
        <x:f>0</x:f>
        <x:v>0</x:v>
      </x:c>
      <x:c r="G516" s="10" t="n">
        <x:f>MAX(-'00_Arquitectura'!$B$106,MIN('00_Arquitectura'!$B$106,E516+F516))</x:f>
        <x:v>0</x:v>
      </x:c>
      <x:c r="H516" s="10" t="n">
        <x:f>MAX(0,MIN(100,D516+G516))</x:f>
        <x:v>50</x:v>
      </x:c>
      <x:c r="I516" s="10" t="n">
        <x:f>0</x:f>
        <x:v>0</x:v>
      </x:c>
      <x:c r="J516" s="10" t="n">
        <x:f>MAX(-'00_Arquitectura'!$B$107,MIN('00_Arquitectura'!$B$107,0))</x:f>
        <x:v>0</x:v>
      </x:c>
      <x:c r="K516" s="10" t="n">
        <x:f>MAX(0,MIN(100,H516+I516+J516))</x:f>
        <x:v>50</x:v>
      </x:c>
      <x:c r="L516" s="10" t="str">
        <x:v>Pulsos y offsets: filtrar Instancias por escenario, turno y targetId. Base separada del nivel visible.</x:v>
      </x:c>
    </x:row>
    <x:row r="517" ht="42" customHeight="1">
      <x:c r="A517" s="5" t="str">
        <x:v>S4_PRESTAMO</x:v>
      </x:c>
      <x:c r="B517" s="5" t="n">
        <x:v>3</x:v>
      </x:c>
      <x:c r="C517" s="5" t="str">
        <x:v>inflacion</x:v>
      </x:c>
      <x:c r="D517" s="5" t="n">
        <x:f>$H$503</x:f>
        <x:v>40</x:v>
      </x:c>
      <x:c r="E517" s="5" t="n">
        <x:f>0+0</x:f>
        <x:v>0</x:v>
      </x:c>
      <x:c r="F517" s="5" t="n">
        <x:f>-'00_Arquitectura'!$B$96*($H$503-40)</x:f>
        <x:v>0</x:v>
      </x:c>
      <x:c r="G517" s="5" t="n">
        <x:f>MAX(-'00_Arquitectura'!$B$106,MIN('00_Arquitectura'!$B$106,E517+F517))</x:f>
        <x:v>0</x:v>
      </x:c>
      <x:c r="H517" s="5" t="n">
        <x:f>MAX(0,MIN(100,D517+G517))</x:f>
        <x:v>40</x:v>
      </x:c>
      <x:c r="I517" s="5" t="n">
        <x:f>0</x:f>
        <x:v>0</x:v>
      </x:c>
      <x:c r="J517" s="5" t="n">
        <x:f>MAX(-'00_Arquitectura'!$B$107,MIN('00_Arquitectura'!$B$107,0))</x:f>
        <x:v>0</x:v>
      </x:c>
      <x:c r="K517" s="5" t="n">
        <x:f>MAX(0,MIN(100,H517+I517+J517))</x:f>
        <x:v>40</x:v>
      </x:c>
      <x:c r="L517" s="5" t="str">
        <x:v>Aplica link L01. Pulsos y offsets: filtrar Instancias por escenario, turno y targetId. Base separada del nivel visible.</x:v>
      </x:c>
    </x:row>
    <x:row r="518" ht="42" customHeight="1">
      <x:c r="A518" s="10" t="str">
        <x:v>S4_PRESTAMO</x:v>
      </x:c>
      <x:c r="B518" s="10" t="n">
        <x:v>3</x:v>
      </x:c>
      <x:c r="C518" s="10" t="str">
        <x:v>actividad</x:v>
      </x:c>
      <x:c r="D518" s="10" t="n">
        <x:f>$H$504</x:f>
        <x:v>50</x:v>
      </x:c>
      <x:c r="E518" s="10" t="n">
        <x:f>0+0</x:f>
        <x:v>0</x:v>
      </x:c>
      <x:c r="F518" s="10" t="n">
        <x:f>-'00_Arquitectura'!$B$97*($H$504-50)+'00_Arquitectura'!$B$98*($K$506-45)+'00_Arquitectura'!$B$99*($K$509-45)+'00_Arquitectura'!$B$100*($K$508-45)</x:f>
        <x:v>0</x:v>
      </x:c>
      <x:c r="G518" s="10" t="n">
        <x:f>MAX(-'00_Arquitectura'!$B$106,MIN('00_Arquitectura'!$B$106,E518+F518))</x:f>
        <x:v>0</x:v>
      </x:c>
      <x:c r="H518" s="10" t="n">
        <x:f>MAX(0,MIN(100,D518+G518))</x:f>
        <x:v>50</x:v>
      </x:c>
      <x:c r="I518" s="10" t="n">
        <x:f>0</x:f>
        <x:v>0</x:v>
      </x:c>
      <x:c r="J518" s="10" t="n">
        <x:f>MAX(-'00_Arquitectura'!$B$107,MIN('00_Arquitectura'!$B$107,$J$1331+$J$1334+$J$1335))</x:f>
        <x:v>0</x:v>
      </x:c>
      <x:c r="K518" s="10" t="n">
        <x:f>MAX(0,MIN(100,H518+I518+J518))</x:f>
        <x:v>50</x:v>
      </x:c>
      <x:c r="L518" s="10" t="str">
        <x:v>Aplica link L02. Pulsos y offsets: filtrar Instancias por escenario, turno y targetId. Base separada del nivel visible.</x:v>
      </x:c>
    </x:row>
    <x:row r="519" ht="42" customHeight="1">
      <x:c r="A519" s="5" t="str">
        <x:v>S4_PRESTAMO</x:v>
      </x:c>
      <x:c r="B519" s="5" t="n">
        <x:v>3</x:v>
      </x:c>
      <x:c r="C519" s="5" t="str">
        <x:v>ingreso_real</x:v>
      </x:c>
      <x:c r="D519" s="5" t="n">
        <x:f>$H$505</x:f>
        <x:v>45</x:v>
      </x:c>
      <x:c r="E519" s="5" t="n">
        <x:f>0+0</x:f>
        <x:v>0</x:v>
      </x:c>
      <x:c r="F519" s="5" t="n">
        <x:f>'00_Arquitectura'!$B$101*($K$504-$K$490)+'00_Arquitectura'!$B$102*($K$503-$K$489)</x:f>
        <x:v>0</x:v>
      </x:c>
      <x:c r="G519" s="5" t="n">
        <x:f>MAX(-'00_Arquitectura'!$B$106,MIN('00_Arquitectura'!$B$106,E519+F519))</x:f>
        <x:v>0</x:v>
      </x:c>
      <x:c r="H519" s="5" t="n">
        <x:f>MAX(0,MIN(100,D519+G519))</x:f>
        <x:v>45</x:v>
      </x:c>
      <x:c r="I519" s="5" t="n">
        <x:f>0</x:f>
        <x:v>0</x:v>
      </x:c>
      <x:c r="J519" s="5" t="n">
        <x:f>MAX(-'00_Arquitectura'!$B$107,MIN('00_Arquitectura'!$B$107,0))</x:f>
        <x:v>0</x:v>
      </x:c>
      <x:c r="K519" s="5" t="n">
        <x:f>MAX(0,MIN(100,H519+I519+J519))</x:f>
        <x:v>45</x:v>
      </x:c>
      <x:c r="L519" s="5" t="str">
        <x:v>Aplica link L03. Pulsos y offsets: filtrar Instancias por escenario, turno y targetId. Base separada del nivel visible.</x:v>
      </x:c>
    </x:row>
    <x:row r="520" ht="42" customHeight="1">
      <x:c r="A520" s="10" t="str">
        <x:v>S4_PRESTAMO</x:v>
      </x:c>
      <x:c r="B520" s="10" t="n">
        <x:v>3</x:v>
      </x:c>
      <x:c r="C520" s="10" t="str">
        <x:v>credito</x:v>
      </x:c>
      <x:c r="D520" s="10" t="n">
        <x:f>$H$506</x:f>
        <x:v>45</x:v>
      </x:c>
      <x:c r="E520" s="10" t="n">
        <x:f>0+0</x:f>
        <x:v>0</x:v>
      </x:c>
      <x:c r="F520" s="10" t="n">
        <x:f>-'00_Arquitectura'!$B$103*($H$506-45)+'00_Arquitectura'!$B$104*($K$503-$K$489)+'00_Arquitectura'!$B$105*($K$507-'00_Arquitectura'!$B$117)</x:f>
        <x:v>-0.16</x:v>
      </x:c>
      <x:c r="G520" s="10" t="n">
        <x:f>MAX(-'00_Arquitectura'!$B$106,MIN('00_Arquitectura'!$B$106,E520+F520))</x:f>
        <x:v>-0.16</x:v>
      </x:c>
      <x:c r="H520" s="10" t="n">
        <x:f>MAX(0,MIN(100,D520+G520))</x:f>
        <x:v>44.84</x:v>
      </x:c>
      <x:c r="I520" s="10" t="n">
        <x:f>0</x:f>
        <x:v>0</x:v>
      </x:c>
      <x:c r="J520" s="10" t="n">
        <x:f>MAX(-'00_Arquitectura'!$B$107,MIN('00_Arquitectura'!$B$107,$J$1333))</x:f>
        <x:v>0</x:v>
      </x:c>
      <x:c r="K520" s="10" t="n">
        <x:f>MAX(0,MIN(100,H520+I520+J520))</x:f>
        <x:v>44.84</x:v>
      </x:c>
      <x:c r="L520" s="10" t="str">
        <x:v>Aplica link L04. Pulsos y offsets: filtrar Instancias por escenario, turno y targetId. Base separada del nivel visible.</x:v>
      </x:c>
    </x:row>
    <x:row r="521" ht="34" customHeight="1">
      <x:c r="A521" s="5" t="str">
        <x:v>S4_PRESTAMO</x:v>
      </x:c>
      <x:c r="B521" s="5" t="n">
        <x:v>3</x:v>
      </x:c>
      <x:c r="C521" s="5" t="str">
        <x:v>fiscal</x:v>
      </x:c>
      <x:c r="D521" s="5" t="n">
        <x:f>$H$507</x:f>
        <x:v>50</x:v>
      </x:c>
      <x:c r="E521" s="5" t="n">
        <x:f>0+0</x:f>
        <x:v>0</x:v>
      </x:c>
      <x:c r="F521" s="5" t="n">
        <x:f>0</x:f>
        <x:v>0</x:v>
      </x:c>
      <x:c r="G521" s="5" t="n">
        <x:f>MAX(-'00_Arquitectura'!$B$106,MIN('00_Arquitectura'!$B$106,E521+F521))</x:f>
        <x:v>0</x:v>
      </x:c>
      <x:c r="H521" s="5" t="n">
        <x:f>$O$47</x:f>
        <x:v>54.6</x:v>
      </x:c>
      <x:c r="I521" s="5" t="n">
        <x:f>0</x:f>
        <x:v>0</x:v>
      </x:c>
      <x:c r="J521" s="5" t="n">
        <x:f>MAX(-'00_Arquitectura'!$B$107,MIN('00_Arquitectura'!$B$107,0))</x:f>
        <x:v>0</x:v>
      </x:c>
      <x:c r="K521" s="5" t="n">
        <x:f>MAX(0,MIN(100,H521+I521+J521))</x:f>
        <x:v>54.6</x:v>
      </x:c>
      <x:c r="L521" s="5" t="str">
        <x:v>Derivado de caja: ingreso recurrente, gasto, intereses y deuda. Nunca SUM de efectos fiscales directos.</x:v>
      </x:c>
    </x:row>
    <x:row r="522" ht="34" customHeight="1">
      <x:c r="A522" s="10" t="str">
        <x:v>S4_PRESTAMO</x:v>
      </x:c>
      <x:c r="B522" s="10" t="n">
        <x:v>3</x:v>
      </x:c>
      <x:c r="C522" s="10" t="str">
        <x:v>externo</x:v>
      </x:c>
      <x:c r="D522" s="10" t="n">
        <x:f>$H$508</x:f>
        <x:v>45</x:v>
      </x:c>
      <x:c r="E522" s="10" t="n">
        <x:f>0+0</x:f>
        <x:v>0</x:v>
      </x:c>
      <x:c r="F522" s="10" t="n">
        <x:f>0</x:f>
        <x:v>0</x:v>
      </x:c>
      <x:c r="G522" s="10" t="n">
        <x:f>MAX(-'00_Arquitectura'!$B$106,MIN('00_Arquitectura'!$B$106,E522+F522))</x:f>
        <x:v>0</x:v>
      </x:c>
      <x:c r="H522" s="10" t="n">
        <x:f>MAX(0,MIN(100,D522+G522))</x:f>
        <x:v>45</x:v>
      </x:c>
      <x:c r="I522" s="10" t="n">
        <x:f>0</x:f>
        <x:v>0</x:v>
      </x:c>
      <x:c r="J522" s="10" t="n">
        <x:f>MAX(-'00_Arquitectura'!$B$107,MIN('00_Arquitectura'!$B$107,$J$1332))</x:f>
        <x:v>0</x:v>
      </x:c>
      <x:c r="K522" s="10" t="n">
        <x:f>MAX(0,MIN(100,H522+I522+J522))</x:f>
        <x:v>45</x:v>
      </x:c>
      <x:c r="L522" s="10" t="str">
        <x:v>Pulsos y offsets: filtrar Instancias por escenario, turno y targetId. Base separada del nivel visible.</x:v>
      </x:c>
    </x:row>
    <x:row r="523" ht="34" customHeight="1">
      <x:c r="A523" s="5" t="str">
        <x:v>S4_PRESTAMO</x:v>
      </x:c>
      <x:c r="B523" s="5" t="n">
        <x:v>3</x:v>
      </x:c>
      <x:c r="C523" s="5" t="str">
        <x:v>infraestructura</x:v>
      </x:c>
      <x:c r="D523" s="5" t="n">
        <x:f>$H$509</x:f>
        <x:v>45</x:v>
      </x:c>
      <x:c r="E523" s="5" t="n">
        <x:f>0+0</x:f>
        <x:v>0</x:v>
      </x:c>
      <x:c r="F523" s="5" t="n">
        <x:f>0</x:f>
        <x:v>0</x:v>
      </x:c>
      <x:c r="G523" s="5" t="n">
        <x:f>MAX(-'00_Arquitectura'!$B$106,MIN('00_Arquitectura'!$B$106,E523+F523))</x:f>
        <x:v>0</x:v>
      </x:c>
      <x:c r="H523" s="5" t="n">
        <x:f>MAX(0,MIN(100,D523+G523))</x:f>
        <x:v>45</x:v>
      </x:c>
      <x:c r="I523" s="5" t="n">
        <x:f>0</x:f>
        <x:v>0</x:v>
      </x:c>
      <x:c r="J523" s="5" t="n">
        <x:f>MAX(-'00_Arquitectura'!$B$107,MIN('00_Arquitectura'!$B$107,0))</x:f>
        <x:v>0</x:v>
      </x:c>
      <x:c r="K523" s="5" t="n">
        <x:f>MAX(0,MIN(100,H523+I523+J523))</x:f>
        <x:v>45</x:v>
      </x:c>
      <x:c r="L523" s="5" t="str">
        <x:v>Pulsos y offsets: filtrar Instancias por escenario, turno y targetId. Base separada del nivel visible.</x:v>
      </x:c>
    </x:row>
    <x:row r="524" ht="34" customHeight="1">
      <x:c r="A524" s="10" t="str">
        <x:v>S4_PRESTAMO</x:v>
      </x:c>
      <x:c r="B524" s="10" t="n">
        <x:v>3</x:v>
      </x:c>
      <x:c r="C524" s="10" t="str">
        <x:v>educacion</x:v>
      </x:c>
      <x:c r="D524" s="10" t="n">
        <x:f>$H$510</x:f>
        <x:v>50</x:v>
      </x:c>
      <x:c r="E524" s="10" t="n">
        <x:f>0+0</x:f>
        <x:v>0</x:v>
      </x:c>
      <x:c r="F524" s="10" t="n">
        <x:f>0</x:f>
        <x:v>0</x:v>
      </x:c>
      <x:c r="G524" s="10" t="n">
        <x:f>MAX(-'00_Arquitectura'!$B$106,MIN('00_Arquitectura'!$B$106,E524+F524))</x:f>
        <x:v>0</x:v>
      </x:c>
      <x:c r="H524" s="10" t="n">
        <x:f>MAX(0,MIN(100,D524+G524))</x:f>
        <x:v>50</x:v>
      </x:c>
      <x:c r="I524" s="10" t="n">
        <x:f>0</x:f>
        <x:v>0</x:v>
      </x:c>
      <x:c r="J524" s="10" t="n">
        <x:f>MAX(-'00_Arquitectura'!$B$107,MIN('00_Arquitectura'!$B$107,$J$1339))</x:f>
        <x:v>0</x:v>
      </x:c>
      <x:c r="K524" s="10" t="n">
        <x:f>MAX(0,MIN(100,H524+I524+J524))</x:f>
        <x:v>50</x:v>
      </x:c>
      <x:c r="L524" s="10" t="str">
        <x:v>Pulsos y offsets: filtrar Instancias por escenario, turno y targetId. Base separada del nivel visible.</x:v>
      </x:c>
    </x:row>
    <x:row r="525" ht="34" customHeight="1">
      <x:c r="A525" s="5" t="str">
        <x:v>S4_PRESTAMO</x:v>
      </x:c>
      <x:c r="B525" s="5" t="n">
        <x:v>3</x:v>
      </x:c>
      <x:c r="C525" s="5" t="str">
        <x:v>salud</x:v>
      </x:c>
      <x:c r="D525" s="5" t="n">
        <x:f>$H$511</x:f>
        <x:v>50</x:v>
      </x:c>
      <x:c r="E525" s="5" t="n">
        <x:f>0+0</x:f>
        <x:v>0</x:v>
      </x:c>
      <x:c r="F525" s="5" t="n">
        <x:f>0</x:f>
        <x:v>0</x:v>
      </x:c>
      <x:c r="G525" s="5" t="n">
        <x:f>MAX(-'00_Arquitectura'!$B$106,MIN('00_Arquitectura'!$B$106,E525+F525))</x:f>
        <x:v>0</x:v>
      </x:c>
      <x:c r="H525" s="5" t="n">
        <x:f>MAX(0,MIN(100,D525+G525))</x:f>
        <x:v>50</x:v>
      </x:c>
      <x:c r="I525" s="5" t="n">
        <x:f>0</x:f>
        <x:v>0</x:v>
      </x:c>
      <x:c r="J525" s="5" t="n">
        <x:f>MAX(-'00_Arquitectura'!$B$107,MIN('00_Arquitectura'!$B$107,0))</x:f>
        <x:v>0</x:v>
      </x:c>
      <x:c r="K525" s="5" t="n">
        <x:f>MAX(0,MIN(100,H525+I525+J525))</x:f>
        <x:v>50</x:v>
      </x:c>
      <x:c r="L525" s="5" t="str">
        <x:v>Pulsos y offsets: filtrar Instancias por escenario, turno y targetId. Base separada del nivel visible.</x:v>
      </x:c>
    </x:row>
    <x:row r="526" ht="34" customHeight="1">
      <x:c r="A526" s="10" t="str">
        <x:v>S4_PRESTAMO</x:v>
      </x:c>
      <x:c r="B526" s="10" t="n">
        <x:v>3</x:v>
      </x:c>
      <x:c r="C526" s="10" t="str">
        <x:v>proteccion</x:v>
      </x:c>
      <x:c r="D526" s="10" t="n">
        <x:f>$H$512</x:f>
        <x:v>45</x:v>
      </x:c>
      <x:c r="E526" s="10" t="n">
        <x:f>0+0</x:f>
        <x:v>0</x:v>
      </x:c>
      <x:c r="F526" s="10" t="n">
        <x:f>0</x:f>
        <x:v>0</x:v>
      </x:c>
      <x:c r="G526" s="10" t="n">
        <x:f>MAX(-'00_Arquitectura'!$B$106,MIN('00_Arquitectura'!$B$106,E526+F526))</x:f>
        <x:v>0</x:v>
      </x:c>
      <x:c r="H526" s="10" t="n">
        <x:f>MAX(0,MIN(100,D526+G526))</x:f>
        <x:v>45</x:v>
      </x:c>
      <x:c r="I526" s="10" t="n">
        <x:f>0</x:f>
        <x:v>0</x:v>
      </x:c>
      <x:c r="J526" s="10" t="n">
        <x:f>MAX(-'00_Arquitectura'!$B$107,MIN('00_Arquitectura'!$B$107,$J$1337+$J$1341))</x:f>
        <x:v>0</x:v>
      </x:c>
      <x:c r="K526" s="10" t="n">
        <x:f>MAX(0,MIN(100,H526+I526+J526))</x:f>
        <x:v>45</x:v>
      </x:c>
      <x:c r="L526" s="10" t="str">
        <x:v>Pulsos y offsets: filtrar Instancias por escenario, turno y targetId. Base separada del nivel visible.</x:v>
      </x:c>
    </x:row>
    <x:row r="527" ht="34" customHeight="1">
      <x:c r="A527" s="5" t="str">
        <x:v>S4_PRESTAMO</x:v>
      </x:c>
      <x:c r="B527" s="5" t="n">
        <x:v>3</x:v>
      </x:c>
      <x:c r="C527" s="5" t="str">
        <x:v>seguridad</x:v>
      </x:c>
      <x:c r="D527" s="5" t="n">
        <x:f>$H$513</x:f>
        <x:v>45</x:v>
      </x:c>
      <x:c r="E527" s="5" t="n">
        <x:f>0+0</x:f>
        <x:v>0</x:v>
      </x:c>
      <x:c r="F527" s="5" t="n">
        <x:f>0</x:f>
        <x:v>0</x:v>
      </x:c>
      <x:c r="G527" s="5" t="n">
        <x:f>MAX(-'00_Arquitectura'!$B$106,MIN('00_Arquitectura'!$B$106,E527+F527))</x:f>
        <x:v>0</x:v>
      </x:c>
      <x:c r="H527" s="5" t="n">
        <x:f>MAX(0,MIN(100,D527+G527))</x:f>
        <x:v>45</x:v>
      </x:c>
      <x:c r="I527" s="5" t="n">
        <x:f>0</x:f>
        <x:v>0</x:v>
      </x:c>
      <x:c r="J527" s="5" t="n">
        <x:f>MAX(-'00_Arquitectura'!$B$107,MIN('00_Arquitectura'!$B$107,0))</x:f>
        <x:v>0</x:v>
      </x:c>
      <x:c r="K527" s="5" t="n">
        <x:f>MAX(0,MIN(100,H527+I527+J527))</x:f>
        <x:v>45</x:v>
      </x:c>
      <x:c r="L527" s="5" t="str">
        <x:v>Pulsos y offsets: filtrar Instancias por escenario, turno y targetId. Base separada del nivel visible.</x:v>
      </x:c>
    </x:row>
    <x:row r="528" ht="34" customHeight="1">
      <x:c r="A528" s="10" t="str">
        <x:v>S4_PRESTAMO</x:v>
      </x:c>
      <x:c r="B528" s="10" t="n">
        <x:v>3</x:v>
      </x:c>
      <x:c r="C528" s="10" t="str">
        <x:v>ciencia</x:v>
      </x:c>
      <x:c r="D528" s="10" t="n">
        <x:f>$H$514</x:f>
        <x:v>40</x:v>
      </x:c>
      <x:c r="E528" s="10" t="n">
        <x:f>0+0</x:f>
        <x:v>0</x:v>
      </x:c>
      <x:c r="F528" s="10" t="n">
        <x:f>0</x:f>
        <x:v>0</x:v>
      </x:c>
      <x:c r="G528" s="10" t="n">
        <x:f>MAX(-'00_Arquitectura'!$B$106,MIN('00_Arquitectura'!$B$106,E528+F528))</x:f>
        <x:v>0</x:v>
      </x:c>
      <x:c r="H528" s="10" t="n">
        <x:f>MAX(0,MIN(100,D528+G528))</x:f>
        <x:v>40</x:v>
      </x:c>
      <x:c r="I528" s="10" t="n">
        <x:f>0</x:f>
        <x:v>0</x:v>
      </x:c>
      <x:c r="J528" s="10" t="n">
        <x:f>MAX(-'00_Arquitectura'!$B$107,MIN('00_Arquitectura'!$B$107,$J$1340))</x:f>
        <x:v>0</x:v>
      </x:c>
      <x:c r="K528" s="10" t="n">
        <x:f>MAX(0,MIN(100,H528+I528+J528))</x:f>
        <x:v>40</x:v>
      </x:c>
      <x:c r="L528" s="10" t="str">
        <x:v>Pulsos y offsets: filtrar Instancias por escenario, turno y targetId. Base separada del nivel visible.</x:v>
      </x:c>
    </x:row>
    <x:row r="529" ht="34" customHeight="1">
      <x:c r="A529" s="5" t="str">
        <x:v>S4_PRESTAMO</x:v>
      </x:c>
      <x:c r="B529" s="5" t="n">
        <x:v>3</x:v>
      </x:c>
      <x:c r="C529" s="5" t="str">
        <x:v>derechos</x:v>
      </x:c>
      <x:c r="D529" s="5" t="n">
        <x:f>$H$515</x:f>
        <x:v>57</x:v>
      </x:c>
      <x:c r="E529" s="5" t="n">
        <x:f>0+0</x:f>
        <x:v>0</x:v>
      </x:c>
      <x:c r="F529" s="5" t="n">
        <x:f>0</x:f>
        <x:v>0</x:v>
      </x:c>
      <x:c r="G529" s="5" t="n">
        <x:f>MAX(-'00_Arquitectura'!$B$106,MIN('00_Arquitectura'!$B$106,E529+F529))</x:f>
        <x:v>0</x:v>
      </x:c>
      <x:c r="H529" s="5" t="n">
        <x:f>MAX(0,MIN(100,D529+G529))</x:f>
        <x:v>57</x:v>
      </x:c>
      <x:c r="I529" s="5" t="n">
        <x:f>0</x:f>
        <x:v>0</x:v>
      </x:c>
      <x:c r="J529" s="5" t="n">
        <x:f>MAX(-'00_Arquitectura'!$B$107,MIN('00_Arquitectura'!$B$107,0))</x:f>
        <x:v>0</x:v>
      </x:c>
      <x:c r="K529" s="5" t="n">
        <x:f>MAX(0,MIN(100,H529+I529+J529))</x:f>
        <x:v>57</x:v>
      </x:c>
      <x:c r="L529" s="5" t="str">
        <x:v>Pulsos y offsets: filtrar Instancias por escenario, turno y targetId. Base separada del nivel visible.</x:v>
      </x:c>
    </x:row>
    <x:row r="530" ht="34" customHeight="1">
      <x:c r="A530" s="10" t="str">
        <x:v>S4_PRESTAMO</x:v>
      </x:c>
      <x:c r="B530" s="10" t="n">
        <x:v>3</x:v>
      </x:c>
      <x:c r="C530" s="10" t="str">
        <x:v>ambiente</x:v>
      </x:c>
      <x:c r="D530" s="10" t="n">
        <x:f>$H$516</x:f>
        <x:v>50</x:v>
      </x:c>
      <x:c r="E530" s="10" t="n">
        <x:f>0+0</x:f>
        <x:v>0</x:v>
      </x:c>
      <x:c r="F530" s="10" t="n">
        <x:f>0</x:f>
        <x:v>0</x:v>
      </x:c>
      <x:c r="G530" s="10" t="n">
        <x:f>MAX(-'00_Arquitectura'!$B$106,MIN('00_Arquitectura'!$B$106,E530+F530))</x:f>
        <x:v>0</x:v>
      </x:c>
      <x:c r="H530" s="10" t="n">
        <x:f>MAX(0,MIN(100,D530+G530))</x:f>
        <x:v>50</x:v>
      </x:c>
      <x:c r="I530" s="10" t="n">
        <x:f>0</x:f>
        <x:v>0</x:v>
      </x:c>
      <x:c r="J530" s="10" t="n">
        <x:f>MAX(-'00_Arquitectura'!$B$107,MIN('00_Arquitectura'!$B$107,0))</x:f>
        <x:v>0</x:v>
      </x:c>
      <x:c r="K530" s="10" t="n">
        <x:f>MAX(0,MIN(100,H530+I530+J530))</x:f>
        <x:v>50</x:v>
      </x:c>
      <x:c r="L530" s="10" t="str">
        <x:v>Pulsos y offsets: filtrar Instancias por escenario, turno y targetId. Base separada del nivel visible.</x:v>
      </x:c>
    </x:row>
    <x:row r="531" ht="42" customHeight="1">
      <x:c r="A531" s="5" t="str">
        <x:v>S4_PRESTAMO</x:v>
      </x:c>
      <x:c r="B531" s="5" t="n">
        <x:v>4</x:v>
      </x:c>
      <x:c r="C531" s="5" t="str">
        <x:v>inflacion</x:v>
      </x:c>
      <x:c r="D531" s="5" t="n">
        <x:f>$H$517</x:f>
        <x:v>40</x:v>
      </x:c>
      <x:c r="E531" s="5" t="n">
        <x:f>0+0</x:f>
        <x:v>0</x:v>
      </x:c>
      <x:c r="F531" s="5" t="n">
        <x:f>-'00_Arquitectura'!$B$96*($H$517-40)</x:f>
        <x:v>0</x:v>
      </x:c>
      <x:c r="G531" s="5" t="n">
        <x:f>MAX(-'00_Arquitectura'!$B$106,MIN('00_Arquitectura'!$B$106,E531+F531))</x:f>
        <x:v>0</x:v>
      </x:c>
      <x:c r="H531" s="5" t="n">
        <x:f>MAX(0,MIN(100,D531+G531))</x:f>
        <x:v>40</x:v>
      </x:c>
      <x:c r="I531" s="5" t="n">
        <x:f>0</x:f>
        <x:v>0</x:v>
      </x:c>
      <x:c r="J531" s="5" t="n">
        <x:f>MAX(-'00_Arquitectura'!$B$107,MIN('00_Arquitectura'!$B$107,0))</x:f>
        <x:v>0</x:v>
      </x:c>
      <x:c r="K531" s="5" t="n">
        <x:f>MAX(0,MIN(100,H531+I531+J531))</x:f>
        <x:v>40</x:v>
      </x:c>
      <x:c r="L531" s="5" t="str">
        <x:v>Aplica link L01. Pulsos y offsets: filtrar Instancias por escenario, turno y targetId. Base separada del nivel visible.</x:v>
      </x:c>
    </x:row>
    <x:row r="532" ht="42" customHeight="1">
      <x:c r="A532" s="10" t="str">
        <x:v>S4_PRESTAMO</x:v>
      </x:c>
      <x:c r="B532" s="10" t="n">
        <x:v>4</x:v>
      </x:c>
      <x:c r="C532" s="10" t="str">
        <x:v>actividad</x:v>
      </x:c>
      <x:c r="D532" s="10" t="n">
        <x:f>$H$518</x:f>
        <x:v>50</x:v>
      </x:c>
      <x:c r="E532" s="10" t="n">
        <x:f>0+0</x:f>
        <x:v>0</x:v>
      </x:c>
      <x:c r="F532" s="10" t="n">
        <x:f>-'00_Arquitectura'!$B$97*($H$518-50)+'00_Arquitectura'!$B$98*($K$520-45)+'00_Arquitectura'!$B$99*($K$523-45)+'00_Arquitectura'!$B$100*($K$522-45)</x:f>
        <x:v>-0.012799999999999728</x:v>
      </x:c>
      <x:c r="G532" s="10" t="n">
        <x:f>MAX(-'00_Arquitectura'!$B$106,MIN('00_Arquitectura'!$B$106,E532+F532))</x:f>
        <x:v>-0.012799999999999728</x:v>
      </x:c>
      <x:c r="H532" s="10" t="n">
        <x:f>MAX(0,MIN(100,D532+G532))</x:f>
        <x:v>49.9872</x:v>
      </x:c>
      <x:c r="I532" s="10" t="n">
        <x:f>0</x:f>
        <x:v>0</x:v>
      </x:c>
      <x:c r="J532" s="10" t="n">
        <x:f>MAX(-'00_Arquitectura'!$B$107,MIN('00_Arquitectura'!$B$107,$J$1349+$J$1352+$J$1353))</x:f>
        <x:v>0</x:v>
      </x:c>
      <x:c r="K532" s="10" t="n">
        <x:f>MAX(0,MIN(100,H532+I532+J532))</x:f>
        <x:v>49.9872</x:v>
      </x:c>
      <x:c r="L532" s="10" t="str">
        <x:v>Aplica link L02. Pulsos y offsets: filtrar Instancias por escenario, turno y targetId. Base separada del nivel visible.</x:v>
      </x:c>
    </x:row>
    <x:row r="533" ht="42" customHeight="1">
      <x:c r="A533" s="5" t="str">
        <x:v>S4_PRESTAMO</x:v>
      </x:c>
      <x:c r="B533" s="5" t="n">
        <x:v>4</x:v>
      </x:c>
      <x:c r="C533" s="5" t="str">
        <x:v>ingreso_real</x:v>
      </x:c>
      <x:c r="D533" s="5" t="n">
        <x:f>$H$519</x:f>
        <x:v>45</x:v>
      </x:c>
      <x:c r="E533" s="5" t="n">
        <x:f>0+0</x:f>
        <x:v>0</x:v>
      </x:c>
      <x:c r="F533" s="5" t="n">
        <x:f>'00_Arquitectura'!$B$101*($K$518-$K$504)+'00_Arquitectura'!$B$102*($K$517-$K$503)</x:f>
        <x:v>0</x:v>
      </x:c>
      <x:c r="G533" s="5" t="n">
        <x:f>MAX(-'00_Arquitectura'!$B$106,MIN('00_Arquitectura'!$B$106,E533+F533))</x:f>
        <x:v>0</x:v>
      </x:c>
      <x:c r="H533" s="5" t="n">
        <x:f>MAX(0,MIN(100,D533+G533))</x:f>
        <x:v>45</x:v>
      </x:c>
      <x:c r="I533" s="5" t="n">
        <x:f>0</x:f>
        <x:v>0</x:v>
      </x:c>
      <x:c r="J533" s="5" t="n">
        <x:f>MAX(-'00_Arquitectura'!$B$107,MIN('00_Arquitectura'!$B$107,0))</x:f>
        <x:v>0</x:v>
      </x:c>
      <x:c r="K533" s="5" t="n">
        <x:f>MAX(0,MIN(100,H533+I533+J533))</x:f>
        <x:v>45</x:v>
      </x:c>
      <x:c r="L533" s="5" t="str">
        <x:v>Aplica link L03. Pulsos y offsets: filtrar Instancias por escenario, turno y targetId. Base separada del nivel visible.</x:v>
      </x:c>
    </x:row>
    <x:row r="534" ht="42" customHeight="1">
      <x:c r="A534" s="10" t="str">
        <x:v>S4_PRESTAMO</x:v>
      </x:c>
      <x:c r="B534" s="10" t="n">
        <x:v>4</x:v>
      </x:c>
      <x:c r="C534" s="10" t="str">
        <x:v>credito</x:v>
      </x:c>
      <x:c r="D534" s="10" t="n">
        <x:f>$H$520</x:f>
        <x:v>44.84</x:v>
      </x:c>
      <x:c r="E534" s="10" t="n">
        <x:f>0+0</x:f>
        <x:v>0</x:v>
      </x:c>
      <x:c r="F534" s="10" t="n">
        <x:f>-'00_Arquitectura'!$B$103*($H$520-45)+'00_Arquitectura'!$B$104*($K$517-$K$503)+'00_Arquitectura'!$B$105*($K$521-'00_Arquitectura'!$B$117)</x:f>
        <x:v>-0.04400000000000049</x:v>
      </x:c>
      <x:c r="G534" s="10" t="n">
        <x:f>MAX(-'00_Arquitectura'!$B$106,MIN('00_Arquitectura'!$B$106,E534+F534))</x:f>
        <x:v>-0.04400000000000049</x:v>
      </x:c>
      <x:c r="H534" s="10" t="n">
        <x:f>MAX(0,MIN(100,D534+G534))</x:f>
        <x:v>44.796</x:v>
      </x:c>
      <x:c r="I534" s="10" t="n">
        <x:f>0</x:f>
        <x:v>0</x:v>
      </x:c>
      <x:c r="J534" s="10" t="n">
        <x:f>MAX(-'00_Arquitectura'!$B$107,MIN('00_Arquitectura'!$B$107,$J$1351))</x:f>
        <x:v>0</x:v>
      </x:c>
      <x:c r="K534" s="10" t="n">
        <x:f>MAX(0,MIN(100,H534+I534+J534))</x:f>
        <x:v>44.796</x:v>
      </x:c>
      <x:c r="L534" s="10" t="str">
        <x:v>Aplica link L04. Pulsos y offsets: filtrar Instancias por escenario, turno y targetId. Base separada del nivel visible.</x:v>
      </x:c>
    </x:row>
    <x:row r="535" ht="34" customHeight="1">
      <x:c r="A535" s="5" t="str">
        <x:v>S4_PRESTAMO</x:v>
      </x:c>
      <x:c r="B535" s="5" t="n">
        <x:v>4</x:v>
      </x:c>
      <x:c r="C535" s="5" t="str">
        <x:v>fiscal</x:v>
      </x:c>
      <x:c r="D535" s="5" t="n">
        <x:f>$H$521</x:f>
        <x:v>54.6</x:v>
      </x:c>
      <x:c r="E535" s="5" t="n">
        <x:f>0+0</x:f>
        <x:v>0</x:v>
      </x:c>
      <x:c r="F535" s="5" t="n">
        <x:f>0</x:f>
        <x:v>0</x:v>
      </x:c>
      <x:c r="G535" s="5" t="n">
        <x:f>MAX(-'00_Arquitectura'!$B$106,MIN('00_Arquitectura'!$B$106,E535+F535))</x:f>
        <x:v>0</x:v>
      </x:c>
      <x:c r="H535" s="5" t="n">
        <x:f>$O$48</x:f>
        <x:v>54.6</x:v>
      </x:c>
      <x:c r="I535" s="5" t="n">
        <x:f>0</x:f>
        <x:v>0</x:v>
      </x:c>
      <x:c r="J535" s="5" t="n">
        <x:f>MAX(-'00_Arquitectura'!$B$107,MIN('00_Arquitectura'!$B$107,0))</x:f>
        <x:v>0</x:v>
      </x:c>
      <x:c r="K535" s="5" t="n">
        <x:f>MAX(0,MIN(100,H535+I535+J535))</x:f>
        <x:v>54.6</x:v>
      </x:c>
      <x:c r="L535" s="5" t="str">
        <x:v>Derivado de caja: ingreso recurrente, gasto, intereses y deuda. Nunca SUM de efectos fiscales directos.</x:v>
      </x:c>
    </x:row>
    <x:row r="536" ht="34" customHeight="1">
      <x:c r="A536" s="10" t="str">
        <x:v>S4_PRESTAMO</x:v>
      </x:c>
      <x:c r="B536" s="10" t="n">
        <x:v>4</x:v>
      </x:c>
      <x:c r="C536" s="10" t="str">
        <x:v>externo</x:v>
      </x:c>
      <x:c r="D536" s="10" t="n">
        <x:f>$H$522</x:f>
        <x:v>45</x:v>
      </x:c>
      <x:c r="E536" s="10" t="n">
        <x:f>0+0</x:f>
        <x:v>0</x:v>
      </x:c>
      <x:c r="F536" s="10" t="n">
        <x:f>0</x:f>
        <x:v>0</x:v>
      </x:c>
      <x:c r="G536" s="10" t="n">
        <x:f>MAX(-'00_Arquitectura'!$B$106,MIN('00_Arquitectura'!$B$106,E536+F536))</x:f>
        <x:v>0</x:v>
      </x:c>
      <x:c r="H536" s="10" t="n">
        <x:f>MAX(0,MIN(100,D536+G536))</x:f>
        <x:v>45</x:v>
      </x:c>
      <x:c r="I536" s="10" t="n">
        <x:f>0</x:f>
        <x:v>0</x:v>
      </x:c>
      <x:c r="J536" s="10" t="n">
        <x:f>MAX(-'00_Arquitectura'!$B$107,MIN('00_Arquitectura'!$B$107,$J$1350))</x:f>
        <x:v>0</x:v>
      </x:c>
      <x:c r="K536" s="10" t="n">
        <x:f>MAX(0,MIN(100,H536+I536+J536))</x:f>
        <x:v>45</x:v>
      </x:c>
      <x:c r="L536" s="10" t="str">
        <x:v>Pulsos y offsets: filtrar Instancias por escenario, turno y targetId. Base separada del nivel visible.</x:v>
      </x:c>
    </x:row>
    <x:row r="537" ht="34" customHeight="1">
      <x:c r="A537" s="5" t="str">
        <x:v>S4_PRESTAMO</x:v>
      </x:c>
      <x:c r="B537" s="5" t="n">
        <x:v>4</x:v>
      </x:c>
      <x:c r="C537" s="5" t="str">
        <x:v>infraestructura</x:v>
      </x:c>
      <x:c r="D537" s="5" t="n">
        <x:f>$H$523</x:f>
        <x:v>45</x:v>
      </x:c>
      <x:c r="E537" s="5" t="n">
        <x:f>0+0</x:f>
        <x:v>0</x:v>
      </x:c>
      <x:c r="F537" s="5" t="n">
        <x:f>0</x:f>
        <x:v>0</x:v>
      </x:c>
      <x:c r="G537" s="5" t="n">
        <x:f>MAX(-'00_Arquitectura'!$B$106,MIN('00_Arquitectura'!$B$106,E537+F537))</x:f>
        <x:v>0</x:v>
      </x:c>
      <x:c r="H537" s="5" t="n">
        <x:f>MAX(0,MIN(100,D537+G537))</x:f>
        <x:v>45</x:v>
      </x:c>
      <x:c r="I537" s="5" t="n">
        <x:f>0</x:f>
        <x:v>0</x:v>
      </x:c>
      <x:c r="J537" s="5" t="n">
        <x:f>MAX(-'00_Arquitectura'!$B$107,MIN('00_Arquitectura'!$B$107,0))</x:f>
        <x:v>0</x:v>
      </x:c>
      <x:c r="K537" s="5" t="n">
        <x:f>MAX(0,MIN(100,H537+I537+J537))</x:f>
        <x:v>45</x:v>
      </x:c>
      <x:c r="L537" s="5" t="str">
        <x:v>Pulsos y offsets: filtrar Instancias por escenario, turno y targetId. Base separada del nivel visible.</x:v>
      </x:c>
    </x:row>
    <x:row r="538" ht="34" customHeight="1">
      <x:c r="A538" s="10" t="str">
        <x:v>S4_PRESTAMO</x:v>
      </x:c>
      <x:c r="B538" s="10" t="n">
        <x:v>4</x:v>
      </x:c>
      <x:c r="C538" s="10" t="str">
        <x:v>educacion</x:v>
      </x:c>
      <x:c r="D538" s="10" t="n">
        <x:f>$H$524</x:f>
        <x:v>50</x:v>
      </x:c>
      <x:c r="E538" s="10" t="n">
        <x:f>0+0</x:f>
        <x:v>0</x:v>
      </x:c>
      <x:c r="F538" s="10" t="n">
        <x:f>0</x:f>
        <x:v>0</x:v>
      </x:c>
      <x:c r="G538" s="10" t="n">
        <x:f>MAX(-'00_Arquitectura'!$B$106,MIN('00_Arquitectura'!$B$106,E538+F538))</x:f>
        <x:v>0</x:v>
      </x:c>
      <x:c r="H538" s="10" t="n">
        <x:f>MAX(0,MIN(100,D538+G538))</x:f>
        <x:v>50</x:v>
      </x:c>
      <x:c r="I538" s="10" t="n">
        <x:f>0</x:f>
        <x:v>0</x:v>
      </x:c>
      <x:c r="J538" s="10" t="n">
        <x:f>MAX(-'00_Arquitectura'!$B$107,MIN('00_Arquitectura'!$B$107,$J$1357))</x:f>
        <x:v>0</x:v>
      </x:c>
      <x:c r="K538" s="10" t="n">
        <x:f>MAX(0,MIN(100,H538+I538+J538))</x:f>
        <x:v>50</x:v>
      </x:c>
      <x:c r="L538" s="10" t="str">
        <x:v>Pulsos y offsets: filtrar Instancias por escenario, turno y targetId. Base separada del nivel visible.</x:v>
      </x:c>
    </x:row>
    <x:row r="539" ht="34" customHeight="1">
      <x:c r="A539" s="5" t="str">
        <x:v>S4_PRESTAMO</x:v>
      </x:c>
      <x:c r="B539" s="5" t="n">
        <x:v>4</x:v>
      </x:c>
      <x:c r="C539" s="5" t="str">
        <x:v>salud</x:v>
      </x:c>
      <x:c r="D539" s="5" t="n">
        <x:f>$H$525</x:f>
        <x:v>50</x:v>
      </x:c>
      <x:c r="E539" s="5" t="n">
        <x:f>0+0</x:f>
        <x:v>0</x:v>
      </x:c>
      <x:c r="F539" s="5" t="n">
        <x:f>0</x:f>
        <x:v>0</x:v>
      </x:c>
      <x:c r="G539" s="5" t="n">
        <x:f>MAX(-'00_Arquitectura'!$B$106,MIN('00_Arquitectura'!$B$106,E539+F539))</x:f>
        <x:v>0</x:v>
      </x:c>
      <x:c r="H539" s="5" t="n">
        <x:f>MAX(0,MIN(100,D539+G539))</x:f>
        <x:v>50</x:v>
      </x:c>
      <x:c r="I539" s="5" t="n">
        <x:f>0</x:f>
        <x:v>0</x:v>
      </x:c>
      <x:c r="J539" s="5" t="n">
        <x:f>MAX(-'00_Arquitectura'!$B$107,MIN('00_Arquitectura'!$B$107,0))</x:f>
        <x:v>0</x:v>
      </x:c>
      <x:c r="K539" s="5" t="n">
        <x:f>MAX(0,MIN(100,H539+I539+J539))</x:f>
        <x:v>50</x:v>
      </x:c>
      <x:c r="L539" s="5" t="str">
        <x:v>Pulsos y offsets: filtrar Instancias por escenario, turno y targetId. Base separada del nivel visible.</x:v>
      </x:c>
    </x:row>
    <x:row r="540" ht="34" customHeight="1">
      <x:c r="A540" s="10" t="str">
        <x:v>S4_PRESTAMO</x:v>
      </x:c>
      <x:c r="B540" s="10" t="n">
        <x:v>4</x:v>
      </x:c>
      <x:c r="C540" s="10" t="str">
        <x:v>proteccion</x:v>
      </x:c>
      <x:c r="D540" s="10" t="n">
        <x:f>$H$526</x:f>
        <x:v>45</x:v>
      </x:c>
      <x:c r="E540" s="10" t="n">
        <x:f>0+0</x:f>
        <x:v>0</x:v>
      </x:c>
      <x:c r="F540" s="10" t="n">
        <x:f>0</x:f>
        <x:v>0</x:v>
      </x:c>
      <x:c r="G540" s="10" t="n">
        <x:f>MAX(-'00_Arquitectura'!$B$106,MIN('00_Arquitectura'!$B$106,E540+F540))</x:f>
        <x:v>0</x:v>
      </x:c>
      <x:c r="H540" s="10" t="n">
        <x:f>MAX(0,MIN(100,D540+G540))</x:f>
        <x:v>45</x:v>
      </x:c>
      <x:c r="I540" s="10" t="n">
        <x:f>0</x:f>
        <x:v>0</x:v>
      </x:c>
      <x:c r="J540" s="10" t="n">
        <x:f>MAX(-'00_Arquitectura'!$B$107,MIN('00_Arquitectura'!$B$107,$J$1355+$J$1359))</x:f>
        <x:v>0</x:v>
      </x:c>
      <x:c r="K540" s="10" t="n">
        <x:f>MAX(0,MIN(100,H540+I540+J540))</x:f>
        <x:v>45</x:v>
      </x:c>
      <x:c r="L540" s="10" t="str">
        <x:v>Pulsos y offsets: filtrar Instancias por escenario, turno y targetId. Base separada del nivel visible.</x:v>
      </x:c>
    </x:row>
    <x:row r="541" ht="34" customHeight="1">
      <x:c r="A541" s="5" t="str">
        <x:v>S4_PRESTAMO</x:v>
      </x:c>
      <x:c r="B541" s="5" t="n">
        <x:v>4</x:v>
      </x:c>
      <x:c r="C541" s="5" t="str">
        <x:v>seguridad</x:v>
      </x:c>
      <x:c r="D541" s="5" t="n">
        <x:f>$H$527</x:f>
        <x:v>45</x:v>
      </x:c>
      <x:c r="E541" s="5" t="n">
        <x:f>0+0</x:f>
        <x:v>0</x:v>
      </x:c>
      <x:c r="F541" s="5" t="n">
        <x:f>0</x:f>
        <x:v>0</x:v>
      </x:c>
      <x:c r="G541" s="5" t="n">
        <x:f>MAX(-'00_Arquitectura'!$B$106,MIN('00_Arquitectura'!$B$106,E541+F541))</x:f>
        <x:v>0</x:v>
      </x:c>
      <x:c r="H541" s="5" t="n">
        <x:f>MAX(0,MIN(100,D541+G541))</x:f>
        <x:v>45</x:v>
      </x:c>
      <x:c r="I541" s="5" t="n">
        <x:f>0</x:f>
        <x:v>0</x:v>
      </x:c>
      <x:c r="J541" s="5" t="n">
        <x:f>MAX(-'00_Arquitectura'!$B$107,MIN('00_Arquitectura'!$B$107,0))</x:f>
        <x:v>0</x:v>
      </x:c>
      <x:c r="K541" s="5" t="n">
        <x:f>MAX(0,MIN(100,H541+I541+J541))</x:f>
        <x:v>45</x:v>
      </x:c>
      <x:c r="L541" s="5" t="str">
        <x:v>Pulsos y offsets: filtrar Instancias por escenario, turno y targetId. Base separada del nivel visible.</x:v>
      </x:c>
    </x:row>
    <x:row r="542" ht="34" customHeight="1">
      <x:c r="A542" s="10" t="str">
        <x:v>S4_PRESTAMO</x:v>
      </x:c>
      <x:c r="B542" s="10" t="n">
        <x:v>4</x:v>
      </x:c>
      <x:c r="C542" s="10" t="str">
        <x:v>ciencia</x:v>
      </x:c>
      <x:c r="D542" s="10" t="n">
        <x:f>$H$528</x:f>
        <x:v>40</x:v>
      </x:c>
      <x:c r="E542" s="10" t="n">
        <x:f>0+0</x:f>
        <x:v>0</x:v>
      </x:c>
      <x:c r="F542" s="10" t="n">
        <x:f>0</x:f>
        <x:v>0</x:v>
      </x:c>
      <x:c r="G542" s="10" t="n">
        <x:f>MAX(-'00_Arquitectura'!$B$106,MIN('00_Arquitectura'!$B$106,E542+F542))</x:f>
        <x:v>0</x:v>
      </x:c>
      <x:c r="H542" s="10" t="n">
        <x:f>MAX(0,MIN(100,D542+G542))</x:f>
        <x:v>40</x:v>
      </x:c>
      <x:c r="I542" s="10" t="n">
        <x:f>0</x:f>
        <x:v>0</x:v>
      </x:c>
      <x:c r="J542" s="10" t="n">
        <x:f>MAX(-'00_Arquitectura'!$B$107,MIN('00_Arquitectura'!$B$107,$J$1358))</x:f>
        <x:v>0</x:v>
      </x:c>
      <x:c r="K542" s="10" t="n">
        <x:f>MAX(0,MIN(100,H542+I542+J542))</x:f>
        <x:v>40</x:v>
      </x:c>
      <x:c r="L542" s="10" t="str">
        <x:v>Pulsos y offsets: filtrar Instancias por escenario, turno y targetId. Base separada del nivel visible.</x:v>
      </x:c>
    </x:row>
    <x:row r="543" ht="34" customHeight="1">
      <x:c r="A543" s="5" t="str">
        <x:v>S4_PRESTAMO</x:v>
      </x:c>
      <x:c r="B543" s="5" t="n">
        <x:v>4</x:v>
      </x:c>
      <x:c r="C543" s="5" t="str">
        <x:v>derechos</x:v>
      </x:c>
      <x:c r="D543" s="5" t="n">
        <x:f>$H$529</x:f>
        <x:v>57</x:v>
      </x:c>
      <x:c r="E543" s="5" t="n">
        <x:f>0+0</x:f>
        <x:v>0</x:v>
      </x:c>
      <x:c r="F543" s="5" t="n">
        <x:f>0</x:f>
        <x:v>0</x:v>
      </x:c>
      <x:c r="G543" s="5" t="n">
        <x:f>MAX(-'00_Arquitectura'!$B$106,MIN('00_Arquitectura'!$B$106,E543+F543))</x:f>
        <x:v>0</x:v>
      </x:c>
      <x:c r="H543" s="5" t="n">
        <x:f>MAX(0,MIN(100,D543+G543))</x:f>
        <x:v>57</x:v>
      </x:c>
      <x:c r="I543" s="5" t="n">
        <x:f>0</x:f>
        <x:v>0</x:v>
      </x:c>
      <x:c r="J543" s="5" t="n">
        <x:f>MAX(-'00_Arquitectura'!$B$107,MIN('00_Arquitectura'!$B$107,0))</x:f>
        <x:v>0</x:v>
      </x:c>
      <x:c r="K543" s="5" t="n">
        <x:f>MAX(0,MIN(100,H543+I543+J543))</x:f>
        <x:v>57</x:v>
      </x:c>
      <x:c r="L543" s="5" t="str">
        <x:v>Pulsos y offsets: filtrar Instancias por escenario, turno y targetId. Base separada del nivel visible.</x:v>
      </x:c>
    </x:row>
    <x:row r="544" ht="34" customHeight="1">
      <x:c r="A544" s="10" t="str">
        <x:v>S4_PRESTAMO</x:v>
      </x:c>
      <x:c r="B544" s="10" t="n">
        <x:v>4</x:v>
      </x:c>
      <x:c r="C544" s="10" t="str">
        <x:v>ambiente</x:v>
      </x:c>
      <x:c r="D544" s="10" t="n">
        <x:f>$H$530</x:f>
        <x:v>50</x:v>
      </x:c>
      <x:c r="E544" s="10" t="n">
        <x:f>0+0</x:f>
        <x:v>0</x:v>
      </x:c>
      <x:c r="F544" s="10" t="n">
        <x:f>0</x:f>
        <x:v>0</x:v>
      </x:c>
      <x:c r="G544" s="10" t="n">
        <x:f>MAX(-'00_Arquitectura'!$B$106,MIN('00_Arquitectura'!$B$106,E544+F544))</x:f>
        <x:v>0</x:v>
      </x:c>
      <x:c r="H544" s="10" t="n">
        <x:f>MAX(0,MIN(100,D544+G544))</x:f>
        <x:v>50</x:v>
      </x:c>
      <x:c r="I544" s="10" t="n">
        <x:f>0</x:f>
        <x:v>0</x:v>
      </x:c>
      <x:c r="J544" s="10" t="n">
        <x:f>MAX(-'00_Arquitectura'!$B$107,MIN('00_Arquitectura'!$B$107,0))</x:f>
        <x:v>0</x:v>
      </x:c>
      <x:c r="K544" s="10" t="n">
        <x:f>MAX(0,MIN(100,H544+I544+J544))</x:f>
        <x:v>50</x:v>
      </x:c>
      <x:c r="L544" s="10" t="str">
        <x:v>Pulsos y offsets: filtrar Instancias por escenario, turno y targetId. Base separada del nivel visible.</x:v>
      </x:c>
    </x:row>
    <x:row r="545" ht="42" customHeight="1">
      <x:c r="A545" s="5" t="str">
        <x:v>S4_PRESTAMO</x:v>
      </x:c>
      <x:c r="B545" s="5" t="n">
        <x:v>5</x:v>
      </x:c>
      <x:c r="C545" s="5" t="str">
        <x:v>inflacion</x:v>
      </x:c>
      <x:c r="D545" s="5" t="n">
        <x:f>$H$531</x:f>
        <x:v>40</x:v>
      </x:c>
      <x:c r="E545" s="5" t="n">
        <x:f>0+0</x:f>
        <x:v>0</x:v>
      </x:c>
      <x:c r="F545" s="5" t="n">
        <x:f>-'00_Arquitectura'!$B$96*($H$531-40)</x:f>
        <x:v>0</x:v>
      </x:c>
      <x:c r="G545" s="5" t="n">
        <x:f>MAX(-'00_Arquitectura'!$B$106,MIN('00_Arquitectura'!$B$106,E545+F545))</x:f>
        <x:v>0</x:v>
      </x:c>
      <x:c r="H545" s="5" t="n">
        <x:f>MAX(0,MIN(100,D545+G545))</x:f>
        <x:v>40</x:v>
      </x:c>
      <x:c r="I545" s="5" t="n">
        <x:f>0</x:f>
        <x:v>0</x:v>
      </x:c>
      <x:c r="J545" s="5" t="n">
        <x:f>MAX(-'00_Arquitectura'!$B$107,MIN('00_Arquitectura'!$B$107,0))</x:f>
        <x:v>0</x:v>
      </x:c>
      <x:c r="K545" s="5" t="n">
        <x:f>MAX(0,MIN(100,H545+I545+J545))</x:f>
        <x:v>40</x:v>
      </x:c>
      <x:c r="L545" s="5" t="str">
        <x:v>Aplica link L01. Pulsos y offsets: filtrar Instancias por escenario, turno y targetId. Base separada del nivel visible.</x:v>
      </x:c>
    </x:row>
    <x:row r="546" ht="42" customHeight="1">
      <x:c r="A546" s="10" t="str">
        <x:v>S4_PRESTAMO</x:v>
      </x:c>
      <x:c r="B546" s="10" t="n">
        <x:v>5</x:v>
      </x:c>
      <x:c r="C546" s="10" t="str">
        <x:v>actividad</x:v>
      </x:c>
      <x:c r="D546" s="10" t="n">
        <x:f>$H$532</x:f>
        <x:v>49.9872</x:v>
      </x:c>
      <x:c r="E546" s="10" t="n">
        <x:f>0+0</x:f>
        <x:v>0</x:v>
      </x:c>
      <x:c r="F546" s="10" t="n">
        <x:f>-'00_Arquitectura'!$B$97*($H$532-50)+'00_Arquitectura'!$B$98*($K$534-45)+'00_Arquitectura'!$B$99*($K$537-45)+'00_Arquitectura'!$B$100*($K$536-45)</x:f>
        <x:v>-0.013760000000000331</x:v>
      </x:c>
      <x:c r="G546" s="10" t="n">
        <x:f>MAX(-'00_Arquitectura'!$B$106,MIN('00_Arquitectura'!$B$106,E546+F546))</x:f>
        <x:v>-0.013760000000000331</x:v>
      </x:c>
      <x:c r="H546" s="10" t="n">
        <x:f>MAX(0,MIN(100,D546+G546))</x:f>
        <x:v>49.973440000000004</x:v>
      </x:c>
      <x:c r="I546" s="10" t="n">
        <x:f>0</x:f>
        <x:v>0</x:v>
      </x:c>
      <x:c r="J546" s="10" t="n">
        <x:f>MAX(-'00_Arquitectura'!$B$107,MIN('00_Arquitectura'!$B$107,$J$1367+$J$1370+$J$1371))</x:f>
        <x:v>0</x:v>
      </x:c>
      <x:c r="K546" s="10" t="n">
        <x:f>MAX(0,MIN(100,H546+I546+J546))</x:f>
        <x:v>49.973440000000004</x:v>
      </x:c>
      <x:c r="L546" s="10" t="str">
        <x:v>Aplica link L02. Pulsos y offsets: filtrar Instancias por escenario, turno y targetId. Base separada del nivel visible.</x:v>
      </x:c>
    </x:row>
    <x:row r="547" ht="42" customHeight="1">
      <x:c r="A547" s="5" t="str">
        <x:v>S4_PRESTAMO</x:v>
      </x:c>
      <x:c r="B547" s="5" t="n">
        <x:v>5</x:v>
      </x:c>
      <x:c r="C547" s="5" t="str">
        <x:v>ingreso_real</x:v>
      </x:c>
      <x:c r="D547" s="5" t="n">
        <x:f>$H$533</x:f>
        <x:v>45</x:v>
      </x:c>
      <x:c r="E547" s="5" t="n">
        <x:f>0+0</x:f>
        <x:v>0</x:v>
      </x:c>
      <x:c r="F547" s="5" t="n">
        <x:f>'00_Arquitectura'!$B$101*($K$532-$K$518)+'00_Arquitectura'!$B$102*($K$531-$K$517)</x:f>
        <x:v>-0.0019199999999997884</x:v>
      </x:c>
      <x:c r="G547" s="5" t="n">
        <x:f>MAX(-'00_Arquitectura'!$B$106,MIN('00_Arquitectura'!$B$106,E547+F547))</x:f>
        <x:v>-0.0019199999999997884</x:v>
      </x:c>
      <x:c r="H547" s="5" t="n">
        <x:f>MAX(0,MIN(100,D547+G547))</x:f>
        <x:v>44.99808</x:v>
      </x:c>
      <x:c r="I547" s="5" t="n">
        <x:f>0</x:f>
        <x:v>0</x:v>
      </x:c>
      <x:c r="J547" s="5" t="n">
        <x:f>MAX(-'00_Arquitectura'!$B$107,MIN('00_Arquitectura'!$B$107,0))</x:f>
        <x:v>0</x:v>
      </x:c>
      <x:c r="K547" s="5" t="n">
        <x:f>MAX(0,MIN(100,H547+I547+J547))</x:f>
        <x:v>44.99808</x:v>
      </x:c>
      <x:c r="L547" s="5" t="str">
        <x:v>Aplica link L03. Pulsos y offsets: filtrar Instancias por escenario, turno y targetId. Base separada del nivel visible.</x:v>
      </x:c>
    </x:row>
    <x:row r="548" ht="42" customHeight="1">
      <x:c r="A548" s="10" t="str">
        <x:v>S4_PRESTAMO</x:v>
      </x:c>
      <x:c r="B548" s="10" t="n">
        <x:v>5</x:v>
      </x:c>
      <x:c r="C548" s="10" t="str">
        <x:v>credito</x:v>
      </x:c>
      <x:c r="D548" s="10" t="n">
        <x:f>$H$534</x:f>
        <x:v>44.796</x:v>
      </x:c>
      <x:c r="E548" s="10" t="n">
        <x:f>0+0</x:f>
        <x:v>0</x:v>
      </x:c>
      <x:c r="F548" s="10" t="n">
        <x:f>-'00_Arquitectura'!$B$103*($H$534-45)+'00_Arquitectura'!$B$104*($K$531-$K$517)+'00_Arquitectura'!$B$105*($K$535-'00_Arquitectura'!$B$117)</x:f>
        <x:v>-0.037399999999999885</x:v>
      </x:c>
      <x:c r="G548" s="10" t="n">
        <x:f>MAX(-'00_Arquitectura'!$B$106,MIN('00_Arquitectura'!$B$106,E548+F548))</x:f>
        <x:v>-0.037399999999999885</x:v>
      </x:c>
      <x:c r="H548" s="10" t="n">
        <x:f>MAX(0,MIN(100,D548+G548))</x:f>
        <x:v>44.7586</x:v>
      </x:c>
      <x:c r="I548" s="10" t="n">
        <x:f>0</x:f>
        <x:v>0</x:v>
      </x:c>
      <x:c r="J548" s="10" t="n">
        <x:f>MAX(-'00_Arquitectura'!$B$107,MIN('00_Arquitectura'!$B$107,$J$1369))</x:f>
        <x:v>0</x:v>
      </x:c>
      <x:c r="K548" s="10" t="n">
        <x:f>MAX(0,MIN(100,H548+I548+J548))</x:f>
        <x:v>44.7586</x:v>
      </x:c>
      <x:c r="L548" s="10" t="str">
        <x:v>Aplica link L04. Pulsos y offsets: filtrar Instancias por escenario, turno y targetId. Base separada del nivel visible.</x:v>
      </x:c>
    </x:row>
    <x:row r="549" ht="34" customHeight="1">
      <x:c r="A549" s="5" t="str">
        <x:v>S4_PRESTAMO</x:v>
      </x:c>
      <x:c r="B549" s="5" t="n">
        <x:v>5</x:v>
      </x:c>
      <x:c r="C549" s="5" t="str">
        <x:v>fiscal</x:v>
      </x:c>
      <x:c r="D549" s="5" t="n">
        <x:f>$H$535</x:f>
        <x:v>54.6</x:v>
      </x:c>
      <x:c r="E549" s="5" t="n">
        <x:f>0+0</x:f>
        <x:v>0</x:v>
      </x:c>
      <x:c r="F549" s="5" t="n">
        <x:f>0</x:f>
        <x:v>0</x:v>
      </x:c>
      <x:c r="G549" s="5" t="n">
        <x:f>MAX(-'00_Arquitectura'!$B$106,MIN('00_Arquitectura'!$B$106,E549+F549))</x:f>
        <x:v>0</x:v>
      </x:c>
      <x:c r="H549" s="5" t="n">
        <x:f>$O$49</x:f>
        <x:v>54.597440000000006</x:v>
      </x:c>
      <x:c r="I549" s="5" t="n">
        <x:f>0</x:f>
        <x:v>0</x:v>
      </x:c>
      <x:c r="J549" s="5" t="n">
        <x:f>MAX(-'00_Arquitectura'!$B$107,MIN('00_Arquitectura'!$B$107,0))</x:f>
        <x:v>0</x:v>
      </x:c>
      <x:c r="K549" s="5" t="n">
        <x:f>MAX(0,MIN(100,H549+I549+J549))</x:f>
        <x:v>54.597440000000006</x:v>
      </x:c>
      <x:c r="L549" s="5" t="str">
        <x:v>Derivado de caja: ingreso recurrente, gasto, intereses y deuda. Nunca SUM de efectos fiscales directos.</x:v>
      </x:c>
    </x:row>
    <x:row r="550" ht="34" customHeight="1">
      <x:c r="A550" s="10" t="str">
        <x:v>S4_PRESTAMO</x:v>
      </x:c>
      <x:c r="B550" s="10" t="n">
        <x:v>5</x:v>
      </x:c>
      <x:c r="C550" s="10" t="str">
        <x:v>externo</x:v>
      </x:c>
      <x:c r="D550" s="10" t="n">
        <x:f>$H$536</x:f>
        <x:v>45</x:v>
      </x:c>
      <x:c r="E550" s="10" t="n">
        <x:f>0+0</x:f>
        <x:v>0</x:v>
      </x:c>
      <x:c r="F550" s="10" t="n">
        <x:f>0</x:f>
        <x:v>0</x:v>
      </x:c>
      <x:c r="G550" s="10" t="n">
        <x:f>MAX(-'00_Arquitectura'!$B$106,MIN('00_Arquitectura'!$B$106,E550+F550))</x:f>
        <x:v>0</x:v>
      </x:c>
      <x:c r="H550" s="10" t="n">
        <x:f>MAX(0,MIN(100,D550+G550))</x:f>
        <x:v>45</x:v>
      </x:c>
      <x:c r="I550" s="10" t="n">
        <x:f>0</x:f>
        <x:v>0</x:v>
      </x:c>
      <x:c r="J550" s="10" t="n">
        <x:f>MAX(-'00_Arquitectura'!$B$107,MIN('00_Arquitectura'!$B$107,$J$1368))</x:f>
        <x:v>0</x:v>
      </x:c>
      <x:c r="K550" s="10" t="n">
        <x:f>MAX(0,MIN(100,H550+I550+J550))</x:f>
        <x:v>45</x:v>
      </x:c>
      <x:c r="L550" s="10" t="str">
        <x:v>Pulsos y offsets: filtrar Instancias por escenario, turno y targetId. Base separada del nivel visible.</x:v>
      </x:c>
    </x:row>
    <x:row r="551" ht="34" customHeight="1">
      <x:c r="A551" s="5" t="str">
        <x:v>S4_PRESTAMO</x:v>
      </x:c>
      <x:c r="B551" s="5" t="n">
        <x:v>5</x:v>
      </x:c>
      <x:c r="C551" s="5" t="str">
        <x:v>infraestructura</x:v>
      </x:c>
      <x:c r="D551" s="5" t="n">
        <x:f>$H$537</x:f>
        <x:v>45</x:v>
      </x:c>
      <x:c r="E551" s="5" t="n">
        <x:f>0+0</x:f>
        <x:v>0</x:v>
      </x:c>
      <x:c r="F551" s="5" t="n">
        <x:f>0</x:f>
        <x:v>0</x:v>
      </x:c>
      <x:c r="G551" s="5" t="n">
        <x:f>MAX(-'00_Arquitectura'!$B$106,MIN('00_Arquitectura'!$B$106,E551+F551))</x:f>
        <x:v>0</x:v>
      </x:c>
      <x:c r="H551" s="5" t="n">
        <x:f>MAX(0,MIN(100,D551+G551))</x:f>
        <x:v>45</x:v>
      </x:c>
      <x:c r="I551" s="5" t="n">
        <x:f>0</x:f>
        <x:v>0</x:v>
      </x:c>
      <x:c r="J551" s="5" t="n">
        <x:f>MAX(-'00_Arquitectura'!$B$107,MIN('00_Arquitectura'!$B$107,0))</x:f>
        <x:v>0</x:v>
      </x:c>
      <x:c r="K551" s="5" t="n">
        <x:f>MAX(0,MIN(100,H551+I551+J551))</x:f>
        <x:v>45</x:v>
      </x:c>
      <x:c r="L551" s="5" t="str">
        <x:v>Pulsos y offsets: filtrar Instancias por escenario, turno y targetId. Base separada del nivel visible.</x:v>
      </x:c>
    </x:row>
    <x:row r="552" ht="34" customHeight="1">
      <x:c r="A552" s="10" t="str">
        <x:v>S4_PRESTAMO</x:v>
      </x:c>
      <x:c r="B552" s="10" t="n">
        <x:v>5</x:v>
      </x:c>
      <x:c r="C552" s="10" t="str">
        <x:v>educacion</x:v>
      </x:c>
      <x:c r="D552" s="10" t="n">
        <x:f>$H$538</x:f>
        <x:v>50</x:v>
      </x:c>
      <x:c r="E552" s="10" t="n">
        <x:f>0+0</x:f>
        <x:v>0</x:v>
      </x:c>
      <x:c r="F552" s="10" t="n">
        <x:f>0</x:f>
        <x:v>0</x:v>
      </x:c>
      <x:c r="G552" s="10" t="n">
        <x:f>MAX(-'00_Arquitectura'!$B$106,MIN('00_Arquitectura'!$B$106,E552+F552))</x:f>
        <x:v>0</x:v>
      </x:c>
      <x:c r="H552" s="10" t="n">
        <x:f>MAX(0,MIN(100,D552+G552))</x:f>
        <x:v>50</x:v>
      </x:c>
      <x:c r="I552" s="10" t="n">
        <x:f>0</x:f>
        <x:v>0</x:v>
      </x:c>
      <x:c r="J552" s="10" t="n">
        <x:f>MAX(-'00_Arquitectura'!$B$107,MIN('00_Arquitectura'!$B$107,$J$1375))</x:f>
        <x:v>0</x:v>
      </x:c>
      <x:c r="K552" s="10" t="n">
        <x:f>MAX(0,MIN(100,H552+I552+J552))</x:f>
        <x:v>50</x:v>
      </x:c>
      <x:c r="L552" s="10" t="str">
        <x:v>Pulsos y offsets: filtrar Instancias por escenario, turno y targetId. Base separada del nivel visible.</x:v>
      </x:c>
    </x:row>
    <x:row r="553" ht="34" customHeight="1">
      <x:c r="A553" s="5" t="str">
        <x:v>S4_PRESTAMO</x:v>
      </x:c>
      <x:c r="B553" s="5" t="n">
        <x:v>5</x:v>
      </x:c>
      <x:c r="C553" s="5" t="str">
        <x:v>salud</x:v>
      </x:c>
      <x:c r="D553" s="5" t="n">
        <x:f>$H$539</x:f>
        <x:v>50</x:v>
      </x:c>
      <x:c r="E553" s="5" t="n">
        <x:f>0+0</x:f>
        <x:v>0</x:v>
      </x:c>
      <x:c r="F553" s="5" t="n">
        <x:f>0</x:f>
        <x:v>0</x:v>
      </x:c>
      <x:c r="G553" s="5" t="n">
        <x:f>MAX(-'00_Arquitectura'!$B$106,MIN('00_Arquitectura'!$B$106,E553+F553))</x:f>
        <x:v>0</x:v>
      </x:c>
      <x:c r="H553" s="5" t="n">
        <x:f>MAX(0,MIN(100,D553+G553))</x:f>
        <x:v>50</x:v>
      </x:c>
      <x:c r="I553" s="5" t="n">
        <x:f>0</x:f>
        <x:v>0</x:v>
      </x:c>
      <x:c r="J553" s="5" t="n">
        <x:f>MAX(-'00_Arquitectura'!$B$107,MIN('00_Arquitectura'!$B$107,0))</x:f>
        <x:v>0</x:v>
      </x:c>
      <x:c r="K553" s="5" t="n">
        <x:f>MAX(0,MIN(100,H553+I553+J553))</x:f>
        <x:v>50</x:v>
      </x:c>
      <x:c r="L553" s="5" t="str">
        <x:v>Pulsos y offsets: filtrar Instancias por escenario, turno y targetId. Base separada del nivel visible.</x:v>
      </x:c>
    </x:row>
    <x:row r="554" ht="34" customHeight="1">
      <x:c r="A554" s="10" t="str">
        <x:v>S4_PRESTAMO</x:v>
      </x:c>
      <x:c r="B554" s="10" t="n">
        <x:v>5</x:v>
      </x:c>
      <x:c r="C554" s="10" t="str">
        <x:v>proteccion</x:v>
      </x:c>
      <x:c r="D554" s="10" t="n">
        <x:f>$H$540</x:f>
        <x:v>45</x:v>
      </x:c>
      <x:c r="E554" s="10" t="n">
        <x:f>0+0</x:f>
        <x:v>0</x:v>
      </x:c>
      <x:c r="F554" s="10" t="n">
        <x:f>0</x:f>
        <x:v>0</x:v>
      </x:c>
      <x:c r="G554" s="10" t="n">
        <x:f>MAX(-'00_Arquitectura'!$B$106,MIN('00_Arquitectura'!$B$106,E554+F554))</x:f>
        <x:v>0</x:v>
      </x:c>
      <x:c r="H554" s="10" t="n">
        <x:f>MAX(0,MIN(100,D554+G554))</x:f>
        <x:v>45</x:v>
      </x:c>
      <x:c r="I554" s="10" t="n">
        <x:f>0</x:f>
        <x:v>0</x:v>
      </x:c>
      <x:c r="J554" s="10" t="n">
        <x:f>MAX(-'00_Arquitectura'!$B$107,MIN('00_Arquitectura'!$B$107,$J$1373+$J$1377))</x:f>
        <x:v>0</x:v>
      </x:c>
      <x:c r="K554" s="10" t="n">
        <x:f>MAX(0,MIN(100,H554+I554+J554))</x:f>
        <x:v>45</x:v>
      </x:c>
      <x:c r="L554" s="10" t="str">
        <x:v>Pulsos y offsets: filtrar Instancias por escenario, turno y targetId. Base separada del nivel visible.</x:v>
      </x:c>
    </x:row>
    <x:row r="555" ht="34" customHeight="1">
      <x:c r="A555" s="5" t="str">
        <x:v>S4_PRESTAMO</x:v>
      </x:c>
      <x:c r="B555" s="5" t="n">
        <x:v>5</x:v>
      </x:c>
      <x:c r="C555" s="5" t="str">
        <x:v>seguridad</x:v>
      </x:c>
      <x:c r="D555" s="5" t="n">
        <x:f>$H$541</x:f>
        <x:v>45</x:v>
      </x:c>
      <x:c r="E555" s="5" t="n">
        <x:f>0+0</x:f>
        <x:v>0</x:v>
      </x:c>
      <x:c r="F555" s="5" t="n">
        <x:f>0</x:f>
        <x:v>0</x:v>
      </x:c>
      <x:c r="G555" s="5" t="n">
        <x:f>MAX(-'00_Arquitectura'!$B$106,MIN('00_Arquitectura'!$B$106,E555+F555))</x:f>
        <x:v>0</x:v>
      </x:c>
      <x:c r="H555" s="5" t="n">
        <x:f>MAX(0,MIN(100,D555+G555))</x:f>
        <x:v>45</x:v>
      </x:c>
      <x:c r="I555" s="5" t="n">
        <x:f>0</x:f>
        <x:v>0</x:v>
      </x:c>
      <x:c r="J555" s="5" t="n">
        <x:f>MAX(-'00_Arquitectura'!$B$107,MIN('00_Arquitectura'!$B$107,0))</x:f>
        <x:v>0</x:v>
      </x:c>
      <x:c r="K555" s="5" t="n">
        <x:f>MAX(0,MIN(100,H555+I555+J555))</x:f>
        <x:v>45</x:v>
      </x:c>
      <x:c r="L555" s="5" t="str">
        <x:v>Pulsos y offsets: filtrar Instancias por escenario, turno y targetId. Base separada del nivel visible.</x:v>
      </x:c>
    </x:row>
    <x:row r="556" ht="34" customHeight="1">
      <x:c r="A556" s="10" t="str">
        <x:v>S4_PRESTAMO</x:v>
      </x:c>
      <x:c r="B556" s="10" t="n">
        <x:v>5</x:v>
      </x:c>
      <x:c r="C556" s="10" t="str">
        <x:v>ciencia</x:v>
      </x:c>
      <x:c r="D556" s="10" t="n">
        <x:f>$H$542</x:f>
        <x:v>40</x:v>
      </x:c>
      <x:c r="E556" s="10" t="n">
        <x:f>0+0</x:f>
        <x:v>0</x:v>
      </x:c>
      <x:c r="F556" s="10" t="n">
        <x:f>0</x:f>
        <x:v>0</x:v>
      </x:c>
      <x:c r="G556" s="10" t="n">
        <x:f>MAX(-'00_Arquitectura'!$B$106,MIN('00_Arquitectura'!$B$106,E556+F556))</x:f>
        <x:v>0</x:v>
      </x:c>
      <x:c r="H556" s="10" t="n">
        <x:f>MAX(0,MIN(100,D556+G556))</x:f>
        <x:v>40</x:v>
      </x:c>
      <x:c r="I556" s="10" t="n">
        <x:f>0</x:f>
        <x:v>0</x:v>
      </x:c>
      <x:c r="J556" s="10" t="n">
        <x:f>MAX(-'00_Arquitectura'!$B$107,MIN('00_Arquitectura'!$B$107,$J$1376))</x:f>
        <x:v>0</x:v>
      </x:c>
      <x:c r="K556" s="10" t="n">
        <x:f>MAX(0,MIN(100,H556+I556+J556))</x:f>
        <x:v>40</x:v>
      </x:c>
      <x:c r="L556" s="10" t="str">
        <x:v>Pulsos y offsets: filtrar Instancias por escenario, turno y targetId. Base separada del nivel visible.</x:v>
      </x:c>
    </x:row>
    <x:row r="557" ht="34" customHeight="1">
      <x:c r="A557" s="5" t="str">
        <x:v>S4_PRESTAMO</x:v>
      </x:c>
      <x:c r="B557" s="5" t="n">
        <x:v>5</x:v>
      </x:c>
      <x:c r="C557" s="5" t="str">
        <x:v>derechos</x:v>
      </x:c>
      <x:c r="D557" s="5" t="n">
        <x:f>$H$543</x:f>
        <x:v>57</x:v>
      </x:c>
      <x:c r="E557" s="5" t="n">
        <x:f>0+0</x:f>
        <x:v>0</x:v>
      </x:c>
      <x:c r="F557" s="5" t="n">
        <x:f>0</x:f>
        <x:v>0</x:v>
      </x:c>
      <x:c r="G557" s="5" t="n">
        <x:f>MAX(-'00_Arquitectura'!$B$106,MIN('00_Arquitectura'!$B$106,E557+F557))</x:f>
        <x:v>0</x:v>
      </x:c>
      <x:c r="H557" s="5" t="n">
        <x:f>MAX(0,MIN(100,D557+G557))</x:f>
        <x:v>57</x:v>
      </x:c>
      <x:c r="I557" s="5" t="n">
        <x:f>0</x:f>
        <x:v>0</x:v>
      </x:c>
      <x:c r="J557" s="5" t="n">
        <x:f>MAX(-'00_Arquitectura'!$B$107,MIN('00_Arquitectura'!$B$107,0))</x:f>
        <x:v>0</x:v>
      </x:c>
      <x:c r="K557" s="5" t="n">
        <x:f>MAX(0,MIN(100,H557+I557+J557))</x:f>
        <x:v>57</x:v>
      </x:c>
      <x:c r="L557" s="5" t="str">
        <x:v>Pulsos y offsets: filtrar Instancias por escenario, turno y targetId. Base separada del nivel visible.</x:v>
      </x:c>
    </x:row>
    <x:row r="558" ht="34" customHeight="1">
      <x:c r="A558" s="10" t="str">
        <x:v>S4_PRESTAMO</x:v>
      </x:c>
      <x:c r="B558" s="10" t="n">
        <x:v>5</x:v>
      </x:c>
      <x:c r="C558" s="10" t="str">
        <x:v>ambiente</x:v>
      </x:c>
      <x:c r="D558" s="10" t="n">
        <x:f>$H$544</x:f>
        <x:v>50</x:v>
      </x:c>
      <x:c r="E558" s="10" t="n">
        <x:f>0+0</x:f>
        <x:v>0</x:v>
      </x:c>
      <x:c r="F558" s="10" t="n">
        <x:f>0</x:f>
        <x:v>0</x:v>
      </x:c>
      <x:c r="G558" s="10" t="n">
        <x:f>MAX(-'00_Arquitectura'!$B$106,MIN('00_Arquitectura'!$B$106,E558+F558))</x:f>
        <x:v>0</x:v>
      </x:c>
      <x:c r="H558" s="10" t="n">
        <x:f>MAX(0,MIN(100,D558+G558))</x:f>
        <x:v>50</x:v>
      </x:c>
      <x:c r="I558" s="10" t="n">
        <x:f>0</x:f>
        <x:v>0</x:v>
      </x:c>
      <x:c r="J558" s="10" t="n">
        <x:f>MAX(-'00_Arquitectura'!$B$107,MIN('00_Arquitectura'!$B$107,0))</x:f>
        <x:v>0</x:v>
      </x:c>
      <x:c r="K558" s="10" t="n">
        <x:f>MAX(0,MIN(100,H558+I558+J558))</x:f>
        <x:v>50</x:v>
      </x:c>
      <x:c r="L558" s="10" t="str">
        <x:v>Pulsos y offsets: filtrar Instancias por escenario, turno y targetId. Base separada del nivel visible.</x:v>
      </x:c>
    </x:row>
    <x:row r="559" ht="42" customHeight="1">
      <x:c r="A559" s="5" t="str">
        <x:v>S4_PRESTAMO</x:v>
      </x:c>
      <x:c r="B559" s="5" t="n">
        <x:v>6</x:v>
      </x:c>
      <x:c r="C559" s="5" t="str">
        <x:v>inflacion</x:v>
      </x:c>
      <x:c r="D559" s="5" t="n">
        <x:f>$H$545</x:f>
        <x:v>40</x:v>
      </x:c>
      <x:c r="E559" s="5" t="n">
        <x:f>0+0</x:f>
        <x:v>0</x:v>
      </x:c>
      <x:c r="F559" s="5" t="n">
        <x:f>-'00_Arquitectura'!$B$96*($H$545-40)</x:f>
        <x:v>0</x:v>
      </x:c>
      <x:c r="G559" s="5" t="n">
        <x:f>MAX(-'00_Arquitectura'!$B$106,MIN('00_Arquitectura'!$B$106,E559+F559))</x:f>
        <x:v>0</x:v>
      </x:c>
      <x:c r="H559" s="5" t="n">
        <x:f>MAX(0,MIN(100,D559+G559))</x:f>
        <x:v>40</x:v>
      </x:c>
      <x:c r="I559" s="5" t="n">
        <x:f>0</x:f>
        <x:v>0</x:v>
      </x:c>
      <x:c r="J559" s="5" t="n">
        <x:f>MAX(-'00_Arquitectura'!$B$107,MIN('00_Arquitectura'!$B$107,0))</x:f>
        <x:v>0</x:v>
      </x:c>
      <x:c r="K559" s="5" t="n">
        <x:f>MAX(0,MIN(100,H559+I559+J559))</x:f>
        <x:v>40</x:v>
      </x:c>
      <x:c r="L559" s="5" t="str">
        <x:v>Aplica link L01. Pulsos y offsets: filtrar Instancias por escenario, turno y targetId. Base separada del nivel visible.</x:v>
      </x:c>
    </x:row>
    <x:row r="560" ht="42" customHeight="1">
      <x:c r="A560" s="10" t="str">
        <x:v>S4_PRESTAMO</x:v>
      </x:c>
      <x:c r="B560" s="10" t="n">
        <x:v>6</x:v>
      </x:c>
      <x:c r="C560" s="10" t="str">
        <x:v>actividad</x:v>
      </x:c>
      <x:c r="D560" s="10" t="n">
        <x:f>$H$546</x:f>
        <x:v>49.973440000000004</x:v>
      </x:c>
      <x:c r="E560" s="10" t="n">
        <x:f>0+0</x:f>
        <x:v>0</x:v>
      </x:c>
      <x:c r="F560" s="10" t="n">
        <x:f>-'00_Arquitectura'!$B$97*($H$546-50)+'00_Arquitectura'!$B$98*($K$548-45)+'00_Arquitectura'!$B$99*($K$551-45)+'00_Arquitectura'!$B$100*($K$550-45)</x:f>
        <x:v>-0.014000000000000627</x:v>
      </x:c>
      <x:c r="G560" s="10" t="n">
        <x:f>MAX(-'00_Arquitectura'!$B$106,MIN('00_Arquitectura'!$B$106,E560+F560))</x:f>
        <x:v>-0.014000000000000627</x:v>
      </x:c>
      <x:c r="H560" s="10" t="n">
        <x:f>MAX(0,MIN(100,D560+G560))</x:f>
        <x:v>49.95944</x:v>
      </x:c>
      <x:c r="I560" s="10" t="n">
        <x:f>0</x:f>
        <x:v>0</x:v>
      </x:c>
      <x:c r="J560" s="10" t="n">
        <x:f>MAX(-'00_Arquitectura'!$B$107,MIN('00_Arquitectura'!$B$107,$J$1385+$J$1388+$J$1389))</x:f>
        <x:v>0</x:v>
      </x:c>
      <x:c r="K560" s="10" t="n">
        <x:f>MAX(0,MIN(100,H560+I560+J560))</x:f>
        <x:v>49.95944</x:v>
      </x:c>
      <x:c r="L560" s="10" t="str">
        <x:v>Aplica link L02. Pulsos y offsets: filtrar Instancias por escenario, turno y targetId. Base separada del nivel visible.</x:v>
      </x:c>
    </x:row>
    <x:row r="561" ht="42" customHeight="1">
      <x:c r="A561" s="5" t="str">
        <x:v>S4_PRESTAMO</x:v>
      </x:c>
      <x:c r="B561" s="5" t="n">
        <x:v>6</x:v>
      </x:c>
      <x:c r="C561" s="5" t="str">
        <x:v>ingreso_real</x:v>
      </x:c>
      <x:c r="D561" s="5" t="n">
        <x:f>$H$547</x:f>
        <x:v>44.99808</x:v>
      </x:c>
      <x:c r="E561" s="5" t="n">
        <x:f>0+0</x:f>
        <x:v>0</x:v>
      </x:c>
      <x:c r="F561" s="5" t="n">
        <x:f>'00_Arquitectura'!$B$101*($K$546-$K$532)+'00_Arquitectura'!$B$102*($K$545-$K$531)</x:f>
        <x:v>-0.002063999999999666</x:v>
      </x:c>
      <x:c r="G561" s="5" t="n">
        <x:f>MAX(-'00_Arquitectura'!$B$106,MIN('00_Arquitectura'!$B$106,E561+F561))</x:f>
        <x:v>-0.002063999999999666</x:v>
      </x:c>
      <x:c r="H561" s="5" t="n">
        <x:f>MAX(0,MIN(100,D561+G561))</x:f>
        <x:v>44.996016000000004</x:v>
      </x:c>
      <x:c r="I561" s="5" t="n">
        <x:f>0</x:f>
        <x:v>0</x:v>
      </x:c>
      <x:c r="J561" s="5" t="n">
        <x:f>MAX(-'00_Arquitectura'!$B$107,MIN('00_Arquitectura'!$B$107,0))</x:f>
        <x:v>0</x:v>
      </x:c>
      <x:c r="K561" s="5" t="n">
        <x:f>MAX(0,MIN(100,H561+I561+J561))</x:f>
        <x:v>44.996016000000004</x:v>
      </x:c>
      <x:c r="L561" s="5" t="str">
        <x:v>Aplica link L03. Pulsos y offsets: filtrar Instancias por escenario, turno y targetId. Base separada del nivel visible.</x:v>
      </x:c>
    </x:row>
    <x:row r="562" ht="42" customHeight="1">
      <x:c r="A562" s="10" t="str">
        <x:v>S4_PRESTAMO</x:v>
      </x:c>
      <x:c r="B562" s="10" t="n">
        <x:v>6</x:v>
      </x:c>
      <x:c r="C562" s="10" t="str">
        <x:v>credito</x:v>
      </x:c>
      <x:c r="D562" s="10" t="n">
        <x:f>$H$548</x:f>
        <x:v>44.7586</x:v>
      </x:c>
      <x:c r="E562" s="10" t="n">
        <x:f>0+0</x:f>
        <x:v>0</x:v>
      </x:c>
      <x:c r="F562" s="10" t="n">
        <x:f>-'00_Arquitectura'!$B$103*($H$548-45)+'00_Arquitectura'!$B$104*($K$545-$K$531)+'00_Arquitectura'!$B$105*($K$549-'00_Arquitectura'!$B$117)</x:f>
        <x:v>-0.031841200000000076</x:v>
      </x:c>
      <x:c r="G562" s="10" t="n">
        <x:f>MAX(-'00_Arquitectura'!$B$106,MIN('00_Arquitectura'!$B$106,E562+F562))</x:f>
        <x:v>-0.031841200000000076</x:v>
      </x:c>
      <x:c r="H562" s="10" t="n">
        <x:f>MAX(0,MIN(100,D562+G562))</x:f>
        <x:v>44.7267588</x:v>
      </x:c>
      <x:c r="I562" s="10" t="n">
        <x:f>0</x:f>
        <x:v>0</x:v>
      </x:c>
      <x:c r="J562" s="10" t="n">
        <x:f>MAX(-'00_Arquitectura'!$B$107,MIN('00_Arquitectura'!$B$107,$J$1387))</x:f>
        <x:v>0</x:v>
      </x:c>
      <x:c r="K562" s="10" t="n">
        <x:f>MAX(0,MIN(100,H562+I562+J562))</x:f>
        <x:v>44.7267588</x:v>
      </x:c>
      <x:c r="L562" s="10" t="str">
        <x:v>Aplica link L04. Pulsos y offsets: filtrar Instancias por escenario, turno y targetId. Base separada del nivel visible.</x:v>
      </x:c>
    </x:row>
    <x:row r="563" ht="34" customHeight="1">
      <x:c r="A563" s="5" t="str">
        <x:v>S4_PRESTAMO</x:v>
      </x:c>
      <x:c r="B563" s="5" t="n">
        <x:v>6</x:v>
      </x:c>
      <x:c r="C563" s="5" t="str">
        <x:v>fiscal</x:v>
      </x:c>
      <x:c r="D563" s="5" t="n">
        <x:f>$H$549</x:f>
        <x:v>54.597440000000006</x:v>
      </x:c>
      <x:c r="E563" s="5" t="n">
        <x:f>0+0</x:f>
        <x:v>0</x:v>
      </x:c>
      <x:c r="F563" s="5" t="n">
        <x:f>0</x:f>
        <x:v>0</x:v>
      </x:c>
      <x:c r="G563" s="5" t="n">
        <x:f>MAX(-'00_Arquitectura'!$B$106,MIN('00_Arquitectura'!$B$106,E563+F563))</x:f>
        <x:v>0</x:v>
      </x:c>
      <x:c r="H563" s="5" t="n">
        <x:f>$O$50</x:f>
        <x:v>54.594688</x:v>
      </x:c>
      <x:c r="I563" s="5" t="n">
        <x:f>0</x:f>
        <x:v>0</x:v>
      </x:c>
      <x:c r="J563" s="5" t="n">
        <x:f>MAX(-'00_Arquitectura'!$B$107,MIN('00_Arquitectura'!$B$107,0))</x:f>
        <x:v>0</x:v>
      </x:c>
      <x:c r="K563" s="5" t="n">
        <x:f>MAX(0,MIN(100,H563+I563+J563))</x:f>
        <x:v>54.594688</x:v>
      </x:c>
      <x:c r="L563" s="5" t="str">
        <x:v>Derivado de caja: ingreso recurrente, gasto, intereses y deuda. Nunca SUM de efectos fiscales directos.</x:v>
      </x:c>
    </x:row>
    <x:row r="564" ht="34" customHeight="1">
      <x:c r="A564" s="10" t="str">
        <x:v>S4_PRESTAMO</x:v>
      </x:c>
      <x:c r="B564" s="10" t="n">
        <x:v>6</x:v>
      </x:c>
      <x:c r="C564" s="10" t="str">
        <x:v>externo</x:v>
      </x:c>
      <x:c r="D564" s="10" t="n">
        <x:f>$H$550</x:f>
        <x:v>45</x:v>
      </x:c>
      <x:c r="E564" s="10" t="n">
        <x:f>0+0</x:f>
        <x:v>0</x:v>
      </x:c>
      <x:c r="F564" s="10" t="n">
        <x:f>0</x:f>
        <x:v>0</x:v>
      </x:c>
      <x:c r="G564" s="10" t="n">
        <x:f>MAX(-'00_Arquitectura'!$B$106,MIN('00_Arquitectura'!$B$106,E564+F564))</x:f>
        <x:v>0</x:v>
      </x:c>
      <x:c r="H564" s="10" t="n">
        <x:f>MAX(0,MIN(100,D564+G564))</x:f>
        <x:v>45</x:v>
      </x:c>
      <x:c r="I564" s="10" t="n">
        <x:f>0</x:f>
        <x:v>0</x:v>
      </x:c>
      <x:c r="J564" s="10" t="n">
        <x:f>MAX(-'00_Arquitectura'!$B$107,MIN('00_Arquitectura'!$B$107,$J$1386))</x:f>
        <x:v>0</x:v>
      </x:c>
      <x:c r="K564" s="10" t="n">
        <x:f>MAX(0,MIN(100,H564+I564+J564))</x:f>
        <x:v>45</x:v>
      </x:c>
      <x:c r="L564" s="10" t="str">
        <x:v>Pulsos y offsets: filtrar Instancias por escenario, turno y targetId. Base separada del nivel visible.</x:v>
      </x:c>
    </x:row>
    <x:row r="565" ht="34" customHeight="1">
      <x:c r="A565" s="5" t="str">
        <x:v>S4_PRESTAMO</x:v>
      </x:c>
      <x:c r="B565" s="5" t="n">
        <x:v>6</x:v>
      </x:c>
      <x:c r="C565" s="5" t="str">
        <x:v>infraestructura</x:v>
      </x:c>
      <x:c r="D565" s="5" t="n">
        <x:f>$H$551</x:f>
        <x:v>45</x:v>
      </x:c>
      <x:c r="E565" s="5" t="n">
        <x:f>0+0</x:f>
        <x:v>0</x:v>
      </x:c>
      <x:c r="F565" s="5" t="n">
        <x:f>0</x:f>
        <x:v>0</x:v>
      </x:c>
      <x:c r="G565" s="5" t="n">
        <x:f>MAX(-'00_Arquitectura'!$B$106,MIN('00_Arquitectura'!$B$106,E565+F565))</x:f>
        <x:v>0</x:v>
      </x:c>
      <x:c r="H565" s="5" t="n">
        <x:f>MAX(0,MIN(100,D565+G565))</x:f>
        <x:v>45</x:v>
      </x:c>
      <x:c r="I565" s="5" t="n">
        <x:f>0</x:f>
        <x:v>0</x:v>
      </x:c>
      <x:c r="J565" s="5" t="n">
        <x:f>MAX(-'00_Arquitectura'!$B$107,MIN('00_Arquitectura'!$B$107,0))</x:f>
        <x:v>0</x:v>
      </x:c>
      <x:c r="K565" s="5" t="n">
        <x:f>MAX(0,MIN(100,H565+I565+J565))</x:f>
        <x:v>45</x:v>
      </x:c>
      <x:c r="L565" s="5" t="str">
        <x:v>Pulsos y offsets: filtrar Instancias por escenario, turno y targetId. Base separada del nivel visible.</x:v>
      </x:c>
    </x:row>
    <x:row r="566" ht="34" customHeight="1">
      <x:c r="A566" s="10" t="str">
        <x:v>S4_PRESTAMO</x:v>
      </x:c>
      <x:c r="B566" s="10" t="n">
        <x:v>6</x:v>
      </x:c>
      <x:c r="C566" s="10" t="str">
        <x:v>educacion</x:v>
      </x:c>
      <x:c r="D566" s="10" t="n">
        <x:f>$H$552</x:f>
        <x:v>50</x:v>
      </x:c>
      <x:c r="E566" s="10" t="n">
        <x:f>0+0</x:f>
        <x:v>0</x:v>
      </x:c>
      <x:c r="F566" s="10" t="n">
        <x:f>0</x:f>
        <x:v>0</x:v>
      </x:c>
      <x:c r="G566" s="10" t="n">
        <x:f>MAX(-'00_Arquitectura'!$B$106,MIN('00_Arquitectura'!$B$106,E566+F566))</x:f>
        <x:v>0</x:v>
      </x:c>
      <x:c r="H566" s="10" t="n">
        <x:f>MAX(0,MIN(100,D566+G566))</x:f>
        <x:v>50</x:v>
      </x:c>
      <x:c r="I566" s="10" t="n">
        <x:f>0</x:f>
        <x:v>0</x:v>
      </x:c>
      <x:c r="J566" s="10" t="n">
        <x:f>MAX(-'00_Arquitectura'!$B$107,MIN('00_Arquitectura'!$B$107,$J$1393))</x:f>
        <x:v>0</x:v>
      </x:c>
      <x:c r="K566" s="10" t="n">
        <x:f>MAX(0,MIN(100,H566+I566+J566))</x:f>
        <x:v>50</x:v>
      </x:c>
      <x:c r="L566" s="10" t="str">
        <x:v>Pulsos y offsets: filtrar Instancias por escenario, turno y targetId. Base separada del nivel visible.</x:v>
      </x:c>
    </x:row>
    <x:row r="567" ht="34" customHeight="1">
      <x:c r="A567" s="5" t="str">
        <x:v>S4_PRESTAMO</x:v>
      </x:c>
      <x:c r="B567" s="5" t="n">
        <x:v>6</x:v>
      </x:c>
      <x:c r="C567" s="5" t="str">
        <x:v>salud</x:v>
      </x:c>
      <x:c r="D567" s="5" t="n">
        <x:f>$H$553</x:f>
        <x:v>50</x:v>
      </x:c>
      <x:c r="E567" s="5" t="n">
        <x:f>0+0</x:f>
        <x:v>0</x:v>
      </x:c>
      <x:c r="F567" s="5" t="n">
        <x:f>0</x:f>
        <x:v>0</x:v>
      </x:c>
      <x:c r="G567" s="5" t="n">
        <x:f>MAX(-'00_Arquitectura'!$B$106,MIN('00_Arquitectura'!$B$106,E567+F567))</x:f>
        <x:v>0</x:v>
      </x:c>
      <x:c r="H567" s="5" t="n">
        <x:f>MAX(0,MIN(100,D567+G567))</x:f>
        <x:v>50</x:v>
      </x:c>
      <x:c r="I567" s="5" t="n">
        <x:f>0</x:f>
        <x:v>0</x:v>
      </x:c>
      <x:c r="J567" s="5" t="n">
        <x:f>MAX(-'00_Arquitectura'!$B$107,MIN('00_Arquitectura'!$B$107,0))</x:f>
        <x:v>0</x:v>
      </x:c>
      <x:c r="K567" s="5" t="n">
        <x:f>MAX(0,MIN(100,H567+I567+J567))</x:f>
        <x:v>50</x:v>
      </x:c>
      <x:c r="L567" s="5" t="str">
        <x:v>Pulsos y offsets: filtrar Instancias por escenario, turno y targetId. Base separada del nivel visible.</x:v>
      </x:c>
    </x:row>
    <x:row r="568" ht="34" customHeight="1">
      <x:c r="A568" s="10" t="str">
        <x:v>S4_PRESTAMO</x:v>
      </x:c>
      <x:c r="B568" s="10" t="n">
        <x:v>6</x:v>
      </x:c>
      <x:c r="C568" s="10" t="str">
        <x:v>proteccion</x:v>
      </x:c>
      <x:c r="D568" s="10" t="n">
        <x:f>$H$554</x:f>
        <x:v>45</x:v>
      </x:c>
      <x:c r="E568" s="10" t="n">
        <x:f>0+0</x:f>
        <x:v>0</x:v>
      </x:c>
      <x:c r="F568" s="10" t="n">
        <x:f>0</x:f>
        <x:v>0</x:v>
      </x:c>
      <x:c r="G568" s="10" t="n">
        <x:f>MAX(-'00_Arquitectura'!$B$106,MIN('00_Arquitectura'!$B$106,E568+F568))</x:f>
        <x:v>0</x:v>
      </x:c>
      <x:c r="H568" s="10" t="n">
        <x:f>MAX(0,MIN(100,D568+G568))</x:f>
        <x:v>45</x:v>
      </x:c>
      <x:c r="I568" s="10" t="n">
        <x:f>0</x:f>
        <x:v>0</x:v>
      </x:c>
      <x:c r="J568" s="10" t="n">
        <x:f>MAX(-'00_Arquitectura'!$B$107,MIN('00_Arquitectura'!$B$107,$J$1391+$J$1395))</x:f>
        <x:v>0</x:v>
      </x:c>
      <x:c r="K568" s="10" t="n">
        <x:f>MAX(0,MIN(100,H568+I568+J568))</x:f>
        <x:v>45</x:v>
      </x:c>
      <x:c r="L568" s="10" t="str">
        <x:v>Pulsos y offsets: filtrar Instancias por escenario, turno y targetId. Base separada del nivel visible.</x:v>
      </x:c>
    </x:row>
    <x:row r="569" ht="34" customHeight="1">
      <x:c r="A569" s="5" t="str">
        <x:v>S4_PRESTAMO</x:v>
      </x:c>
      <x:c r="B569" s="5" t="n">
        <x:v>6</x:v>
      </x:c>
      <x:c r="C569" s="5" t="str">
        <x:v>seguridad</x:v>
      </x:c>
      <x:c r="D569" s="5" t="n">
        <x:f>$H$555</x:f>
        <x:v>45</x:v>
      </x:c>
      <x:c r="E569" s="5" t="n">
        <x:f>0+0</x:f>
        <x:v>0</x:v>
      </x:c>
      <x:c r="F569" s="5" t="n">
        <x:f>0</x:f>
        <x:v>0</x:v>
      </x:c>
      <x:c r="G569" s="5" t="n">
        <x:f>MAX(-'00_Arquitectura'!$B$106,MIN('00_Arquitectura'!$B$106,E569+F569))</x:f>
        <x:v>0</x:v>
      </x:c>
      <x:c r="H569" s="5" t="n">
        <x:f>MAX(0,MIN(100,D569+G569))</x:f>
        <x:v>45</x:v>
      </x:c>
      <x:c r="I569" s="5" t="n">
        <x:f>0</x:f>
        <x:v>0</x:v>
      </x:c>
      <x:c r="J569" s="5" t="n">
        <x:f>MAX(-'00_Arquitectura'!$B$107,MIN('00_Arquitectura'!$B$107,0))</x:f>
        <x:v>0</x:v>
      </x:c>
      <x:c r="K569" s="5" t="n">
        <x:f>MAX(0,MIN(100,H569+I569+J569))</x:f>
        <x:v>45</x:v>
      </x:c>
      <x:c r="L569" s="5" t="str">
        <x:v>Pulsos y offsets: filtrar Instancias por escenario, turno y targetId. Base separada del nivel visible.</x:v>
      </x:c>
    </x:row>
    <x:row r="570" ht="34" customHeight="1">
      <x:c r="A570" s="10" t="str">
        <x:v>S4_PRESTAMO</x:v>
      </x:c>
      <x:c r="B570" s="10" t="n">
        <x:v>6</x:v>
      </x:c>
      <x:c r="C570" s="10" t="str">
        <x:v>ciencia</x:v>
      </x:c>
      <x:c r="D570" s="10" t="n">
        <x:f>$H$556</x:f>
        <x:v>40</x:v>
      </x:c>
      <x:c r="E570" s="10" t="n">
        <x:f>0+0</x:f>
        <x:v>0</x:v>
      </x:c>
      <x:c r="F570" s="10" t="n">
        <x:f>0</x:f>
        <x:v>0</x:v>
      </x:c>
      <x:c r="G570" s="10" t="n">
        <x:f>MAX(-'00_Arquitectura'!$B$106,MIN('00_Arquitectura'!$B$106,E570+F570))</x:f>
        <x:v>0</x:v>
      </x:c>
      <x:c r="H570" s="10" t="n">
        <x:f>MAX(0,MIN(100,D570+G570))</x:f>
        <x:v>40</x:v>
      </x:c>
      <x:c r="I570" s="10" t="n">
        <x:f>0</x:f>
        <x:v>0</x:v>
      </x:c>
      <x:c r="J570" s="10" t="n">
        <x:f>MAX(-'00_Arquitectura'!$B$107,MIN('00_Arquitectura'!$B$107,$J$1394))</x:f>
        <x:v>0</x:v>
      </x:c>
      <x:c r="K570" s="10" t="n">
        <x:f>MAX(0,MIN(100,H570+I570+J570))</x:f>
        <x:v>40</x:v>
      </x:c>
      <x:c r="L570" s="10" t="str">
        <x:v>Pulsos y offsets: filtrar Instancias por escenario, turno y targetId. Base separada del nivel visible.</x:v>
      </x:c>
    </x:row>
    <x:row r="571" ht="34" customHeight="1">
      <x:c r="A571" s="5" t="str">
        <x:v>S4_PRESTAMO</x:v>
      </x:c>
      <x:c r="B571" s="5" t="n">
        <x:v>6</x:v>
      </x:c>
      <x:c r="C571" s="5" t="str">
        <x:v>derechos</x:v>
      </x:c>
      <x:c r="D571" s="5" t="n">
        <x:f>$H$557</x:f>
        <x:v>57</x:v>
      </x:c>
      <x:c r="E571" s="5" t="n">
        <x:f>0+0</x:f>
        <x:v>0</x:v>
      </x:c>
      <x:c r="F571" s="5" t="n">
        <x:f>0</x:f>
        <x:v>0</x:v>
      </x:c>
      <x:c r="G571" s="5" t="n">
        <x:f>MAX(-'00_Arquitectura'!$B$106,MIN('00_Arquitectura'!$B$106,E571+F571))</x:f>
        <x:v>0</x:v>
      </x:c>
      <x:c r="H571" s="5" t="n">
        <x:f>MAX(0,MIN(100,D571+G571))</x:f>
        <x:v>57</x:v>
      </x:c>
      <x:c r="I571" s="5" t="n">
        <x:f>0</x:f>
        <x:v>0</x:v>
      </x:c>
      <x:c r="J571" s="5" t="n">
        <x:f>MAX(-'00_Arquitectura'!$B$107,MIN('00_Arquitectura'!$B$107,0))</x:f>
        <x:v>0</x:v>
      </x:c>
      <x:c r="K571" s="5" t="n">
        <x:f>MAX(0,MIN(100,H571+I571+J571))</x:f>
        <x:v>57</x:v>
      </x:c>
      <x:c r="L571" s="5" t="str">
        <x:v>Pulsos y offsets: filtrar Instancias por escenario, turno y targetId. Base separada del nivel visible.</x:v>
      </x:c>
    </x:row>
    <x:row r="572" ht="34" customHeight="1">
      <x:c r="A572" s="10" t="str">
        <x:v>S4_PRESTAMO</x:v>
      </x:c>
      <x:c r="B572" s="10" t="n">
        <x:v>6</x:v>
      </x:c>
      <x:c r="C572" s="10" t="str">
        <x:v>ambiente</x:v>
      </x:c>
      <x:c r="D572" s="10" t="n">
        <x:f>$H$558</x:f>
        <x:v>50</x:v>
      </x:c>
      <x:c r="E572" s="10" t="n">
        <x:f>0+0</x:f>
        <x:v>0</x:v>
      </x:c>
      <x:c r="F572" s="10" t="n">
        <x:f>0</x:f>
        <x:v>0</x:v>
      </x:c>
      <x:c r="G572" s="10" t="n">
        <x:f>MAX(-'00_Arquitectura'!$B$106,MIN('00_Arquitectura'!$B$106,E572+F572))</x:f>
        <x:v>0</x:v>
      </x:c>
      <x:c r="H572" s="10" t="n">
        <x:f>MAX(0,MIN(100,D572+G572))</x:f>
        <x:v>50</x:v>
      </x:c>
      <x:c r="I572" s="10" t="n">
        <x:f>0</x:f>
        <x:v>0</x:v>
      </x:c>
      <x:c r="J572" s="10" t="n">
        <x:f>MAX(-'00_Arquitectura'!$B$107,MIN('00_Arquitectura'!$B$107,0))</x:f>
        <x:v>0</x:v>
      </x:c>
      <x:c r="K572" s="10" t="n">
        <x:f>MAX(0,MIN(100,H572+I572+J572))</x:f>
        <x:v>50</x:v>
      </x:c>
      <x:c r="L572" s="10" t="str">
        <x:v>Pulsos y offsets: filtrar Instancias por escenario, turno y targetId. Base separada del nivel visible.</x:v>
      </x:c>
    </x:row>
    <x:row r="573" ht="42" customHeight="1">
      <x:c r="A573" s="5" t="str">
        <x:v>S4_PRESTAMO</x:v>
      </x:c>
      <x:c r="B573" s="5" t="n">
        <x:v>7</x:v>
      </x:c>
      <x:c r="C573" s="5" t="str">
        <x:v>inflacion</x:v>
      </x:c>
      <x:c r="D573" s="5" t="n">
        <x:f>$H$559</x:f>
        <x:v>40</x:v>
      </x:c>
      <x:c r="E573" s="5" t="n">
        <x:f>0+0</x:f>
        <x:v>0</x:v>
      </x:c>
      <x:c r="F573" s="5" t="n">
        <x:f>-'00_Arquitectura'!$B$96*($H$559-40)</x:f>
        <x:v>0</x:v>
      </x:c>
      <x:c r="G573" s="5" t="n">
        <x:f>MAX(-'00_Arquitectura'!$B$106,MIN('00_Arquitectura'!$B$106,E573+F573))</x:f>
        <x:v>0</x:v>
      </x:c>
      <x:c r="H573" s="5" t="n">
        <x:f>MAX(0,MIN(100,D573+G573))</x:f>
        <x:v>40</x:v>
      </x:c>
      <x:c r="I573" s="5" t="n">
        <x:f>0</x:f>
        <x:v>0</x:v>
      </x:c>
      <x:c r="J573" s="5" t="n">
        <x:f>MAX(-'00_Arquitectura'!$B$107,MIN('00_Arquitectura'!$B$107,0))</x:f>
        <x:v>0</x:v>
      </x:c>
      <x:c r="K573" s="5" t="n">
        <x:f>MAX(0,MIN(100,H573+I573+J573))</x:f>
        <x:v>40</x:v>
      </x:c>
      <x:c r="L573" s="5" t="str">
        <x:v>Aplica link L01. Pulsos y offsets: filtrar Instancias por escenario, turno y targetId. Base separada del nivel visible.</x:v>
      </x:c>
    </x:row>
    <x:row r="574" ht="42" customHeight="1">
      <x:c r="A574" s="10" t="str">
        <x:v>S4_PRESTAMO</x:v>
      </x:c>
      <x:c r="B574" s="10" t="n">
        <x:v>7</x:v>
      </x:c>
      <x:c r="C574" s="10" t="str">
        <x:v>actividad</x:v>
      </x:c>
      <x:c r="D574" s="10" t="n">
        <x:f>$H$560</x:f>
        <x:v>49.95944</x:v>
      </x:c>
      <x:c r="E574" s="10" t="n">
        <x:f>0+0</x:f>
        <x:v>0</x:v>
      </x:c>
      <x:c r="F574" s="10" t="n">
        <x:f>-'00_Arquitectura'!$B$97*($H$560-50)+'00_Arquitectura'!$B$98*($K$562-45)+'00_Arquitectura'!$B$99*($K$565-45)+'00_Arquitectura'!$B$100*($K$564-45)</x:f>
        <x:v>-0.013747296000000233</x:v>
      </x:c>
      <x:c r="G574" s="10" t="n">
        <x:f>MAX(-'00_Arquitectura'!$B$106,MIN('00_Arquitectura'!$B$106,E574+F574))</x:f>
        <x:v>-0.013747296000000233</x:v>
      </x:c>
      <x:c r="H574" s="10" t="n">
        <x:f>MAX(0,MIN(100,D574+G574))</x:f>
        <x:v>49.945692704</x:v>
      </x:c>
      <x:c r="I574" s="10" t="n">
        <x:f>0</x:f>
        <x:v>0</x:v>
      </x:c>
      <x:c r="J574" s="10" t="n">
        <x:f>MAX(-'00_Arquitectura'!$B$107,MIN('00_Arquitectura'!$B$107,$J$1403+$J$1406+$J$1407))</x:f>
        <x:v>0</x:v>
      </x:c>
      <x:c r="K574" s="10" t="n">
        <x:f>MAX(0,MIN(100,H574+I574+J574))</x:f>
        <x:v>49.945692704</x:v>
      </x:c>
      <x:c r="L574" s="10" t="str">
        <x:v>Aplica link L02. Pulsos y offsets: filtrar Instancias por escenario, turno y targetId. Base separada del nivel visible.</x:v>
      </x:c>
    </x:row>
    <x:row r="575" ht="42" customHeight="1">
      <x:c r="A575" s="5" t="str">
        <x:v>S4_PRESTAMO</x:v>
      </x:c>
      <x:c r="B575" s="5" t="n">
        <x:v>7</x:v>
      </x:c>
      <x:c r="C575" s="5" t="str">
        <x:v>ingreso_real</x:v>
      </x:c>
      <x:c r="D575" s="5" t="n">
        <x:f>$H$561</x:f>
        <x:v>44.996016000000004</x:v>
      </x:c>
      <x:c r="E575" s="5" t="n">
        <x:f>0+0</x:f>
        <x:v>0</x:v>
      </x:c>
      <x:c r="F575" s="5" t="n">
        <x:f>'00_Arquitectura'!$B$101*($K$560-$K$546)+'00_Arquitectura'!$B$102*($K$559-$K$545)</x:f>
        <x:v>-0.002100000000000435</x:v>
      </x:c>
      <x:c r="G575" s="5" t="n">
        <x:f>MAX(-'00_Arquitectura'!$B$106,MIN('00_Arquitectura'!$B$106,E575+F575))</x:f>
        <x:v>-0.002100000000000435</x:v>
      </x:c>
      <x:c r="H575" s="5" t="n">
        <x:f>MAX(0,MIN(100,D575+G575))</x:f>
        <x:v>44.993916000000006</x:v>
      </x:c>
      <x:c r="I575" s="5" t="n">
        <x:f>0</x:f>
        <x:v>0</x:v>
      </x:c>
      <x:c r="J575" s="5" t="n">
        <x:f>MAX(-'00_Arquitectura'!$B$107,MIN('00_Arquitectura'!$B$107,0))</x:f>
        <x:v>0</x:v>
      </x:c>
      <x:c r="K575" s="5" t="n">
        <x:f>MAX(0,MIN(100,H575+I575+J575))</x:f>
        <x:v>44.993916000000006</x:v>
      </x:c>
      <x:c r="L575" s="5" t="str">
        <x:v>Aplica link L03. Pulsos y offsets: filtrar Instancias por escenario, turno y targetId. Base separada del nivel visible.</x:v>
      </x:c>
    </x:row>
    <x:row r="576" ht="42" customHeight="1">
      <x:c r="A576" s="10" t="str">
        <x:v>S4_PRESTAMO</x:v>
      </x:c>
      <x:c r="B576" s="10" t="n">
        <x:v>7</x:v>
      </x:c>
      <x:c r="C576" s="10" t="str">
        <x:v>credito</x:v>
      </x:c>
      <x:c r="D576" s="10" t="n">
        <x:f>$H$562</x:f>
        <x:v>44.7267588</x:v>
      </x:c>
      <x:c r="E576" s="10" t="n">
        <x:f>0+0</x:f>
        <x:v>0</x:v>
      </x:c>
      <x:c r="F576" s="10" t="n">
        <x:f>-'00_Arquitectura'!$B$103*($H$562-45)+'00_Arquitectura'!$B$104*($K$559-$K$545)+'00_Arquitectura'!$B$105*($K$563-'00_Arquitectura'!$B$117)</x:f>
        <x:v>-0.027120059999999883</x:v>
      </x:c>
      <x:c r="G576" s="10" t="n">
        <x:f>MAX(-'00_Arquitectura'!$B$106,MIN('00_Arquitectura'!$B$106,E576+F576))</x:f>
        <x:v>-0.027120059999999883</x:v>
      </x:c>
      <x:c r="H576" s="10" t="n">
        <x:f>MAX(0,MIN(100,D576+G576))</x:f>
        <x:v>44.69963874</x:v>
      </x:c>
      <x:c r="I576" s="10" t="n">
        <x:f>0</x:f>
        <x:v>0</x:v>
      </x:c>
      <x:c r="J576" s="10" t="n">
        <x:f>MAX(-'00_Arquitectura'!$B$107,MIN('00_Arquitectura'!$B$107,$J$1405))</x:f>
        <x:v>0</x:v>
      </x:c>
      <x:c r="K576" s="10" t="n">
        <x:f>MAX(0,MIN(100,H576+I576+J576))</x:f>
        <x:v>44.69963874</x:v>
      </x:c>
      <x:c r="L576" s="10" t="str">
        <x:v>Aplica link L04. Pulsos y offsets: filtrar Instancias por escenario, turno y targetId. Base separada del nivel visible.</x:v>
      </x:c>
    </x:row>
    <x:row r="577" ht="34" customHeight="1">
      <x:c r="A577" s="5" t="str">
        <x:v>S4_PRESTAMO</x:v>
      </x:c>
      <x:c r="B577" s="5" t="n">
        <x:v>7</x:v>
      </x:c>
      <x:c r="C577" s="5" t="str">
        <x:v>fiscal</x:v>
      </x:c>
      <x:c r="D577" s="5" t="n">
        <x:f>$H$563</x:f>
        <x:v>54.594688</x:v>
      </x:c>
      <x:c r="E577" s="5" t="n">
        <x:f>0+0</x:f>
        <x:v>0</x:v>
      </x:c>
      <x:c r="F577" s="5" t="n">
        <x:f>0</x:f>
        <x:v>0</x:v>
      </x:c>
      <x:c r="G577" s="5" t="n">
        <x:f>MAX(-'00_Arquitectura'!$B$106,MIN('00_Arquitectura'!$B$106,E577+F577))</x:f>
        <x:v>0</x:v>
      </x:c>
      <x:c r="H577" s="5" t="n">
        <x:f>$O$51</x:f>
        <x:v>54.591888</x:v>
      </x:c>
      <x:c r="I577" s="5" t="n">
        <x:f>0</x:f>
        <x:v>0</x:v>
      </x:c>
      <x:c r="J577" s="5" t="n">
        <x:f>MAX(-'00_Arquitectura'!$B$107,MIN('00_Arquitectura'!$B$107,0))</x:f>
        <x:v>0</x:v>
      </x:c>
      <x:c r="K577" s="5" t="n">
        <x:f>MAX(0,MIN(100,H577+I577+J577))</x:f>
        <x:v>54.591888</x:v>
      </x:c>
      <x:c r="L577" s="5" t="str">
        <x:v>Derivado de caja: ingreso recurrente, gasto, intereses y deuda. Nunca SUM de efectos fiscales directos.</x:v>
      </x:c>
    </x:row>
    <x:row r="578" ht="34" customHeight="1">
      <x:c r="A578" s="10" t="str">
        <x:v>S4_PRESTAMO</x:v>
      </x:c>
      <x:c r="B578" s="10" t="n">
        <x:v>7</x:v>
      </x:c>
      <x:c r="C578" s="10" t="str">
        <x:v>externo</x:v>
      </x:c>
      <x:c r="D578" s="10" t="n">
        <x:f>$H$564</x:f>
        <x:v>45</x:v>
      </x:c>
      <x:c r="E578" s="10" t="n">
        <x:f>0+0</x:f>
        <x:v>0</x:v>
      </x:c>
      <x:c r="F578" s="10" t="n">
        <x:f>0</x:f>
        <x:v>0</x:v>
      </x:c>
      <x:c r="G578" s="10" t="n">
        <x:f>MAX(-'00_Arquitectura'!$B$106,MIN('00_Arquitectura'!$B$106,E578+F578))</x:f>
        <x:v>0</x:v>
      </x:c>
      <x:c r="H578" s="10" t="n">
        <x:f>MAX(0,MIN(100,D578+G578))</x:f>
        <x:v>45</x:v>
      </x:c>
      <x:c r="I578" s="10" t="n">
        <x:f>0</x:f>
        <x:v>0</x:v>
      </x:c>
      <x:c r="J578" s="10" t="n">
        <x:f>MAX(-'00_Arquitectura'!$B$107,MIN('00_Arquitectura'!$B$107,$J$1404))</x:f>
        <x:v>0</x:v>
      </x:c>
      <x:c r="K578" s="10" t="n">
        <x:f>MAX(0,MIN(100,H578+I578+J578))</x:f>
        <x:v>45</x:v>
      </x:c>
      <x:c r="L578" s="10" t="str">
        <x:v>Pulsos y offsets: filtrar Instancias por escenario, turno y targetId. Base separada del nivel visible.</x:v>
      </x:c>
    </x:row>
    <x:row r="579" ht="34" customHeight="1">
      <x:c r="A579" s="5" t="str">
        <x:v>S4_PRESTAMO</x:v>
      </x:c>
      <x:c r="B579" s="5" t="n">
        <x:v>7</x:v>
      </x:c>
      <x:c r="C579" s="5" t="str">
        <x:v>infraestructura</x:v>
      </x:c>
      <x:c r="D579" s="5" t="n">
        <x:f>$H$565</x:f>
        <x:v>45</x:v>
      </x:c>
      <x:c r="E579" s="5" t="n">
        <x:f>0+0</x:f>
        <x:v>0</x:v>
      </x:c>
      <x:c r="F579" s="5" t="n">
        <x:f>0</x:f>
        <x:v>0</x:v>
      </x:c>
      <x:c r="G579" s="5" t="n">
        <x:f>MAX(-'00_Arquitectura'!$B$106,MIN('00_Arquitectura'!$B$106,E579+F579))</x:f>
        <x:v>0</x:v>
      </x:c>
      <x:c r="H579" s="5" t="n">
        <x:f>MAX(0,MIN(100,D579+G579))</x:f>
        <x:v>45</x:v>
      </x:c>
      <x:c r="I579" s="5" t="n">
        <x:f>0</x:f>
        <x:v>0</x:v>
      </x:c>
      <x:c r="J579" s="5" t="n">
        <x:f>MAX(-'00_Arquitectura'!$B$107,MIN('00_Arquitectura'!$B$107,0))</x:f>
        <x:v>0</x:v>
      </x:c>
      <x:c r="K579" s="5" t="n">
        <x:f>MAX(0,MIN(100,H579+I579+J579))</x:f>
        <x:v>45</x:v>
      </x:c>
      <x:c r="L579" s="5" t="str">
        <x:v>Pulsos y offsets: filtrar Instancias por escenario, turno y targetId. Base separada del nivel visible.</x:v>
      </x:c>
    </x:row>
    <x:row r="580" ht="34" customHeight="1">
      <x:c r="A580" s="10" t="str">
        <x:v>S4_PRESTAMO</x:v>
      </x:c>
      <x:c r="B580" s="10" t="n">
        <x:v>7</x:v>
      </x:c>
      <x:c r="C580" s="10" t="str">
        <x:v>educacion</x:v>
      </x:c>
      <x:c r="D580" s="10" t="n">
        <x:f>$H$566</x:f>
        <x:v>50</x:v>
      </x:c>
      <x:c r="E580" s="10" t="n">
        <x:f>0+0</x:f>
        <x:v>0</x:v>
      </x:c>
      <x:c r="F580" s="10" t="n">
        <x:f>0</x:f>
        <x:v>0</x:v>
      </x:c>
      <x:c r="G580" s="10" t="n">
        <x:f>MAX(-'00_Arquitectura'!$B$106,MIN('00_Arquitectura'!$B$106,E580+F580))</x:f>
        <x:v>0</x:v>
      </x:c>
      <x:c r="H580" s="10" t="n">
        <x:f>MAX(0,MIN(100,D580+G580))</x:f>
        <x:v>50</x:v>
      </x:c>
      <x:c r="I580" s="10" t="n">
        <x:f>0</x:f>
        <x:v>0</x:v>
      </x:c>
      <x:c r="J580" s="10" t="n">
        <x:f>MAX(-'00_Arquitectura'!$B$107,MIN('00_Arquitectura'!$B$107,$J$1411))</x:f>
        <x:v>0</x:v>
      </x:c>
      <x:c r="K580" s="10" t="n">
        <x:f>MAX(0,MIN(100,H580+I580+J580))</x:f>
        <x:v>50</x:v>
      </x:c>
      <x:c r="L580" s="10" t="str">
        <x:v>Pulsos y offsets: filtrar Instancias por escenario, turno y targetId. Base separada del nivel visible.</x:v>
      </x:c>
    </x:row>
    <x:row r="581" ht="34" customHeight="1">
      <x:c r="A581" s="5" t="str">
        <x:v>S4_PRESTAMO</x:v>
      </x:c>
      <x:c r="B581" s="5" t="n">
        <x:v>7</x:v>
      </x:c>
      <x:c r="C581" s="5" t="str">
        <x:v>salud</x:v>
      </x:c>
      <x:c r="D581" s="5" t="n">
        <x:f>$H$567</x:f>
        <x:v>50</x:v>
      </x:c>
      <x:c r="E581" s="5" t="n">
        <x:f>0+0</x:f>
        <x:v>0</x:v>
      </x:c>
      <x:c r="F581" s="5" t="n">
        <x:f>0</x:f>
        <x:v>0</x:v>
      </x:c>
      <x:c r="G581" s="5" t="n">
        <x:f>MAX(-'00_Arquitectura'!$B$106,MIN('00_Arquitectura'!$B$106,E581+F581))</x:f>
        <x:v>0</x:v>
      </x:c>
      <x:c r="H581" s="5" t="n">
        <x:f>MAX(0,MIN(100,D581+G581))</x:f>
        <x:v>50</x:v>
      </x:c>
      <x:c r="I581" s="5" t="n">
        <x:f>0</x:f>
        <x:v>0</x:v>
      </x:c>
      <x:c r="J581" s="5" t="n">
        <x:f>MAX(-'00_Arquitectura'!$B$107,MIN('00_Arquitectura'!$B$107,0))</x:f>
        <x:v>0</x:v>
      </x:c>
      <x:c r="K581" s="5" t="n">
        <x:f>MAX(0,MIN(100,H581+I581+J581))</x:f>
        <x:v>50</x:v>
      </x:c>
      <x:c r="L581" s="5" t="str">
        <x:v>Pulsos y offsets: filtrar Instancias por escenario, turno y targetId. Base separada del nivel visible.</x:v>
      </x:c>
    </x:row>
    <x:row r="582" ht="34" customHeight="1">
      <x:c r="A582" s="10" t="str">
        <x:v>S4_PRESTAMO</x:v>
      </x:c>
      <x:c r="B582" s="10" t="n">
        <x:v>7</x:v>
      </x:c>
      <x:c r="C582" s="10" t="str">
        <x:v>proteccion</x:v>
      </x:c>
      <x:c r="D582" s="10" t="n">
        <x:f>$H$568</x:f>
        <x:v>45</x:v>
      </x:c>
      <x:c r="E582" s="10" t="n">
        <x:f>0+0</x:f>
        <x:v>0</x:v>
      </x:c>
      <x:c r="F582" s="10" t="n">
        <x:f>0</x:f>
        <x:v>0</x:v>
      </x:c>
      <x:c r="G582" s="10" t="n">
        <x:f>MAX(-'00_Arquitectura'!$B$106,MIN('00_Arquitectura'!$B$106,E582+F582))</x:f>
        <x:v>0</x:v>
      </x:c>
      <x:c r="H582" s="10" t="n">
        <x:f>MAX(0,MIN(100,D582+G582))</x:f>
        <x:v>45</x:v>
      </x:c>
      <x:c r="I582" s="10" t="n">
        <x:f>0</x:f>
        <x:v>0</x:v>
      </x:c>
      <x:c r="J582" s="10" t="n">
        <x:f>MAX(-'00_Arquitectura'!$B$107,MIN('00_Arquitectura'!$B$107,$J$1409+$J$1413))</x:f>
        <x:v>0</x:v>
      </x:c>
      <x:c r="K582" s="10" t="n">
        <x:f>MAX(0,MIN(100,H582+I582+J582))</x:f>
        <x:v>45</x:v>
      </x:c>
      <x:c r="L582" s="10" t="str">
        <x:v>Pulsos y offsets: filtrar Instancias por escenario, turno y targetId. Base separada del nivel visible.</x:v>
      </x:c>
    </x:row>
    <x:row r="583" ht="34" customHeight="1">
      <x:c r="A583" s="5" t="str">
        <x:v>S4_PRESTAMO</x:v>
      </x:c>
      <x:c r="B583" s="5" t="n">
        <x:v>7</x:v>
      </x:c>
      <x:c r="C583" s="5" t="str">
        <x:v>seguridad</x:v>
      </x:c>
      <x:c r="D583" s="5" t="n">
        <x:f>$H$569</x:f>
        <x:v>45</x:v>
      </x:c>
      <x:c r="E583" s="5" t="n">
        <x:f>0+0</x:f>
        <x:v>0</x:v>
      </x:c>
      <x:c r="F583" s="5" t="n">
        <x:f>0</x:f>
        <x:v>0</x:v>
      </x:c>
      <x:c r="G583" s="5" t="n">
        <x:f>MAX(-'00_Arquitectura'!$B$106,MIN('00_Arquitectura'!$B$106,E583+F583))</x:f>
        <x:v>0</x:v>
      </x:c>
      <x:c r="H583" s="5" t="n">
        <x:f>MAX(0,MIN(100,D583+G583))</x:f>
        <x:v>45</x:v>
      </x:c>
      <x:c r="I583" s="5" t="n">
        <x:f>0</x:f>
        <x:v>0</x:v>
      </x:c>
      <x:c r="J583" s="5" t="n">
        <x:f>MAX(-'00_Arquitectura'!$B$107,MIN('00_Arquitectura'!$B$107,0))</x:f>
        <x:v>0</x:v>
      </x:c>
      <x:c r="K583" s="5" t="n">
        <x:f>MAX(0,MIN(100,H583+I583+J583))</x:f>
        <x:v>45</x:v>
      </x:c>
      <x:c r="L583" s="5" t="str">
        <x:v>Pulsos y offsets: filtrar Instancias por escenario, turno y targetId. Base separada del nivel visible.</x:v>
      </x:c>
    </x:row>
    <x:row r="584" ht="34" customHeight="1">
      <x:c r="A584" s="10" t="str">
        <x:v>S4_PRESTAMO</x:v>
      </x:c>
      <x:c r="B584" s="10" t="n">
        <x:v>7</x:v>
      </x:c>
      <x:c r="C584" s="10" t="str">
        <x:v>ciencia</x:v>
      </x:c>
      <x:c r="D584" s="10" t="n">
        <x:f>$H$570</x:f>
        <x:v>40</x:v>
      </x:c>
      <x:c r="E584" s="10" t="n">
        <x:f>0+0</x:f>
        <x:v>0</x:v>
      </x:c>
      <x:c r="F584" s="10" t="n">
        <x:f>0</x:f>
        <x:v>0</x:v>
      </x:c>
      <x:c r="G584" s="10" t="n">
        <x:f>MAX(-'00_Arquitectura'!$B$106,MIN('00_Arquitectura'!$B$106,E584+F584))</x:f>
        <x:v>0</x:v>
      </x:c>
      <x:c r="H584" s="10" t="n">
        <x:f>MAX(0,MIN(100,D584+G584))</x:f>
        <x:v>40</x:v>
      </x:c>
      <x:c r="I584" s="10" t="n">
        <x:f>0</x:f>
        <x:v>0</x:v>
      </x:c>
      <x:c r="J584" s="10" t="n">
        <x:f>MAX(-'00_Arquitectura'!$B$107,MIN('00_Arquitectura'!$B$107,$J$1412))</x:f>
        <x:v>0</x:v>
      </x:c>
      <x:c r="K584" s="10" t="n">
        <x:f>MAX(0,MIN(100,H584+I584+J584))</x:f>
        <x:v>40</x:v>
      </x:c>
      <x:c r="L584" s="10" t="str">
        <x:v>Pulsos y offsets: filtrar Instancias por escenario, turno y targetId. Base separada del nivel visible.</x:v>
      </x:c>
    </x:row>
    <x:row r="585" ht="34" customHeight="1">
      <x:c r="A585" s="5" t="str">
        <x:v>S4_PRESTAMO</x:v>
      </x:c>
      <x:c r="B585" s="5" t="n">
        <x:v>7</x:v>
      </x:c>
      <x:c r="C585" s="5" t="str">
        <x:v>derechos</x:v>
      </x:c>
      <x:c r="D585" s="5" t="n">
        <x:f>$H$571</x:f>
        <x:v>57</x:v>
      </x:c>
      <x:c r="E585" s="5" t="n">
        <x:f>0+0</x:f>
        <x:v>0</x:v>
      </x:c>
      <x:c r="F585" s="5" t="n">
        <x:f>0</x:f>
        <x:v>0</x:v>
      </x:c>
      <x:c r="G585" s="5" t="n">
        <x:f>MAX(-'00_Arquitectura'!$B$106,MIN('00_Arquitectura'!$B$106,E585+F585))</x:f>
        <x:v>0</x:v>
      </x:c>
      <x:c r="H585" s="5" t="n">
        <x:f>MAX(0,MIN(100,D585+G585))</x:f>
        <x:v>57</x:v>
      </x:c>
      <x:c r="I585" s="5" t="n">
        <x:f>0</x:f>
        <x:v>0</x:v>
      </x:c>
      <x:c r="J585" s="5" t="n">
        <x:f>MAX(-'00_Arquitectura'!$B$107,MIN('00_Arquitectura'!$B$107,0))</x:f>
        <x:v>0</x:v>
      </x:c>
      <x:c r="K585" s="5" t="n">
        <x:f>MAX(0,MIN(100,H585+I585+J585))</x:f>
        <x:v>57</x:v>
      </x:c>
      <x:c r="L585" s="5" t="str">
        <x:v>Pulsos y offsets: filtrar Instancias por escenario, turno y targetId. Base separada del nivel visible.</x:v>
      </x:c>
    </x:row>
    <x:row r="586" ht="34" customHeight="1">
      <x:c r="A586" s="10" t="str">
        <x:v>S4_PRESTAMO</x:v>
      </x:c>
      <x:c r="B586" s="10" t="n">
        <x:v>7</x:v>
      </x:c>
      <x:c r="C586" s="10" t="str">
        <x:v>ambiente</x:v>
      </x:c>
      <x:c r="D586" s="10" t="n">
        <x:f>$H$572</x:f>
        <x:v>50</x:v>
      </x:c>
      <x:c r="E586" s="10" t="n">
        <x:f>0+0</x:f>
        <x:v>0</x:v>
      </x:c>
      <x:c r="F586" s="10" t="n">
        <x:f>0</x:f>
        <x:v>0</x:v>
      </x:c>
      <x:c r="G586" s="10" t="n">
        <x:f>MAX(-'00_Arquitectura'!$B$106,MIN('00_Arquitectura'!$B$106,E586+F586))</x:f>
        <x:v>0</x:v>
      </x:c>
      <x:c r="H586" s="10" t="n">
        <x:f>MAX(0,MIN(100,D586+G586))</x:f>
        <x:v>50</x:v>
      </x:c>
      <x:c r="I586" s="10" t="n">
        <x:f>0</x:f>
        <x:v>0</x:v>
      </x:c>
      <x:c r="J586" s="10" t="n">
        <x:f>MAX(-'00_Arquitectura'!$B$107,MIN('00_Arquitectura'!$B$107,0))</x:f>
        <x:v>0</x:v>
      </x:c>
      <x:c r="K586" s="10" t="n">
        <x:f>MAX(0,MIN(100,H586+I586+J586))</x:f>
        <x:v>50</x:v>
      </x:c>
      <x:c r="L586" s="10" t="str">
        <x:v>Pulsos y offsets: filtrar Instancias por escenario, turno y targetId. Base separada del nivel visible.</x:v>
      </x:c>
    </x:row>
    <x:row r="587" ht="42" customHeight="1">
      <x:c r="A587" s="5" t="str">
        <x:v>S4_PRESTAMO</x:v>
      </x:c>
      <x:c r="B587" s="5" t="n">
        <x:v>8</x:v>
      </x:c>
      <x:c r="C587" s="5" t="str">
        <x:v>inflacion</x:v>
      </x:c>
      <x:c r="D587" s="5" t="n">
        <x:f>$H$573</x:f>
        <x:v>40</x:v>
      </x:c>
      <x:c r="E587" s="5" t="n">
        <x:f>0+0</x:f>
        <x:v>0</x:v>
      </x:c>
      <x:c r="F587" s="5" t="n">
        <x:f>-'00_Arquitectura'!$B$96*($H$573-40)</x:f>
        <x:v>0</x:v>
      </x:c>
      <x:c r="G587" s="5" t="n">
        <x:f>MAX(-'00_Arquitectura'!$B$106,MIN('00_Arquitectura'!$B$106,E587+F587))</x:f>
        <x:v>0</x:v>
      </x:c>
      <x:c r="H587" s="5" t="n">
        <x:f>MAX(0,MIN(100,D587+G587))</x:f>
        <x:v>40</x:v>
      </x:c>
      <x:c r="I587" s="5" t="n">
        <x:f>0</x:f>
        <x:v>0</x:v>
      </x:c>
      <x:c r="J587" s="5" t="n">
        <x:f>MAX(-'00_Arquitectura'!$B$107,MIN('00_Arquitectura'!$B$107,0))</x:f>
        <x:v>0</x:v>
      </x:c>
      <x:c r="K587" s="5" t="n">
        <x:f>MAX(0,MIN(100,H587+I587+J587))</x:f>
        <x:v>40</x:v>
      </x:c>
      <x:c r="L587" s="5" t="str">
        <x:v>Aplica link L01. Pulsos y offsets: filtrar Instancias por escenario, turno y targetId. Base separada del nivel visible.</x:v>
      </x:c>
    </x:row>
    <x:row r="588" ht="42" customHeight="1">
      <x:c r="A588" s="10" t="str">
        <x:v>S4_PRESTAMO</x:v>
      </x:c>
      <x:c r="B588" s="10" t="n">
        <x:v>8</x:v>
      </x:c>
      <x:c r="C588" s="10" t="str">
        <x:v>actividad</x:v>
      </x:c>
      <x:c r="D588" s="10" t="n">
        <x:f>$H$574</x:f>
        <x:v>49.945692704</x:v>
      </x:c>
      <x:c r="E588" s="10" t="n">
        <x:f>0+0</x:f>
        <x:v>0</x:v>
      </x:c>
      <x:c r="F588" s="10" t="n">
        <x:f>-'00_Arquitectura'!$B$97*($H$574-50)+'00_Arquitectura'!$B$98*($K$576-45)+'00_Arquitectura'!$B$99*($K$579-45)+'00_Arquitectura'!$B$100*($K$578-45)</x:f>
        <x:v>-0.013167441600000699</x:v>
      </x:c>
      <x:c r="G588" s="10" t="n">
        <x:f>MAX(-'00_Arquitectura'!$B$106,MIN('00_Arquitectura'!$B$106,E588+F588))</x:f>
        <x:v>-0.013167441600000699</x:v>
      </x:c>
      <x:c r="H588" s="10" t="n">
        <x:f>MAX(0,MIN(100,D588+G588))</x:f>
        <x:v>49.9325252624</x:v>
      </x:c>
      <x:c r="I588" s="10" t="n">
        <x:f>0</x:f>
        <x:v>0</x:v>
      </x:c>
      <x:c r="J588" s="10" t="n">
        <x:f>MAX(-'00_Arquitectura'!$B$107,MIN('00_Arquitectura'!$B$107,$J$1421+$J$1424+$J$1425))</x:f>
        <x:v>0</x:v>
      </x:c>
      <x:c r="K588" s="10" t="n">
        <x:f>MAX(0,MIN(100,H588+I588+J588))</x:f>
        <x:v>49.9325252624</x:v>
      </x:c>
      <x:c r="L588" s="10" t="str">
        <x:v>Aplica link L02. Pulsos y offsets: filtrar Instancias por escenario, turno y targetId. Base separada del nivel visible.</x:v>
      </x:c>
    </x:row>
    <x:row r="589" ht="42" customHeight="1">
      <x:c r="A589" s="5" t="str">
        <x:v>S4_PRESTAMO</x:v>
      </x:c>
      <x:c r="B589" s="5" t="n">
        <x:v>8</x:v>
      </x:c>
      <x:c r="C589" s="5" t="str">
        <x:v>ingreso_real</x:v>
      </x:c>
      <x:c r="D589" s="5" t="n">
        <x:f>$H$575</x:f>
        <x:v>44.993916000000006</x:v>
      </x:c>
      <x:c r="E589" s="5" t="n">
        <x:f>0+0</x:f>
        <x:v>0</x:v>
      </x:c>
      <x:c r="F589" s="5" t="n">
        <x:f>'00_Arquitectura'!$B$101*($K$574-$K$560)+'00_Arquitectura'!$B$102*($K$573-$K$559)</x:f>
        <x:v>-0.0020620943999997365</x:v>
      </x:c>
      <x:c r="G589" s="5" t="n">
        <x:f>MAX(-'00_Arquitectura'!$B$106,MIN('00_Arquitectura'!$B$106,E589+F589))</x:f>
        <x:v>-0.0020620943999997365</x:v>
      </x:c>
      <x:c r="H589" s="5" t="n">
        <x:f>MAX(0,MIN(100,D589+G589))</x:f>
        <x:v>44.9918539056</x:v>
      </x:c>
      <x:c r="I589" s="5" t="n">
        <x:f>0</x:f>
        <x:v>0</x:v>
      </x:c>
      <x:c r="J589" s="5" t="n">
        <x:f>MAX(-'00_Arquitectura'!$B$107,MIN('00_Arquitectura'!$B$107,0))</x:f>
        <x:v>0</x:v>
      </x:c>
      <x:c r="K589" s="5" t="n">
        <x:f>MAX(0,MIN(100,H589+I589+J589))</x:f>
        <x:v>44.9918539056</x:v>
      </x:c>
      <x:c r="L589" s="5" t="str">
        <x:v>Aplica link L03. Pulsos y offsets: filtrar Instancias por escenario, turno y targetId. Base separada del nivel visible.</x:v>
      </x:c>
    </x:row>
    <x:row r="590" ht="42" customHeight="1">
      <x:c r="A590" s="10" t="str">
        <x:v>S4_PRESTAMO</x:v>
      </x:c>
      <x:c r="B590" s="10" t="n">
        <x:v>8</x:v>
      </x:c>
      <x:c r="C590" s="10" t="str">
        <x:v>credito</x:v>
      </x:c>
      <x:c r="D590" s="10" t="n">
        <x:f>$H$576</x:f>
        <x:v>44.69963874</x:v>
      </x:c>
      <x:c r="E590" s="10" t="n">
        <x:f>0+0</x:f>
        <x:v>0</x:v>
      </x:c>
      <x:c r="F590" s="10" t="n">
        <x:f>-'00_Arquitectura'!$B$103*($H$576-45)+'00_Arquitectura'!$B$104*($K$573-$K$559)+'00_Arquitectura'!$B$105*($K$577-'00_Arquitectura'!$B$117)</x:f>
        <x:v>-0.02310805099999968</x:v>
      </x:c>
      <x:c r="G590" s="10" t="n">
        <x:f>MAX(-'00_Arquitectura'!$B$106,MIN('00_Arquitectura'!$B$106,E590+F590))</x:f>
        <x:v>-0.02310805099999968</x:v>
      </x:c>
      <x:c r="H590" s="10" t="n">
        <x:f>MAX(0,MIN(100,D590+G590))</x:f>
        <x:v>44.676530688999996</x:v>
      </x:c>
      <x:c r="I590" s="10" t="n">
        <x:f>0</x:f>
        <x:v>0</x:v>
      </x:c>
      <x:c r="J590" s="10" t="n">
        <x:f>MAX(-'00_Arquitectura'!$B$107,MIN('00_Arquitectura'!$B$107,$J$1423))</x:f>
        <x:v>0</x:v>
      </x:c>
      <x:c r="K590" s="10" t="n">
        <x:f>MAX(0,MIN(100,H590+I590+J590))</x:f>
        <x:v>44.676530688999996</x:v>
      </x:c>
      <x:c r="L590" s="10" t="str">
        <x:v>Aplica link L04. Pulsos y offsets: filtrar Instancias por escenario, turno y targetId. Base separada del nivel visible.</x:v>
      </x:c>
    </x:row>
    <x:row r="591" ht="34" customHeight="1">
      <x:c r="A591" s="5" t="str">
        <x:v>S4_PRESTAMO</x:v>
      </x:c>
      <x:c r="B591" s="5" t="n">
        <x:v>8</x:v>
      </x:c>
      <x:c r="C591" s="5" t="str">
        <x:v>fiscal</x:v>
      </x:c>
      <x:c r="D591" s="5" t="n">
        <x:f>$H$577</x:f>
        <x:v>54.591888</x:v>
      </x:c>
      <x:c r="E591" s="5" t="n">
        <x:f>0+0</x:f>
        <x:v>0</x:v>
      </x:c>
      <x:c r="F591" s="5" t="n">
        <x:f>0</x:f>
        <x:v>0</x:v>
      </x:c>
      <x:c r="G591" s="5" t="n">
        <x:f>MAX(-'00_Arquitectura'!$B$106,MIN('00_Arquitectura'!$B$106,E591+F591))</x:f>
        <x:v>0</x:v>
      </x:c>
      <x:c r="H591" s="5" t="n">
        <x:f>$O$52</x:f>
        <x:v>54.5891385408</x:v>
      </x:c>
      <x:c r="I591" s="5" t="n">
        <x:f>0</x:f>
        <x:v>0</x:v>
      </x:c>
      <x:c r="J591" s="5" t="n">
        <x:f>MAX(-'00_Arquitectura'!$B$107,MIN('00_Arquitectura'!$B$107,0))</x:f>
        <x:v>0</x:v>
      </x:c>
      <x:c r="K591" s="5" t="n">
        <x:f>MAX(0,MIN(100,H591+I591+J591))</x:f>
        <x:v>54.5891385408</x:v>
      </x:c>
      <x:c r="L591" s="5" t="str">
        <x:v>Derivado de caja: ingreso recurrente, gasto, intereses y deuda. Nunca SUM de efectos fiscales directos.</x:v>
      </x:c>
    </x:row>
    <x:row r="592" ht="34" customHeight="1">
      <x:c r="A592" s="10" t="str">
        <x:v>S4_PRESTAMO</x:v>
      </x:c>
      <x:c r="B592" s="10" t="n">
        <x:v>8</x:v>
      </x:c>
      <x:c r="C592" s="10" t="str">
        <x:v>externo</x:v>
      </x:c>
      <x:c r="D592" s="10" t="n">
        <x:f>$H$578</x:f>
        <x:v>45</x:v>
      </x:c>
      <x:c r="E592" s="10" t="n">
        <x:f>0+0</x:f>
        <x:v>0</x:v>
      </x:c>
      <x:c r="F592" s="10" t="n">
        <x:f>0</x:f>
        <x:v>0</x:v>
      </x:c>
      <x:c r="G592" s="10" t="n">
        <x:f>MAX(-'00_Arquitectura'!$B$106,MIN('00_Arquitectura'!$B$106,E592+F592))</x:f>
        <x:v>0</x:v>
      </x:c>
      <x:c r="H592" s="10" t="n">
        <x:f>MAX(0,MIN(100,D592+G592))</x:f>
        <x:v>45</x:v>
      </x:c>
      <x:c r="I592" s="10" t="n">
        <x:f>0</x:f>
        <x:v>0</x:v>
      </x:c>
      <x:c r="J592" s="10" t="n">
        <x:f>MAX(-'00_Arquitectura'!$B$107,MIN('00_Arquitectura'!$B$107,$J$1422))</x:f>
        <x:v>0</x:v>
      </x:c>
      <x:c r="K592" s="10" t="n">
        <x:f>MAX(0,MIN(100,H592+I592+J592))</x:f>
        <x:v>45</x:v>
      </x:c>
      <x:c r="L592" s="10" t="str">
        <x:v>Pulsos y offsets: filtrar Instancias por escenario, turno y targetId. Base separada del nivel visible.</x:v>
      </x:c>
    </x:row>
    <x:row r="593" ht="34" customHeight="1">
      <x:c r="A593" s="5" t="str">
        <x:v>S4_PRESTAMO</x:v>
      </x:c>
      <x:c r="B593" s="5" t="n">
        <x:v>8</x:v>
      </x:c>
      <x:c r="C593" s="5" t="str">
        <x:v>infraestructura</x:v>
      </x:c>
      <x:c r="D593" s="5" t="n">
        <x:f>$H$579</x:f>
        <x:v>45</x:v>
      </x:c>
      <x:c r="E593" s="5" t="n">
        <x:f>0+0</x:f>
        <x:v>0</x:v>
      </x:c>
      <x:c r="F593" s="5" t="n">
        <x:f>0</x:f>
        <x:v>0</x:v>
      </x:c>
      <x:c r="G593" s="5" t="n">
        <x:f>MAX(-'00_Arquitectura'!$B$106,MIN('00_Arquitectura'!$B$106,E593+F593))</x:f>
        <x:v>0</x:v>
      </x:c>
      <x:c r="H593" s="5" t="n">
        <x:f>MAX(0,MIN(100,D593+G593))</x:f>
        <x:v>45</x:v>
      </x:c>
      <x:c r="I593" s="5" t="n">
        <x:f>0</x:f>
        <x:v>0</x:v>
      </x:c>
      <x:c r="J593" s="5" t="n">
        <x:f>MAX(-'00_Arquitectura'!$B$107,MIN('00_Arquitectura'!$B$107,0))</x:f>
        <x:v>0</x:v>
      </x:c>
      <x:c r="K593" s="5" t="n">
        <x:f>MAX(0,MIN(100,H593+I593+J593))</x:f>
        <x:v>45</x:v>
      </x:c>
      <x:c r="L593" s="5" t="str">
        <x:v>Pulsos y offsets: filtrar Instancias por escenario, turno y targetId. Base separada del nivel visible.</x:v>
      </x:c>
    </x:row>
    <x:row r="594" ht="34" customHeight="1">
      <x:c r="A594" s="10" t="str">
        <x:v>S4_PRESTAMO</x:v>
      </x:c>
      <x:c r="B594" s="10" t="n">
        <x:v>8</x:v>
      </x:c>
      <x:c r="C594" s="10" t="str">
        <x:v>educacion</x:v>
      </x:c>
      <x:c r="D594" s="10" t="n">
        <x:f>$H$580</x:f>
        <x:v>50</x:v>
      </x:c>
      <x:c r="E594" s="10" t="n">
        <x:f>0+0</x:f>
        <x:v>0</x:v>
      </x:c>
      <x:c r="F594" s="10" t="n">
        <x:f>0</x:f>
        <x:v>0</x:v>
      </x:c>
      <x:c r="G594" s="10" t="n">
        <x:f>MAX(-'00_Arquitectura'!$B$106,MIN('00_Arquitectura'!$B$106,E594+F594))</x:f>
        <x:v>0</x:v>
      </x:c>
      <x:c r="H594" s="10" t="n">
        <x:f>MAX(0,MIN(100,D594+G594))</x:f>
        <x:v>50</x:v>
      </x:c>
      <x:c r="I594" s="10" t="n">
        <x:f>0</x:f>
        <x:v>0</x:v>
      </x:c>
      <x:c r="J594" s="10" t="n">
        <x:f>MAX(-'00_Arquitectura'!$B$107,MIN('00_Arquitectura'!$B$107,$J$1429))</x:f>
        <x:v>0</x:v>
      </x:c>
      <x:c r="K594" s="10" t="n">
        <x:f>MAX(0,MIN(100,H594+I594+J594))</x:f>
        <x:v>50</x:v>
      </x:c>
      <x:c r="L594" s="10" t="str">
        <x:v>Pulsos y offsets: filtrar Instancias por escenario, turno y targetId. Base separada del nivel visible.</x:v>
      </x:c>
    </x:row>
    <x:row r="595" ht="34" customHeight="1">
      <x:c r="A595" s="5" t="str">
        <x:v>S4_PRESTAMO</x:v>
      </x:c>
      <x:c r="B595" s="5" t="n">
        <x:v>8</x:v>
      </x:c>
      <x:c r="C595" s="5" t="str">
        <x:v>salud</x:v>
      </x:c>
      <x:c r="D595" s="5" t="n">
        <x:f>$H$581</x:f>
        <x:v>50</x:v>
      </x:c>
      <x:c r="E595" s="5" t="n">
        <x:f>0+0</x:f>
        <x:v>0</x:v>
      </x:c>
      <x:c r="F595" s="5" t="n">
        <x:f>0</x:f>
        <x:v>0</x:v>
      </x:c>
      <x:c r="G595" s="5" t="n">
        <x:f>MAX(-'00_Arquitectura'!$B$106,MIN('00_Arquitectura'!$B$106,E595+F595))</x:f>
        <x:v>0</x:v>
      </x:c>
      <x:c r="H595" s="5" t="n">
        <x:f>MAX(0,MIN(100,D595+G595))</x:f>
        <x:v>50</x:v>
      </x:c>
      <x:c r="I595" s="5" t="n">
        <x:f>0</x:f>
        <x:v>0</x:v>
      </x:c>
      <x:c r="J595" s="5" t="n">
        <x:f>MAX(-'00_Arquitectura'!$B$107,MIN('00_Arquitectura'!$B$107,0))</x:f>
        <x:v>0</x:v>
      </x:c>
      <x:c r="K595" s="5" t="n">
        <x:f>MAX(0,MIN(100,H595+I595+J595))</x:f>
        <x:v>50</x:v>
      </x:c>
      <x:c r="L595" s="5" t="str">
        <x:v>Pulsos y offsets: filtrar Instancias por escenario, turno y targetId. Base separada del nivel visible.</x:v>
      </x:c>
    </x:row>
    <x:row r="596" ht="34" customHeight="1">
      <x:c r="A596" s="10" t="str">
        <x:v>S4_PRESTAMO</x:v>
      </x:c>
      <x:c r="B596" s="10" t="n">
        <x:v>8</x:v>
      </x:c>
      <x:c r="C596" s="10" t="str">
        <x:v>proteccion</x:v>
      </x:c>
      <x:c r="D596" s="10" t="n">
        <x:f>$H$582</x:f>
        <x:v>45</x:v>
      </x:c>
      <x:c r="E596" s="10" t="n">
        <x:f>0+0</x:f>
        <x:v>0</x:v>
      </x:c>
      <x:c r="F596" s="10" t="n">
        <x:f>0</x:f>
        <x:v>0</x:v>
      </x:c>
      <x:c r="G596" s="10" t="n">
        <x:f>MAX(-'00_Arquitectura'!$B$106,MIN('00_Arquitectura'!$B$106,E596+F596))</x:f>
        <x:v>0</x:v>
      </x:c>
      <x:c r="H596" s="10" t="n">
        <x:f>MAX(0,MIN(100,D596+G596))</x:f>
        <x:v>45</x:v>
      </x:c>
      <x:c r="I596" s="10" t="n">
        <x:f>0</x:f>
        <x:v>0</x:v>
      </x:c>
      <x:c r="J596" s="10" t="n">
        <x:f>MAX(-'00_Arquitectura'!$B$107,MIN('00_Arquitectura'!$B$107,$J$1427+$J$1431))</x:f>
        <x:v>0</x:v>
      </x:c>
      <x:c r="K596" s="10" t="n">
        <x:f>MAX(0,MIN(100,H596+I596+J596))</x:f>
        <x:v>45</x:v>
      </x:c>
      <x:c r="L596" s="10" t="str">
        <x:v>Pulsos y offsets: filtrar Instancias por escenario, turno y targetId. Base separada del nivel visible.</x:v>
      </x:c>
    </x:row>
    <x:row r="597" ht="34" customHeight="1">
      <x:c r="A597" s="5" t="str">
        <x:v>S4_PRESTAMO</x:v>
      </x:c>
      <x:c r="B597" s="5" t="n">
        <x:v>8</x:v>
      </x:c>
      <x:c r="C597" s="5" t="str">
        <x:v>seguridad</x:v>
      </x:c>
      <x:c r="D597" s="5" t="n">
        <x:f>$H$583</x:f>
        <x:v>45</x:v>
      </x:c>
      <x:c r="E597" s="5" t="n">
        <x:f>0+0</x:f>
        <x:v>0</x:v>
      </x:c>
      <x:c r="F597" s="5" t="n">
        <x:f>0</x:f>
        <x:v>0</x:v>
      </x:c>
      <x:c r="G597" s="5" t="n">
        <x:f>MAX(-'00_Arquitectura'!$B$106,MIN('00_Arquitectura'!$B$106,E597+F597))</x:f>
        <x:v>0</x:v>
      </x:c>
      <x:c r="H597" s="5" t="n">
        <x:f>MAX(0,MIN(100,D597+G597))</x:f>
        <x:v>45</x:v>
      </x:c>
      <x:c r="I597" s="5" t="n">
        <x:f>0</x:f>
        <x:v>0</x:v>
      </x:c>
      <x:c r="J597" s="5" t="n">
        <x:f>MAX(-'00_Arquitectura'!$B$107,MIN('00_Arquitectura'!$B$107,0))</x:f>
        <x:v>0</x:v>
      </x:c>
      <x:c r="K597" s="5" t="n">
        <x:f>MAX(0,MIN(100,H597+I597+J597))</x:f>
        <x:v>45</x:v>
      </x:c>
      <x:c r="L597" s="5" t="str">
        <x:v>Pulsos y offsets: filtrar Instancias por escenario, turno y targetId. Base separada del nivel visible.</x:v>
      </x:c>
    </x:row>
    <x:row r="598" ht="34" customHeight="1">
      <x:c r="A598" s="10" t="str">
        <x:v>S4_PRESTAMO</x:v>
      </x:c>
      <x:c r="B598" s="10" t="n">
        <x:v>8</x:v>
      </x:c>
      <x:c r="C598" s="10" t="str">
        <x:v>ciencia</x:v>
      </x:c>
      <x:c r="D598" s="10" t="n">
        <x:f>$H$584</x:f>
        <x:v>40</x:v>
      </x:c>
      <x:c r="E598" s="10" t="n">
        <x:f>0+0</x:f>
        <x:v>0</x:v>
      </x:c>
      <x:c r="F598" s="10" t="n">
        <x:f>0</x:f>
        <x:v>0</x:v>
      </x:c>
      <x:c r="G598" s="10" t="n">
        <x:f>MAX(-'00_Arquitectura'!$B$106,MIN('00_Arquitectura'!$B$106,E598+F598))</x:f>
        <x:v>0</x:v>
      </x:c>
      <x:c r="H598" s="10" t="n">
        <x:f>MAX(0,MIN(100,D598+G598))</x:f>
        <x:v>40</x:v>
      </x:c>
      <x:c r="I598" s="10" t="n">
        <x:f>0</x:f>
        <x:v>0</x:v>
      </x:c>
      <x:c r="J598" s="10" t="n">
        <x:f>MAX(-'00_Arquitectura'!$B$107,MIN('00_Arquitectura'!$B$107,$J$1430))</x:f>
        <x:v>0</x:v>
      </x:c>
      <x:c r="K598" s="10" t="n">
        <x:f>MAX(0,MIN(100,H598+I598+J598))</x:f>
        <x:v>40</x:v>
      </x:c>
      <x:c r="L598" s="10" t="str">
        <x:v>Pulsos y offsets: filtrar Instancias por escenario, turno y targetId. Base separada del nivel visible.</x:v>
      </x:c>
    </x:row>
    <x:row r="599" ht="34" customHeight="1">
      <x:c r="A599" s="5" t="str">
        <x:v>S4_PRESTAMO</x:v>
      </x:c>
      <x:c r="B599" s="5" t="n">
        <x:v>8</x:v>
      </x:c>
      <x:c r="C599" s="5" t="str">
        <x:v>derechos</x:v>
      </x:c>
      <x:c r="D599" s="5" t="n">
        <x:f>$H$585</x:f>
        <x:v>57</x:v>
      </x:c>
      <x:c r="E599" s="5" t="n">
        <x:f>0+0</x:f>
        <x:v>0</x:v>
      </x:c>
      <x:c r="F599" s="5" t="n">
        <x:f>0</x:f>
        <x:v>0</x:v>
      </x:c>
      <x:c r="G599" s="5" t="n">
        <x:f>MAX(-'00_Arquitectura'!$B$106,MIN('00_Arquitectura'!$B$106,E599+F599))</x:f>
        <x:v>0</x:v>
      </x:c>
      <x:c r="H599" s="5" t="n">
        <x:f>MAX(0,MIN(100,D599+G599))</x:f>
        <x:v>57</x:v>
      </x:c>
      <x:c r="I599" s="5" t="n">
        <x:f>0</x:f>
        <x:v>0</x:v>
      </x:c>
      <x:c r="J599" s="5" t="n">
        <x:f>MAX(-'00_Arquitectura'!$B$107,MIN('00_Arquitectura'!$B$107,0))</x:f>
        <x:v>0</x:v>
      </x:c>
      <x:c r="K599" s="5" t="n">
        <x:f>MAX(0,MIN(100,H599+I599+J599))</x:f>
        <x:v>57</x:v>
      </x:c>
      <x:c r="L599" s="5" t="str">
        <x:v>Pulsos y offsets: filtrar Instancias por escenario, turno y targetId. Base separada del nivel visible.</x:v>
      </x:c>
    </x:row>
    <x:row r="600" ht="34" customHeight="1">
      <x:c r="A600" s="10" t="str">
        <x:v>S4_PRESTAMO</x:v>
      </x:c>
      <x:c r="B600" s="10" t="n">
        <x:v>8</x:v>
      </x:c>
      <x:c r="C600" s="10" t="str">
        <x:v>ambiente</x:v>
      </x:c>
      <x:c r="D600" s="10" t="n">
        <x:f>$H$586</x:f>
        <x:v>50</x:v>
      </x:c>
      <x:c r="E600" s="10" t="n">
        <x:f>0+0</x:f>
        <x:v>0</x:v>
      </x:c>
      <x:c r="F600" s="10" t="n">
        <x:f>0</x:f>
        <x:v>0</x:v>
      </x:c>
      <x:c r="G600" s="10" t="n">
        <x:f>MAX(-'00_Arquitectura'!$B$106,MIN('00_Arquitectura'!$B$106,E600+F600))</x:f>
        <x:v>0</x:v>
      </x:c>
      <x:c r="H600" s="10" t="n">
        <x:f>MAX(0,MIN(100,D600+G600))</x:f>
        <x:v>50</x:v>
      </x:c>
      <x:c r="I600" s="10" t="n">
        <x:f>0</x:f>
        <x:v>0</x:v>
      </x:c>
      <x:c r="J600" s="10" t="n">
        <x:f>MAX(-'00_Arquitectura'!$B$107,MIN('00_Arquitectura'!$B$107,0))</x:f>
        <x:v>0</x:v>
      </x:c>
      <x:c r="K600" s="10" t="n">
        <x:f>MAX(0,MIN(100,H600+I600+J600))</x:f>
        <x:v>50</x:v>
      </x:c>
      <x:c r="L600" s="10" t="str">
        <x:v>Pulsos y offsets: filtrar Instancias por escenario, turno y targetId. Base separada del nivel visible.</x:v>
      </x:c>
    </x:row>
    <x:row r="601" ht="42" customHeight="1">
      <x:c r="A601" s="5" t="str">
        <x:v>S4_PRESTAMO</x:v>
      </x:c>
      <x:c r="B601" s="5" t="n">
        <x:v>9</x:v>
      </x:c>
      <x:c r="C601" s="5" t="str">
        <x:v>inflacion</x:v>
      </x:c>
      <x:c r="D601" s="5" t="n">
        <x:f>$H$587</x:f>
        <x:v>40</x:v>
      </x:c>
      <x:c r="E601" s="5" t="n">
        <x:f>0+0</x:f>
        <x:v>0</x:v>
      </x:c>
      <x:c r="F601" s="5" t="n">
        <x:f>-'00_Arquitectura'!$B$96*($H$587-40)</x:f>
        <x:v>0</x:v>
      </x:c>
      <x:c r="G601" s="5" t="n">
        <x:f>MAX(-'00_Arquitectura'!$B$106,MIN('00_Arquitectura'!$B$106,E601+F601))</x:f>
        <x:v>0</x:v>
      </x:c>
      <x:c r="H601" s="5" t="n">
        <x:f>MAX(0,MIN(100,D601+G601))</x:f>
        <x:v>40</x:v>
      </x:c>
      <x:c r="I601" s="5" t="n">
        <x:f>0</x:f>
        <x:v>0</x:v>
      </x:c>
      <x:c r="J601" s="5" t="n">
        <x:f>MAX(-'00_Arquitectura'!$B$107,MIN('00_Arquitectura'!$B$107,0))</x:f>
        <x:v>0</x:v>
      </x:c>
      <x:c r="K601" s="5" t="n">
        <x:f>MAX(0,MIN(100,H601+I601+J601))</x:f>
        <x:v>40</x:v>
      </x:c>
      <x:c r="L601" s="5" t="str">
        <x:v>Aplica link L01. Pulsos y offsets: filtrar Instancias por escenario, turno y targetId. Base separada del nivel visible.</x:v>
      </x:c>
    </x:row>
    <x:row r="602" ht="42" customHeight="1">
      <x:c r="A602" s="10" t="str">
        <x:v>S4_PRESTAMO</x:v>
      </x:c>
      <x:c r="B602" s="10" t="n">
        <x:v>9</x:v>
      </x:c>
      <x:c r="C602" s="10" t="str">
        <x:v>actividad</x:v>
      </x:c>
      <x:c r="D602" s="10" t="n">
        <x:f>$H$588</x:f>
        <x:v>49.9325252624</x:v>
      </x:c>
      <x:c r="E602" s="10" t="n">
        <x:f>0+0</x:f>
        <x:v>0</x:v>
      </x:c>
      <x:c r="F602" s="10" t="n">
        <x:f>-'00_Arquitectura'!$B$97*($H$588-50)+'00_Arquitectura'!$B$98*($K$590-45)+'00_Arquitectura'!$B$99*($K$593-45)+'00_Arquitectura'!$B$100*($K$592-45)</x:f>
        <x:v>-0.012382597360000034</x:v>
      </x:c>
      <x:c r="G602" s="10" t="n">
        <x:f>MAX(-'00_Arquitectura'!$B$106,MIN('00_Arquitectura'!$B$106,E602+F602))</x:f>
        <x:v>-0.012382597360000034</x:v>
      </x:c>
      <x:c r="H602" s="10" t="n">
        <x:f>MAX(0,MIN(100,D602+G602))</x:f>
        <x:v>49.92014266504</x:v>
      </x:c>
      <x:c r="I602" s="10" t="n">
        <x:f>0</x:f>
        <x:v>0</x:v>
      </x:c>
      <x:c r="J602" s="10" t="n">
        <x:f>MAX(-'00_Arquitectura'!$B$107,MIN('00_Arquitectura'!$B$107,$J$1439+$J$1442+$J$1443))</x:f>
        <x:v>0</x:v>
      </x:c>
      <x:c r="K602" s="10" t="n">
        <x:f>MAX(0,MIN(100,H602+I602+J602))</x:f>
        <x:v>49.92014266504</x:v>
      </x:c>
      <x:c r="L602" s="10" t="str">
        <x:v>Aplica link L02. Pulsos y offsets: filtrar Instancias por escenario, turno y targetId. Base separada del nivel visible.</x:v>
      </x:c>
    </x:row>
    <x:row r="603" ht="42" customHeight="1">
      <x:c r="A603" s="5" t="str">
        <x:v>S4_PRESTAMO</x:v>
      </x:c>
      <x:c r="B603" s="5" t="n">
        <x:v>9</x:v>
      </x:c>
      <x:c r="C603" s="5" t="str">
        <x:v>ingreso_real</x:v>
      </x:c>
      <x:c r="D603" s="5" t="n">
        <x:f>$H$589</x:f>
        <x:v>44.9918539056</x:v>
      </x:c>
      <x:c r="E603" s="5" t="n">
        <x:f>0+0</x:f>
        <x:v>0</x:v>
      </x:c>
      <x:c r="F603" s="5" t="n">
        <x:f>'00_Arquitectura'!$B$101*($K$588-$K$574)+'00_Arquitectura'!$B$102*($K$587-$K$573)</x:f>
        <x:v>-0.001975116240000574</x:v>
      </x:c>
      <x:c r="G603" s="5" t="n">
        <x:f>MAX(-'00_Arquitectura'!$B$106,MIN('00_Arquitectura'!$B$106,E603+F603))</x:f>
        <x:v>-0.001975116240000574</x:v>
      </x:c>
      <x:c r="H603" s="5" t="n">
        <x:f>MAX(0,MIN(100,D603+G603))</x:f>
        <x:v>44.989878789360006</x:v>
      </x:c>
      <x:c r="I603" s="5" t="n">
        <x:f>0</x:f>
        <x:v>0</x:v>
      </x:c>
      <x:c r="J603" s="5" t="n">
        <x:f>MAX(-'00_Arquitectura'!$B$107,MIN('00_Arquitectura'!$B$107,0))</x:f>
        <x:v>0</x:v>
      </x:c>
      <x:c r="K603" s="5" t="n">
        <x:f>MAX(0,MIN(100,H603+I603+J603))</x:f>
        <x:v>44.989878789360006</x:v>
      </x:c>
      <x:c r="L603" s="5" t="str">
        <x:v>Aplica link L03. Pulsos y offsets: filtrar Instancias por escenario, turno y targetId. Base separada del nivel visible.</x:v>
      </x:c>
    </x:row>
    <x:row r="604" ht="42" customHeight="1">
      <x:c r="A604" s="10" t="str">
        <x:v>S4_PRESTAMO</x:v>
      </x:c>
      <x:c r="B604" s="10" t="n">
        <x:v>9</x:v>
      </x:c>
      <x:c r="C604" s="10" t="str">
        <x:v>credito</x:v>
      </x:c>
      <x:c r="D604" s="10" t="n">
        <x:f>$H$590</x:f>
        <x:v>44.676530688999996</x:v>
      </x:c>
      <x:c r="E604" s="10" t="n">
        <x:f>0+0</x:f>
        <x:v>0</x:v>
      </x:c>
      <x:c r="F604" s="10" t="n">
        <x:f>-'00_Arquitectura'!$B$103*($H$590-45)+'00_Arquitectura'!$B$104*($K$587-$K$573)+'00_Arquitectura'!$B$105*($K$591-'00_Arquitectura'!$B$117)</x:f>
        <x:v>-0.019696832533999425</x:v>
      </x:c>
      <x:c r="G604" s="10" t="n">
        <x:f>MAX(-'00_Arquitectura'!$B$106,MIN('00_Arquitectura'!$B$106,E604+F604))</x:f>
        <x:v>-0.019696832533999425</x:v>
      </x:c>
      <x:c r="H604" s="10" t="n">
        <x:f>MAX(0,MIN(100,D604+G604))</x:f>
        <x:v>44.656833856465994</x:v>
      </x:c>
      <x:c r="I604" s="10" t="n">
        <x:f>0</x:f>
        <x:v>0</x:v>
      </x:c>
      <x:c r="J604" s="10" t="n">
        <x:f>MAX(-'00_Arquitectura'!$B$107,MIN('00_Arquitectura'!$B$107,$J$1441))</x:f>
        <x:v>0</x:v>
      </x:c>
      <x:c r="K604" s="10" t="n">
        <x:f>MAX(0,MIN(100,H604+I604+J604))</x:f>
        <x:v>44.656833856465994</x:v>
      </x:c>
      <x:c r="L604" s="10" t="str">
        <x:v>Aplica link L04. Pulsos y offsets: filtrar Instancias por escenario, turno y targetId. Base separada del nivel visible.</x:v>
      </x:c>
    </x:row>
    <x:row r="605" ht="34" customHeight="1">
      <x:c r="A605" s="5" t="str">
        <x:v>S4_PRESTAMO</x:v>
      </x:c>
      <x:c r="B605" s="5" t="n">
        <x:v>9</x:v>
      </x:c>
      <x:c r="C605" s="5" t="str">
        <x:v>fiscal</x:v>
      </x:c>
      <x:c r="D605" s="5" t="n">
        <x:f>$H$591</x:f>
        <x:v>54.5891385408</x:v>
      </x:c>
      <x:c r="E605" s="5" t="n">
        <x:f>0+0</x:f>
        <x:v>0</x:v>
      </x:c>
      <x:c r="F605" s="5" t="n">
        <x:f>0</x:f>
        <x:v>0</x:v>
      </x:c>
      <x:c r="G605" s="5" t="n">
        <x:f>MAX(-'00_Arquitectura'!$B$106,MIN('00_Arquitectura'!$B$106,E605+F605))</x:f>
        <x:v>0</x:v>
      </x:c>
      <x:c r="H605" s="5" t="n">
        <x:f>$O$53</x:f>
        <x:v>54.58650505247999</x:v>
      </x:c>
      <x:c r="I605" s="5" t="n">
        <x:f>0</x:f>
        <x:v>0</x:v>
      </x:c>
      <x:c r="J605" s="5" t="n">
        <x:f>MAX(-'00_Arquitectura'!$B$107,MIN('00_Arquitectura'!$B$107,0))</x:f>
        <x:v>0</x:v>
      </x:c>
      <x:c r="K605" s="5" t="n">
        <x:f>MAX(0,MIN(100,H605+I605+J605))</x:f>
        <x:v>54.58650505247999</x:v>
      </x:c>
      <x:c r="L605" s="5" t="str">
        <x:v>Derivado de caja: ingreso recurrente, gasto, intereses y deuda. Nunca SUM de efectos fiscales directos.</x:v>
      </x:c>
    </x:row>
    <x:row r="606" ht="34" customHeight="1">
      <x:c r="A606" s="10" t="str">
        <x:v>S4_PRESTAMO</x:v>
      </x:c>
      <x:c r="B606" s="10" t="n">
        <x:v>9</x:v>
      </x:c>
      <x:c r="C606" s="10" t="str">
        <x:v>externo</x:v>
      </x:c>
      <x:c r="D606" s="10" t="n">
        <x:f>$H$592</x:f>
        <x:v>45</x:v>
      </x:c>
      <x:c r="E606" s="10" t="n">
        <x:f>0+0</x:f>
        <x:v>0</x:v>
      </x:c>
      <x:c r="F606" s="10" t="n">
        <x:f>0</x:f>
        <x:v>0</x:v>
      </x:c>
      <x:c r="G606" s="10" t="n">
        <x:f>MAX(-'00_Arquitectura'!$B$106,MIN('00_Arquitectura'!$B$106,E606+F606))</x:f>
        <x:v>0</x:v>
      </x:c>
      <x:c r="H606" s="10" t="n">
        <x:f>MAX(0,MIN(100,D606+G606))</x:f>
        <x:v>45</x:v>
      </x:c>
      <x:c r="I606" s="10" t="n">
        <x:f>0</x:f>
        <x:v>0</x:v>
      </x:c>
      <x:c r="J606" s="10" t="n">
        <x:f>MAX(-'00_Arquitectura'!$B$107,MIN('00_Arquitectura'!$B$107,$J$1440))</x:f>
        <x:v>0</x:v>
      </x:c>
      <x:c r="K606" s="10" t="n">
        <x:f>MAX(0,MIN(100,H606+I606+J606))</x:f>
        <x:v>45</x:v>
      </x:c>
      <x:c r="L606" s="10" t="str">
        <x:v>Pulsos y offsets: filtrar Instancias por escenario, turno y targetId. Base separada del nivel visible.</x:v>
      </x:c>
    </x:row>
    <x:row r="607" ht="34" customHeight="1">
      <x:c r="A607" s="5" t="str">
        <x:v>S4_PRESTAMO</x:v>
      </x:c>
      <x:c r="B607" s="5" t="n">
        <x:v>9</x:v>
      </x:c>
      <x:c r="C607" s="5" t="str">
        <x:v>infraestructura</x:v>
      </x:c>
      <x:c r="D607" s="5" t="n">
        <x:f>$H$593</x:f>
        <x:v>45</x:v>
      </x:c>
      <x:c r="E607" s="5" t="n">
        <x:f>0+0</x:f>
        <x:v>0</x:v>
      </x:c>
      <x:c r="F607" s="5" t="n">
        <x:f>0</x:f>
        <x:v>0</x:v>
      </x:c>
      <x:c r="G607" s="5" t="n">
        <x:f>MAX(-'00_Arquitectura'!$B$106,MIN('00_Arquitectura'!$B$106,E607+F607))</x:f>
        <x:v>0</x:v>
      </x:c>
      <x:c r="H607" s="5" t="n">
        <x:f>MAX(0,MIN(100,D607+G607))</x:f>
        <x:v>45</x:v>
      </x:c>
      <x:c r="I607" s="5" t="n">
        <x:f>0</x:f>
        <x:v>0</x:v>
      </x:c>
      <x:c r="J607" s="5" t="n">
        <x:f>MAX(-'00_Arquitectura'!$B$107,MIN('00_Arquitectura'!$B$107,0))</x:f>
        <x:v>0</x:v>
      </x:c>
      <x:c r="K607" s="5" t="n">
        <x:f>MAX(0,MIN(100,H607+I607+J607))</x:f>
        <x:v>45</x:v>
      </x:c>
      <x:c r="L607" s="5" t="str">
        <x:v>Pulsos y offsets: filtrar Instancias por escenario, turno y targetId. Base separada del nivel visible.</x:v>
      </x:c>
    </x:row>
    <x:row r="608" ht="34" customHeight="1">
      <x:c r="A608" s="10" t="str">
        <x:v>S4_PRESTAMO</x:v>
      </x:c>
      <x:c r="B608" s="10" t="n">
        <x:v>9</x:v>
      </x:c>
      <x:c r="C608" s="10" t="str">
        <x:v>educacion</x:v>
      </x:c>
      <x:c r="D608" s="10" t="n">
        <x:f>$H$594</x:f>
        <x:v>50</x:v>
      </x:c>
      <x:c r="E608" s="10" t="n">
        <x:f>0+0</x:f>
        <x:v>0</x:v>
      </x:c>
      <x:c r="F608" s="10" t="n">
        <x:f>0</x:f>
        <x:v>0</x:v>
      </x:c>
      <x:c r="G608" s="10" t="n">
        <x:f>MAX(-'00_Arquitectura'!$B$106,MIN('00_Arquitectura'!$B$106,E608+F608))</x:f>
        <x:v>0</x:v>
      </x:c>
      <x:c r="H608" s="10" t="n">
        <x:f>MAX(0,MIN(100,D608+G608))</x:f>
        <x:v>50</x:v>
      </x:c>
      <x:c r="I608" s="10" t="n">
        <x:f>0</x:f>
        <x:v>0</x:v>
      </x:c>
      <x:c r="J608" s="10" t="n">
        <x:f>MAX(-'00_Arquitectura'!$B$107,MIN('00_Arquitectura'!$B$107,$J$1447))</x:f>
        <x:v>0</x:v>
      </x:c>
      <x:c r="K608" s="10" t="n">
        <x:f>MAX(0,MIN(100,H608+I608+J608))</x:f>
        <x:v>50</x:v>
      </x:c>
      <x:c r="L608" s="10" t="str">
        <x:v>Pulsos y offsets: filtrar Instancias por escenario, turno y targetId. Base separada del nivel visible.</x:v>
      </x:c>
    </x:row>
    <x:row r="609" ht="34" customHeight="1">
      <x:c r="A609" s="5" t="str">
        <x:v>S4_PRESTAMO</x:v>
      </x:c>
      <x:c r="B609" s="5" t="n">
        <x:v>9</x:v>
      </x:c>
      <x:c r="C609" s="5" t="str">
        <x:v>salud</x:v>
      </x:c>
      <x:c r="D609" s="5" t="n">
        <x:f>$H$595</x:f>
        <x:v>50</x:v>
      </x:c>
      <x:c r="E609" s="5" t="n">
        <x:f>0+0</x:f>
        <x:v>0</x:v>
      </x:c>
      <x:c r="F609" s="5" t="n">
        <x:f>0</x:f>
        <x:v>0</x:v>
      </x:c>
      <x:c r="G609" s="5" t="n">
        <x:f>MAX(-'00_Arquitectura'!$B$106,MIN('00_Arquitectura'!$B$106,E609+F609))</x:f>
        <x:v>0</x:v>
      </x:c>
      <x:c r="H609" s="5" t="n">
        <x:f>MAX(0,MIN(100,D609+G609))</x:f>
        <x:v>50</x:v>
      </x:c>
      <x:c r="I609" s="5" t="n">
        <x:f>0</x:f>
        <x:v>0</x:v>
      </x:c>
      <x:c r="J609" s="5" t="n">
        <x:f>MAX(-'00_Arquitectura'!$B$107,MIN('00_Arquitectura'!$B$107,0))</x:f>
        <x:v>0</x:v>
      </x:c>
      <x:c r="K609" s="5" t="n">
        <x:f>MAX(0,MIN(100,H609+I609+J609))</x:f>
        <x:v>50</x:v>
      </x:c>
      <x:c r="L609" s="5" t="str">
        <x:v>Pulsos y offsets: filtrar Instancias por escenario, turno y targetId. Base separada del nivel visible.</x:v>
      </x:c>
    </x:row>
    <x:row r="610" ht="34" customHeight="1">
      <x:c r="A610" s="10" t="str">
        <x:v>S4_PRESTAMO</x:v>
      </x:c>
      <x:c r="B610" s="10" t="n">
        <x:v>9</x:v>
      </x:c>
      <x:c r="C610" s="10" t="str">
        <x:v>proteccion</x:v>
      </x:c>
      <x:c r="D610" s="10" t="n">
        <x:f>$H$596</x:f>
        <x:v>45</x:v>
      </x:c>
      <x:c r="E610" s="10" t="n">
        <x:f>0+0</x:f>
        <x:v>0</x:v>
      </x:c>
      <x:c r="F610" s="10" t="n">
        <x:f>0</x:f>
        <x:v>0</x:v>
      </x:c>
      <x:c r="G610" s="10" t="n">
        <x:f>MAX(-'00_Arquitectura'!$B$106,MIN('00_Arquitectura'!$B$106,E610+F610))</x:f>
        <x:v>0</x:v>
      </x:c>
      <x:c r="H610" s="10" t="n">
        <x:f>MAX(0,MIN(100,D610+G610))</x:f>
        <x:v>45</x:v>
      </x:c>
      <x:c r="I610" s="10" t="n">
        <x:f>0</x:f>
        <x:v>0</x:v>
      </x:c>
      <x:c r="J610" s="10" t="n">
        <x:f>MAX(-'00_Arquitectura'!$B$107,MIN('00_Arquitectura'!$B$107,$J$1445+$J$1449))</x:f>
        <x:v>0</x:v>
      </x:c>
      <x:c r="K610" s="10" t="n">
        <x:f>MAX(0,MIN(100,H610+I610+J610))</x:f>
        <x:v>45</x:v>
      </x:c>
      <x:c r="L610" s="10" t="str">
        <x:v>Pulsos y offsets: filtrar Instancias por escenario, turno y targetId. Base separada del nivel visible.</x:v>
      </x:c>
    </x:row>
    <x:row r="611" ht="34" customHeight="1">
      <x:c r="A611" s="5" t="str">
        <x:v>S4_PRESTAMO</x:v>
      </x:c>
      <x:c r="B611" s="5" t="n">
        <x:v>9</x:v>
      </x:c>
      <x:c r="C611" s="5" t="str">
        <x:v>seguridad</x:v>
      </x:c>
      <x:c r="D611" s="5" t="n">
        <x:f>$H$597</x:f>
        <x:v>45</x:v>
      </x:c>
      <x:c r="E611" s="5" t="n">
        <x:f>0+0</x:f>
        <x:v>0</x:v>
      </x:c>
      <x:c r="F611" s="5" t="n">
        <x:f>0</x:f>
        <x:v>0</x:v>
      </x:c>
      <x:c r="G611" s="5" t="n">
        <x:f>MAX(-'00_Arquitectura'!$B$106,MIN('00_Arquitectura'!$B$106,E611+F611))</x:f>
        <x:v>0</x:v>
      </x:c>
      <x:c r="H611" s="5" t="n">
        <x:f>MAX(0,MIN(100,D611+G611))</x:f>
        <x:v>45</x:v>
      </x:c>
      <x:c r="I611" s="5" t="n">
        <x:f>0</x:f>
        <x:v>0</x:v>
      </x:c>
      <x:c r="J611" s="5" t="n">
        <x:f>MAX(-'00_Arquitectura'!$B$107,MIN('00_Arquitectura'!$B$107,0))</x:f>
        <x:v>0</x:v>
      </x:c>
      <x:c r="K611" s="5" t="n">
        <x:f>MAX(0,MIN(100,H611+I611+J611))</x:f>
        <x:v>45</x:v>
      </x:c>
      <x:c r="L611" s="5" t="str">
        <x:v>Pulsos y offsets: filtrar Instancias por escenario, turno y targetId. Base separada del nivel visible.</x:v>
      </x:c>
    </x:row>
    <x:row r="612" ht="34" customHeight="1">
      <x:c r="A612" s="10" t="str">
        <x:v>S4_PRESTAMO</x:v>
      </x:c>
      <x:c r="B612" s="10" t="n">
        <x:v>9</x:v>
      </x:c>
      <x:c r="C612" s="10" t="str">
        <x:v>ciencia</x:v>
      </x:c>
      <x:c r="D612" s="10" t="n">
        <x:f>$H$598</x:f>
        <x:v>40</x:v>
      </x:c>
      <x:c r="E612" s="10" t="n">
        <x:f>0+0</x:f>
        <x:v>0</x:v>
      </x:c>
      <x:c r="F612" s="10" t="n">
        <x:f>0</x:f>
        <x:v>0</x:v>
      </x:c>
      <x:c r="G612" s="10" t="n">
        <x:f>MAX(-'00_Arquitectura'!$B$106,MIN('00_Arquitectura'!$B$106,E612+F612))</x:f>
        <x:v>0</x:v>
      </x:c>
      <x:c r="H612" s="10" t="n">
        <x:f>MAX(0,MIN(100,D612+G612))</x:f>
        <x:v>40</x:v>
      </x:c>
      <x:c r="I612" s="10" t="n">
        <x:f>0</x:f>
        <x:v>0</x:v>
      </x:c>
      <x:c r="J612" s="10" t="n">
        <x:f>MAX(-'00_Arquitectura'!$B$107,MIN('00_Arquitectura'!$B$107,$J$1448))</x:f>
        <x:v>0</x:v>
      </x:c>
      <x:c r="K612" s="10" t="n">
        <x:f>MAX(0,MIN(100,H612+I612+J612))</x:f>
        <x:v>40</x:v>
      </x:c>
      <x:c r="L612" s="10" t="str">
        <x:v>Pulsos y offsets: filtrar Instancias por escenario, turno y targetId. Base separada del nivel visible.</x:v>
      </x:c>
    </x:row>
    <x:row r="613" ht="34" customHeight="1">
      <x:c r="A613" s="5" t="str">
        <x:v>S4_PRESTAMO</x:v>
      </x:c>
      <x:c r="B613" s="5" t="n">
        <x:v>9</x:v>
      </x:c>
      <x:c r="C613" s="5" t="str">
        <x:v>derechos</x:v>
      </x:c>
      <x:c r="D613" s="5" t="n">
        <x:f>$H$599</x:f>
        <x:v>57</x:v>
      </x:c>
      <x:c r="E613" s="5" t="n">
        <x:f>0+0</x:f>
        <x:v>0</x:v>
      </x:c>
      <x:c r="F613" s="5" t="n">
        <x:f>0</x:f>
        <x:v>0</x:v>
      </x:c>
      <x:c r="G613" s="5" t="n">
        <x:f>MAX(-'00_Arquitectura'!$B$106,MIN('00_Arquitectura'!$B$106,E613+F613))</x:f>
        <x:v>0</x:v>
      </x:c>
      <x:c r="H613" s="5" t="n">
        <x:f>MAX(0,MIN(100,D613+G613))</x:f>
        <x:v>57</x:v>
      </x:c>
      <x:c r="I613" s="5" t="n">
        <x:f>0</x:f>
        <x:v>0</x:v>
      </x:c>
      <x:c r="J613" s="5" t="n">
        <x:f>MAX(-'00_Arquitectura'!$B$107,MIN('00_Arquitectura'!$B$107,0))</x:f>
        <x:v>0</x:v>
      </x:c>
      <x:c r="K613" s="5" t="n">
        <x:f>MAX(0,MIN(100,H613+I613+J613))</x:f>
        <x:v>57</x:v>
      </x:c>
      <x:c r="L613" s="5" t="str">
        <x:v>Pulsos y offsets: filtrar Instancias por escenario, turno y targetId. Base separada del nivel visible.</x:v>
      </x:c>
    </x:row>
    <x:row r="614" ht="34" customHeight="1">
      <x:c r="A614" s="10" t="str">
        <x:v>S4_PRESTAMO</x:v>
      </x:c>
      <x:c r="B614" s="10" t="n">
        <x:v>9</x:v>
      </x:c>
      <x:c r="C614" s="10" t="str">
        <x:v>ambiente</x:v>
      </x:c>
      <x:c r="D614" s="10" t="n">
        <x:f>$H$600</x:f>
        <x:v>50</x:v>
      </x:c>
      <x:c r="E614" s="10" t="n">
        <x:f>0+0</x:f>
        <x:v>0</x:v>
      </x:c>
      <x:c r="F614" s="10" t="n">
        <x:f>0</x:f>
        <x:v>0</x:v>
      </x:c>
      <x:c r="G614" s="10" t="n">
        <x:f>MAX(-'00_Arquitectura'!$B$106,MIN('00_Arquitectura'!$B$106,E614+F614))</x:f>
        <x:v>0</x:v>
      </x:c>
      <x:c r="H614" s="10" t="n">
        <x:f>MAX(0,MIN(100,D614+G614))</x:f>
        <x:v>50</x:v>
      </x:c>
      <x:c r="I614" s="10" t="n">
        <x:f>0</x:f>
        <x:v>0</x:v>
      </x:c>
      <x:c r="J614" s="10" t="n">
        <x:f>MAX(-'00_Arquitectura'!$B$107,MIN('00_Arquitectura'!$B$107,0))</x:f>
        <x:v>0</x:v>
      </x:c>
      <x:c r="K614" s="10" t="n">
        <x:f>MAX(0,MIN(100,H614+I614+J614))</x:f>
        <x:v>50</x:v>
      </x:c>
      <x:c r="L614" s="10" t="str">
        <x:v>Pulsos y offsets: filtrar Instancias por escenario, turno y targetId. Base separada del nivel visible.</x:v>
      </x:c>
    </x:row>
    <x:row r="615" ht="42" customHeight="1">
      <x:c r="A615" s="5" t="str">
        <x:v>S4_PRESTAMO</x:v>
      </x:c>
      <x:c r="B615" s="5" t="n">
        <x:v>10</x:v>
      </x:c>
      <x:c r="C615" s="5" t="str">
        <x:v>inflacion</x:v>
      </x:c>
      <x:c r="D615" s="5" t="n">
        <x:f>$H$601</x:f>
        <x:v>40</x:v>
      </x:c>
      <x:c r="E615" s="5" t="n">
        <x:f>0+0</x:f>
        <x:v>0</x:v>
      </x:c>
      <x:c r="F615" s="5" t="n">
        <x:f>-'00_Arquitectura'!$B$96*($H$601-40)</x:f>
        <x:v>0</x:v>
      </x:c>
      <x:c r="G615" s="5" t="n">
        <x:f>MAX(-'00_Arquitectura'!$B$106,MIN('00_Arquitectura'!$B$106,E615+F615))</x:f>
        <x:v>0</x:v>
      </x:c>
      <x:c r="H615" s="5" t="n">
        <x:f>MAX(0,MIN(100,D615+G615))</x:f>
        <x:v>40</x:v>
      </x:c>
      <x:c r="I615" s="5" t="n">
        <x:f>0</x:f>
        <x:v>0</x:v>
      </x:c>
      <x:c r="J615" s="5" t="n">
        <x:f>MAX(-'00_Arquitectura'!$B$107,MIN('00_Arquitectura'!$B$107,0))</x:f>
        <x:v>0</x:v>
      </x:c>
      <x:c r="K615" s="5" t="n">
        <x:f>MAX(0,MIN(100,H615+I615+J615))</x:f>
        <x:v>40</x:v>
      </x:c>
      <x:c r="L615" s="5" t="str">
        <x:v>Aplica link L01. Pulsos y offsets: filtrar Instancias por escenario, turno y targetId. Base separada del nivel visible.</x:v>
      </x:c>
    </x:row>
    <x:row r="616" ht="42" customHeight="1">
      <x:c r="A616" s="10" t="str">
        <x:v>S4_PRESTAMO</x:v>
      </x:c>
      <x:c r="B616" s="10" t="n">
        <x:v>10</x:v>
      </x:c>
      <x:c r="C616" s="10" t="str">
        <x:v>actividad</x:v>
      </x:c>
      <x:c r="D616" s="10" t="n">
        <x:f>$H$602</x:f>
        <x:v>49.92014266504</x:v>
      </x:c>
      <x:c r="E616" s="10" t="n">
        <x:f>0+0</x:f>
        <x:v>0</x:v>
      </x:c>
      <x:c r="F616" s="10" t="n">
        <x:f>-'00_Arquitectura'!$B$97*($H$602-50)+'00_Arquitectura'!$B$98*($K$604-45)+'00_Arquitectura'!$B$99*($K$607-45)+'00_Arquitectura'!$B$100*($K$606-45)</x:f>
        <x:v>-0.011481824490719817</x:v>
      </x:c>
      <x:c r="G616" s="10" t="n">
        <x:f>MAX(-'00_Arquitectura'!$B$106,MIN('00_Arquitectura'!$B$106,E616+F616))</x:f>
        <x:v>-0.011481824490719817</x:v>
      </x:c>
      <x:c r="H616" s="10" t="n">
        <x:f>MAX(0,MIN(100,D616+G616))</x:f>
        <x:v>49.908660840549274</x:v>
      </x:c>
      <x:c r="I616" s="10" t="n">
        <x:f>0</x:f>
        <x:v>0</x:v>
      </x:c>
      <x:c r="J616" s="10" t="n">
        <x:f>MAX(-'00_Arquitectura'!$B$107,MIN('00_Arquitectura'!$B$107,$J$1457+$J$1460+$J$1461))</x:f>
        <x:v>0</x:v>
      </x:c>
      <x:c r="K616" s="10" t="n">
        <x:f>MAX(0,MIN(100,H616+I616+J616))</x:f>
        <x:v>49.908660840549274</x:v>
      </x:c>
      <x:c r="L616" s="10" t="str">
        <x:v>Aplica link L02. Pulsos y offsets: filtrar Instancias por escenario, turno y targetId. Base separada del nivel visible.</x:v>
      </x:c>
    </x:row>
    <x:row r="617" ht="42" customHeight="1">
      <x:c r="A617" s="5" t="str">
        <x:v>S4_PRESTAMO</x:v>
      </x:c>
      <x:c r="B617" s="5" t="n">
        <x:v>10</x:v>
      </x:c>
      <x:c r="C617" s="5" t="str">
        <x:v>ingreso_real</x:v>
      </x:c>
      <x:c r="D617" s="5" t="n">
        <x:f>$H$603</x:f>
        <x:v>44.989878789360006</x:v>
      </x:c>
      <x:c r="E617" s="5" t="n">
        <x:f>0+0</x:f>
        <x:v>0</x:v>
      </x:c>
      <x:c r="F617" s="5" t="n">
        <x:f>'00_Arquitectura'!$B$101*($K$602-$K$588)+'00_Arquitectura'!$B$102*($K$601-$K$587)</x:f>
        <x:v>-0.0018573896040003034</x:v>
      </x:c>
      <x:c r="G617" s="5" t="n">
        <x:f>MAX(-'00_Arquitectura'!$B$106,MIN('00_Arquitectura'!$B$106,E617+F617))</x:f>
        <x:v>-0.0018573896040003034</x:v>
      </x:c>
      <x:c r="H617" s="5" t="n">
        <x:f>MAX(0,MIN(100,D617+G617))</x:f>
        <x:v>44.98802139975601</x:v>
      </x:c>
      <x:c r="I617" s="5" t="n">
        <x:f>0</x:f>
        <x:v>0</x:v>
      </x:c>
      <x:c r="J617" s="5" t="n">
        <x:f>MAX(-'00_Arquitectura'!$B$107,MIN('00_Arquitectura'!$B$107,0))</x:f>
        <x:v>0</x:v>
      </x:c>
      <x:c r="K617" s="5" t="n">
        <x:f>MAX(0,MIN(100,H617+I617+J617))</x:f>
        <x:v>44.98802139975601</x:v>
      </x:c>
      <x:c r="L617" s="5" t="str">
        <x:v>Aplica link L03. Pulsos y offsets: filtrar Instancias por escenario, turno y targetId. Base separada del nivel visible.</x:v>
      </x:c>
    </x:row>
    <x:row r="618" ht="42" customHeight="1">
      <x:c r="A618" s="10" t="str">
        <x:v>S4_PRESTAMO</x:v>
      </x:c>
      <x:c r="B618" s="10" t="n">
        <x:v>10</x:v>
      </x:c>
      <x:c r="C618" s="10" t="str">
        <x:v>credito</x:v>
      </x:c>
      <x:c r="D618" s="10" t="n">
        <x:f>$H$604</x:f>
        <x:v>44.656833856465994</x:v>
      </x:c>
      <x:c r="E618" s="10" t="n">
        <x:f>0+0</x:f>
        <x:v>0</x:v>
      </x:c>
      <x:c r="F618" s="10" t="n">
        <x:f>-'00_Arquitectura'!$B$103*($H$604-45)+'00_Arquitectura'!$B$104*($K$601-$K$587)+'00_Arquitectura'!$B$105*($K$605-'00_Arquitectura'!$B$117)</x:f>
        <x:v>-0.01679497742029923</x:v>
      </x:c>
      <x:c r="G618" s="10" t="n">
        <x:f>MAX(-'00_Arquitectura'!$B$106,MIN('00_Arquitectura'!$B$106,E618+F618))</x:f>
        <x:v>-0.01679497742029923</x:v>
      </x:c>
      <x:c r="H618" s="10" t="n">
        <x:f>MAX(0,MIN(100,D618+G618))</x:f>
        <x:v>44.6400388790457</x:v>
      </x:c>
      <x:c r="I618" s="10" t="n">
        <x:f>0</x:f>
        <x:v>0</x:v>
      </x:c>
      <x:c r="J618" s="10" t="n">
        <x:f>MAX(-'00_Arquitectura'!$B$107,MIN('00_Arquitectura'!$B$107,$J$1459))</x:f>
        <x:v>0</x:v>
      </x:c>
      <x:c r="K618" s="10" t="n">
        <x:f>MAX(0,MIN(100,H618+I618+J618))</x:f>
        <x:v>44.6400388790457</x:v>
      </x:c>
      <x:c r="L618" s="10" t="str">
        <x:v>Aplica link L04. Pulsos y offsets: filtrar Instancias por escenario, turno y targetId. Base separada del nivel visible.</x:v>
      </x:c>
    </x:row>
    <x:row r="619" ht="34" customHeight="1">
      <x:c r="A619" s="5" t="str">
        <x:v>S4_PRESTAMO</x:v>
      </x:c>
      <x:c r="B619" s="5" t="n">
        <x:v>10</x:v>
      </x:c>
      <x:c r="C619" s="5" t="str">
        <x:v>fiscal</x:v>
      </x:c>
      <x:c r="D619" s="5" t="n">
        <x:f>$H$605</x:f>
        <x:v>54.58650505247999</x:v>
      </x:c>
      <x:c r="E619" s="5" t="n">
        <x:f>0+0</x:f>
        <x:v>0</x:v>
      </x:c>
      <x:c r="F619" s="5" t="n">
        <x:f>0</x:f>
        <x:v>0</x:v>
      </x:c>
      <x:c r="G619" s="5" t="n">
        <x:f>MAX(-'00_Arquitectura'!$B$106,MIN('00_Arquitectura'!$B$106,E619+F619))</x:f>
        <x:v>0</x:v>
      </x:c>
      <x:c r="H619" s="5" t="n">
        <x:f>$O$54</x:f>
        <x:v>62.584028533007995</x:v>
      </x:c>
      <x:c r="I619" s="5" t="n">
        <x:f>0</x:f>
        <x:v>0</x:v>
      </x:c>
      <x:c r="J619" s="5" t="n">
        <x:f>MAX(-'00_Arquitectura'!$B$107,MIN('00_Arquitectura'!$B$107,0))</x:f>
        <x:v>0</x:v>
      </x:c>
      <x:c r="K619" s="5" t="n">
        <x:f>MAX(0,MIN(100,H619+I619+J619))</x:f>
        <x:v>62.584028533007995</x:v>
      </x:c>
      <x:c r="L619" s="5" t="str">
        <x:v>Derivado de caja: ingreso recurrente, gasto, intereses y deuda. Nunca SUM de efectos fiscales directos.</x:v>
      </x:c>
    </x:row>
    <x:row r="620" ht="34" customHeight="1">
      <x:c r="A620" s="10" t="str">
        <x:v>S4_PRESTAMO</x:v>
      </x:c>
      <x:c r="B620" s="10" t="n">
        <x:v>10</x:v>
      </x:c>
      <x:c r="C620" s="10" t="str">
        <x:v>externo</x:v>
      </x:c>
      <x:c r="D620" s="10" t="n">
        <x:f>$H$606</x:f>
        <x:v>45</x:v>
      </x:c>
      <x:c r="E620" s="10" t="n">
        <x:f>0+0</x:f>
        <x:v>0</x:v>
      </x:c>
      <x:c r="F620" s="10" t="n">
        <x:f>0</x:f>
        <x:v>0</x:v>
      </x:c>
      <x:c r="G620" s="10" t="n">
        <x:f>MAX(-'00_Arquitectura'!$B$106,MIN('00_Arquitectura'!$B$106,E620+F620))</x:f>
        <x:v>0</x:v>
      </x:c>
      <x:c r="H620" s="10" t="n">
        <x:f>MAX(0,MIN(100,D620+G620))</x:f>
        <x:v>45</x:v>
      </x:c>
      <x:c r="I620" s="10" t="n">
        <x:f>0</x:f>
        <x:v>0</x:v>
      </x:c>
      <x:c r="J620" s="10" t="n">
        <x:f>MAX(-'00_Arquitectura'!$B$107,MIN('00_Arquitectura'!$B$107,$J$1458))</x:f>
        <x:v>0</x:v>
      </x:c>
      <x:c r="K620" s="10" t="n">
        <x:f>MAX(0,MIN(100,H620+I620+J620))</x:f>
        <x:v>45</x:v>
      </x:c>
      <x:c r="L620" s="10" t="str">
        <x:v>Pulsos y offsets: filtrar Instancias por escenario, turno y targetId. Base separada del nivel visible.</x:v>
      </x:c>
    </x:row>
    <x:row r="621" ht="34" customHeight="1">
      <x:c r="A621" s="5" t="str">
        <x:v>S4_PRESTAMO</x:v>
      </x:c>
      <x:c r="B621" s="5" t="n">
        <x:v>10</x:v>
      </x:c>
      <x:c r="C621" s="5" t="str">
        <x:v>infraestructura</x:v>
      </x:c>
      <x:c r="D621" s="5" t="n">
        <x:f>$H$607</x:f>
        <x:v>45</x:v>
      </x:c>
      <x:c r="E621" s="5" t="n">
        <x:f>0+0</x:f>
        <x:v>0</x:v>
      </x:c>
      <x:c r="F621" s="5" t="n">
        <x:f>0</x:f>
        <x:v>0</x:v>
      </x:c>
      <x:c r="G621" s="5" t="n">
        <x:f>MAX(-'00_Arquitectura'!$B$106,MIN('00_Arquitectura'!$B$106,E621+F621))</x:f>
        <x:v>0</x:v>
      </x:c>
      <x:c r="H621" s="5" t="n">
        <x:f>MAX(0,MIN(100,D621+G621))</x:f>
        <x:v>45</x:v>
      </x:c>
      <x:c r="I621" s="5" t="n">
        <x:f>0</x:f>
        <x:v>0</x:v>
      </x:c>
      <x:c r="J621" s="5" t="n">
        <x:f>MAX(-'00_Arquitectura'!$B$107,MIN('00_Arquitectura'!$B$107,0))</x:f>
        <x:v>0</x:v>
      </x:c>
      <x:c r="K621" s="5" t="n">
        <x:f>MAX(0,MIN(100,H621+I621+J621))</x:f>
        <x:v>45</x:v>
      </x:c>
      <x:c r="L621" s="5" t="str">
        <x:v>Pulsos y offsets: filtrar Instancias por escenario, turno y targetId. Base separada del nivel visible.</x:v>
      </x:c>
    </x:row>
    <x:row r="622" ht="34" customHeight="1">
      <x:c r="A622" s="10" t="str">
        <x:v>S4_PRESTAMO</x:v>
      </x:c>
      <x:c r="B622" s="10" t="n">
        <x:v>10</x:v>
      </x:c>
      <x:c r="C622" s="10" t="str">
        <x:v>educacion</x:v>
      </x:c>
      <x:c r="D622" s="10" t="n">
        <x:f>$H$608</x:f>
        <x:v>50</x:v>
      </x:c>
      <x:c r="E622" s="10" t="n">
        <x:f>0+0</x:f>
        <x:v>0</x:v>
      </x:c>
      <x:c r="F622" s="10" t="n">
        <x:f>0</x:f>
        <x:v>0</x:v>
      </x:c>
      <x:c r="G622" s="10" t="n">
        <x:f>MAX(-'00_Arquitectura'!$B$106,MIN('00_Arquitectura'!$B$106,E622+F622))</x:f>
        <x:v>0</x:v>
      </x:c>
      <x:c r="H622" s="10" t="n">
        <x:f>MAX(0,MIN(100,D622+G622))</x:f>
        <x:v>50</x:v>
      </x:c>
      <x:c r="I622" s="10" t="n">
        <x:f>0</x:f>
        <x:v>0</x:v>
      </x:c>
      <x:c r="J622" s="10" t="n">
        <x:f>MAX(-'00_Arquitectura'!$B$107,MIN('00_Arquitectura'!$B$107,$J$1465))</x:f>
        <x:v>0</x:v>
      </x:c>
      <x:c r="K622" s="10" t="n">
        <x:f>MAX(0,MIN(100,H622+I622+J622))</x:f>
        <x:v>50</x:v>
      </x:c>
      <x:c r="L622" s="10" t="str">
        <x:v>Pulsos y offsets: filtrar Instancias por escenario, turno y targetId. Base separada del nivel visible.</x:v>
      </x:c>
    </x:row>
    <x:row r="623" ht="34" customHeight="1">
      <x:c r="A623" s="5" t="str">
        <x:v>S4_PRESTAMO</x:v>
      </x:c>
      <x:c r="B623" s="5" t="n">
        <x:v>10</x:v>
      </x:c>
      <x:c r="C623" s="5" t="str">
        <x:v>salud</x:v>
      </x:c>
      <x:c r="D623" s="5" t="n">
        <x:f>$H$609</x:f>
        <x:v>50</x:v>
      </x:c>
      <x:c r="E623" s="5" t="n">
        <x:f>0+0</x:f>
        <x:v>0</x:v>
      </x:c>
      <x:c r="F623" s="5" t="n">
        <x:f>0</x:f>
        <x:v>0</x:v>
      </x:c>
      <x:c r="G623" s="5" t="n">
        <x:f>MAX(-'00_Arquitectura'!$B$106,MIN('00_Arquitectura'!$B$106,E623+F623))</x:f>
        <x:v>0</x:v>
      </x:c>
      <x:c r="H623" s="5" t="n">
        <x:f>MAX(0,MIN(100,D623+G623))</x:f>
        <x:v>50</x:v>
      </x:c>
      <x:c r="I623" s="5" t="n">
        <x:f>0</x:f>
        <x:v>0</x:v>
      </x:c>
      <x:c r="J623" s="5" t="n">
        <x:f>MAX(-'00_Arquitectura'!$B$107,MIN('00_Arquitectura'!$B$107,0))</x:f>
        <x:v>0</x:v>
      </x:c>
      <x:c r="K623" s="5" t="n">
        <x:f>MAX(0,MIN(100,H623+I623+J623))</x:f>
        <x:v>50</x:v>
      </x:c>
      <x:c r="L623" s="5" t="str">
        <x:v>Pulsos y offsets: filtrar Instancias por escenario, turno y targetId. Base separada del nivel visible.</x:v>
      </x:c>
    </x:row>
    <x:row r="624" ht="34" customHeight="1">
      <x:c r="A624" s="10" t="str">
        <x:v>S4_PRESTAMO</x:v>
      </x:c>
      <x:c r="B624" s="10" t="n">
        <x:v>10</x:v>
      </x:c>
      <x:c r="C624" s="10" t="str">
        <x:v>proteccion</x:v>
      </x:c>
      <x:c r="D624" s="10" t="n">
        <x:f>$H$610</x:f>
        <x:v>45</x:v>
      </x:c>
      <x:c r="E624" s="10" t="n">
        <x:f>0+0</x:f>
        <x:v>0</x:v>
      </x:c>
      <x:c r="F624" s="10" t="n">
        <x:f>0</x:f>
        <x:v>0</x:v>
      </x:c>
      <x:c r="G624" s="10" t="n">
        <x:f>MAX(-'00_Arquitectura'!$B$106,MIN('00_Arquitectura'!$B$106,E624+F624))</x:f>
        <x:v>0</x:v>
      </x:c>
      <x:c r="H624" s="10" t="n">
        <x:f>MAX(0,MIN(100,D624+G624))</x:f>
        <x:v>45</x:v>
      </x:c>
      <x:c r="I624" s="10" t="n">
        <x:f>0</x:f>
        <x:v>0</x:v>
      </x:c>
      <x:c r="J624" s="10" t="n">
        <x:f>MAX(-'00_Arquitectura'!$B$107,MIN('00_Arquitectura'!$B$107,$J$1463+$J$1467))</x:f>
        <x:v>0</x:v>
      </x:c>
      <x:c r="K624" s="10" t="n">
        <x:f>MAX(0,MIN(100,H624+I624+J624))</x:f>
        <x:v>45</x:v>
      </x:c>
      <x:c r="L624" s="10" t="str">
        <x:v>Pulsos y offsets: filtrar Instancias por escenario, turno y targetId. Base separada del nivel visible.</x:v>
      </x:c>
    </x:row>
    <x:row r="625" ht="34" customHeight="1">
      <x:c r="A625" s="5" t="str">
        <x:v>S4_PRESTAMO</x:v>
      </x:c>
      <x:c r="B625" s="5" t="n">
        <x:v>10</x:v>
      </x:c>
      <x:c r="C625" s="5" t="str">
        <x:v>seguridad</x:v>
      </x:c>
      <x:c r="D625" s="5" t="n">
        <x:f>$H$611</x:f>
        <x:v>45</x:v>
      </x:c>
      <x:c r="E625" s="5" t="n">
        <x:f>0+0</x:f>
        <x:v>0</x:v>
      </x:c>
      <x:c r="F625" s="5" t="n">
        <x:f>0</x:f>
        <x:v>0</x:v>
      </x:c>
      <x:c r="G625" s="5" t="n">
        <x:f>MAX(-'00_Arquitectura'!$B$106,MIN('00_Arquitectura'!$B$106,E625+F625))</x:f>
        <x:v>0</x:v>
      </x:c>
      <x:c r="H625" s="5" t="n">
        <x:f>MAX(0,MIN(100,D625+G625))</x:f>
        <x:v>45</x:v>
      </x:c>
      <x:c r="I625" s="5" t="n">
        <x:f>0</x:f>
        <x:v>0</x:v>
      </x:c>
      <x:c r="J625" s="5" t="n">
        <x:f>MAX(-'00_Arquitectura'!$B$107,MIN('00_Arquitectura'!$B$107,0))</x:f>
        <x:v>0</x:v>
      </x:c>
      <x:c r="K625" s="5" t="n">
        <x:f>MAX(0,MIN(100,H625+I625+J625))</x:f>
        <x:v>45</x:v>
      </x:c>
      <x:c r="L625" s="5" t="str">
        <x:v>Pulsos y offsets: filtrar Instancias por escenario, turno y targetId. Base separada del nivel visible.</x:v>
      </x:c>
    </x:row>
    <x:row r="626" ht="34" customHeight="1">
      <x:c r="A626" s="10" t="str">
        <x:v>S4_PRESTAMO</x:v>
      </x:c>
      <x:c r="B626" s="10" t="n">
        <x:v>10</x:v>
      </x:c>
      <x:c r="C626" s="10" t="str">
        <x:v>ciencia</x:v>
      </x:c>
      <x:c r="D626" s="10" t="n">
        <x:f>$H$612</x:f>
        <x:v>40</x:v>
      </x:c>
      <x:c r="E626" s="10" t="n">
        <x:f>0+0</x:f>
        <x:v>0</x:v>
      </x:c>
      <x:c r="F626" s="10" t="n">
        <x:f>0</x:f>
        <x:v>0</x:v>
      </x:c>
      <x:c r="G626" s="10" t="n">
        <x:f>MAX(-'00_Arquitectura'!$B$106,MIN('00_Arquitectura'!$B$106,E626+F626))</x:f>
        <x:v>0</x:v>
      </x:c>
      <x:c r="H626" s="10" t="n">
        <x:f>MAX(0,MIN(100,D626+G626))</x:f>
        <x:v>40</x:v>
      </x:c>
      <x:c r="I626" s="10" t="n">
        <x:f>0</x:f>
        <x:v>0</x:v>
      </x:c>
      <x:c r="J626" s="10" t="n">
        <x:f>MAX(-'00_Arquitectura'!$B$107,MIN('00_Arquitectura'!$B$107,$J$1466))</x:f>
        <x:v>0</x:v>
      </x:c>
      <x:c r="K626" s="10" t="n">
        <x:f>MAX(0,MIN(100,H626+I626+J626))</x:f>
        <x:v>40</x:v>
      </x:c>
      <x:c r="L626" s="10" t="str">
        <x:v>Pulsos y offsets: filtrar Instancias por escenario, turno y targetId. Base separada del nivel visible.</x:v>
      </x:c>
    </x:row>
    <x:row r="627" ht="34" customHeight="1">
      <x:c r="A627" s="5" t="str">
        <x:v>S4_PRESTAMO</x:v>
      </x:c>
      <x:c r="B627" s="5" t="n">
        <x:v>10</x:v>
      </x:c>
      <x:c r="C627" s="5" t="str">
        <x:v>derechos</x:v>
      </x:c>
      <x:c r="D627" s="5" t="n">
        <x:f>$H$613</x:f>
        <x:v>57</x:v>
      </x:c>
      <x:c r="E627" s="5" t="n">
        <x:f>0+0</x:f>
        <x:v>0</x:v>
      </x:c>
      <x:c r="F627" s="5" t="n">
        <x:f>0</x:f>
        <x:v>0</x:v>
      </x:c>
      <x:c r="G627" s="5" t="n">
        <x:f>MAX(-'00_Arquitectura'!$B$106,MIN('00_Arquitectura'!$B$106,E627+F627))</x:f>
        <x:v>0</x:v>
      </x:c>
      <x:c r="H627" s="5" t="n">
        <x:f>MAX(0,MIN(100,D627+G627))</x:f>
        <x:v>57</x:v>
      </x:c>
      <x:c r="I627" s="5" t="n">
        <x:f>0</x:f>
        <x:v>0</x:v>
      </x:c>
      <x:c r="J627" s="5" t="n">
        <x:f>MAX(-'00_Arquitectura'!$B$107,MIN('00_Arquitectura'!$B$107,0))</x:f>
        <x:v>0</x:v>
      </x:c>
      <x:c r="K627" s="5" t="n">
        <x:f>MAX(0,MIN(100,H627+I627+J627))</x:f>
        <x:v>57</x:v>
      </x:c>
      <x:c r="L627" s="5" t="str">
        <x:v>Pulsos y offsets: filtrar Instancias por escenario, turno y targetId. Base separada del nivel visible.</x:v>
      </x:c>
    </x:row>
    <x:row r="628" ht="34" customHeight="1">
      <x:c r="A628" s="10" t="str">
        <x:v>S4_PRESTAMO</x:v>
      </x:c>
      <x:c r="B628" s="10" t="n">
        <x:v>10</x:v>
      </x:c>
      <x:c r="C628" s="10" t="str">
        <x:v>ambiente</x:v>
      </x:c>
      <x:c r="D628" s="10" t="n">
        <x:f>$H$614</x:f>
        <x:v>50</x:v>
      </x:c>
      <x:c r="E628" s="10" t="n">
        <x:f>0+0</x:f>
        <x:v>0</x:v>
      </x:c>
      <x:c r="F628" s="10" t="n">
        <x:f>0</x:f>
        <x:v>0</x:v>
      </x:c>
      <x:c r="G628" s="10" t="n">
        <x:f>MAX(-'00_Arquitectura'!$B$106,MIN('00_Arquitectura'!$B$106,E628+F628))</x:f>
        <x:v>0</x:v>
      </x:c>
      <x:c r="H628" s="10" t="n">
        <x:f>MAX(0,MIN(100,D628+G628))</x:f>
        <x:v>50</x:v>
      </x:c>
      <x:c r="I628" s="10" t="n">
        <x:f>0</x:f>
        <x:v>0</x:v>
      </x:c>
      <x:c r="J628" s="10" t="n">
        <x:f>MAX(-'00_Arquitectura'!$B$107,MIN('00_Arquitectura'!$B$107,0))</x:f>
        <x:v>0</x:v>
      </x:c>
      <x:c r="K628" s="10" t="n">
        <x:f>MAX(0,MIN(100,H628+I628+J628))</x:f>
        <x:v>50</x:v>
      </x:c>
      <x:c r="L628" s="10" t="str">
        <x:v>Pulsos y offsets: filtrar Instancias por escenario, turno y targetId. Base separada del nivel visible.</x:v>
      </x:c>
    </x:row>
    <x:row r="629" ht="42" customHeight="1">
      <x:c r="A629" s="5" t="str">
        <x:v>S5_SEGURIDAD</x:v>
      </x:c>
      <x:c r="B629" s="5" t="n">
        <x:v>1</x:v>
      </x:c>
      <x:c r="C629" s="5" t="str">
        <x:v>inflacion</x:v>
      </x:c>
      <x:c r="D629" s="5" t="n">
        <x:f>'01_Indicadores'!$H$6</x:f>
        <x:v>40</x:v>
      </x:c>
      <x:c r="E629" s="5" t="n">
        <x:f>0+0</x:f>
        <x:v>0</x:v>
      </x:c>
      <x:c r="F629" s="5" t="n">
        <x:f>-'00_Arquitectura'!$B$96*('01_Indicadores'!$H$6-40)</x:f>
        <x:v>0</x:v>
      </x:c>
      <x:c r="G629" s="5" t="n">
        <x:f>MAX(-'00_Arquitectura'!$B$106,MIN('00_Arquitectura'!$B$106,E629+F629))</x:f>
        <x:v>0</x:v>
      </x:c>
      <x:c r="H629" s="5" t="n">
        <x:f>MAX(0,MIN(100,D629+G629))</x:f>
        <x:v>40</x:v>
      </x:c>
      <x:c r="I629" s="5" t="n">
        <x:f>0</x:f>
        <x:v>0</x:v>
      </x:c>
      <x:c r="J629" s="5" t="n">
        <x:f>MAX(-'00_Arquitectura'!$B$107,MIN('00_Arquitectura'!$B$107,0))</x:f>
        <x:v>0</x:v>
      </x:c>
      <x:c r="K629" s="5" t="n">
        <x:f>MAX(0,MIN(100,H629+I629+J629))</x:f>
        <x:v>40</x:v>
      </x:c>
      <x:c r="L629" s="5" t="str">
        <x:v>Aplica link L01. Pulsos y offsets: filtrar Instancias por escenario, turno y targetId. Base separada del nivel visible.</x:v>
      </x:c>
    </x:row>
    <x:row r="630" ht="42" customHeight="1">
      <x:c r="A630" s="10" t="str">
        <x:v>S5_SEGURIDAD</x:v>
      </x:c>
      <x:c r="B630" s="10" t="n">
        <x:v>1</x:v>
      </x:c>
      <x:c r="C630" s="10" t="str">
        <x:v>actividad</x:v>
      </x:c>
      <x:c r="D630" s="10" t="n">
        <x:f>'01_Indicadores'!$H$7</x:f>
        <x:v>50</x:v>
      </x:c>
      <x:c r="E630" s="10" t="n">
        <x:f>0+0</x:f>
        <x:v>0</x:v>
      </x:c>
      <x:c r="F630" s="10" t="n">
        <x:f>-'00_Arquitectura'!$B$97*('01_Indicadores'!$H$7-50)+'00_Arquitectura'!$B$98*('01_Indicadores'!$H$9-45)+'00_Arquitectura'!$B$99*('01_Indicadores'!$H$12-45)+'00_Arquitectura'!$B$100*('01_Indicadores'!$H$11-45)</x:f>
        <x:v>0</x:v>
      </x:c>
      <x:c r="G630" s="10" t="n">
        <x:f>MAX(-'00_Arquitectura'!$B$106,MIN('00_Arquitectura'!$B$106,E630+F630))</x:f>
        <x:v>0</x:v>
      </x:c>
      <x:c r="H630" s="10" t="n">
        <x:f>MAX(0,MIN(100,D630+G630))</x:f>
        <x:v>50</x:v>
      </x:c>
      <x:c r="I630" s="10" t="n">
        <x:f>0</x:f>
        <x:v>0</x:v>
      </x:c>
      <x:c r="J630" s="10" t="n">
        <x:f>MAX(-'00_Arquitectura'!$B$107,MIN('00_Arquitectura'!$B$107,0))</x:f>
        <x:v>0</x:v>
      </x:c>
      <x:c r="K630" s="10" t="n">
        <x:f>MAX(0,MIN(100,H630+I630+J630))</x:f>
        <x:v>50</x:v>
      </x:c>
      <x:c r="L630" s="10" t="str">
        <x:v>Aplica link L02. Pulsos y offsets: filtrar Instancias por escenario, turno y targetId. Base separada del nivel visible.</x:v>
      </x:c>
    </x:row>
    <x:row r="631" ht="42" customHeight="1">
      <x:c r="A631" s="5" t="str">
        <x:v>S5_SEGURIDAD</x:v>
      </x:c>
      <x:c r="B631" s="5" t="n">
        <x:v>1</x:v>
      </x:c>
      <x:c r="C631" s="5" t="str">
        <x:v>ingreso_real</x:v>
      </x:c>
      <x:c r="D631" s="5" t="n">
        <x:f>'01_Indicadores'!$H$8</x:f>
        <x:v>45</x:v>
      </x:c>
      <x:c r="E631" s="5" t="n">
        <x:f>0+0</x:f>
        <x:v>0</x:v>
      </x:c>
      <x:c r="F631" s="5" t="n">
        <x:f>'00_Arquitectura'!$B$101*('01_Indicadores'!$H$7-'01_Indicadores'!$H$7)+'00_Arquitectura'!$B$102*('01_Indicadores'!$H$6-'01_Indicadores'!$H$6)</x:f>
        <x:v>0</x:v>
      </x:c>
      <x:c r="G631" s="5" t="n">
        <x:f>MAX(-'00_Arquitectura'!$B$106,MIN('00_Arquitectura'!$B$106,E631+F631))</x:f>
        <x:v>0</x:v>
      </x:c>
      <x:c r="H631" s="5" t="n">
        <x:f>MAX(0,MIN(100,D631+G631))</x:f>
        <x:v>45</x:v>
      </x:c>
      <x:c r="I631" s="5" t="n">
        <x:f>0</x:f>
        <x:v>0</x:v>
      </x:c>
      <x:c r="J631" s="5" t="n">
        <x:f>MAX(-'00_Arquitectura'!$B$107,MIN('00_Arquitectura'!$B$107,0))</x:f>
        <x:v>0</x:v>
      </x:c>
      <x:c r="K631" s="5" t="n">
        <x:f>MAX(0,MIN(100,H631+I631+J631))</x:f>
        <x:v>45</x:v>
      </x:c>
      <x:c r="L631" s="5" t="str">
        <x:v>Aplica link L03. Pulsos y offsets: filtrar Instancias por escenario, turno y targetId. Base separada del nivel visible.</x:v>
      </x:c>
    </x:row>
    <x:row r="632" ht="42" customHeight="1">
      <x:c r="A632" s="10" t="str">
        <x:v>S5_SEGURIDAD</x:v>
      </x:c>
      <x:c r="B632" s="10" t="n">
        <x:v>1</x:v>
      </x:c>
      <x:c r="C632" s="10" t="str">
        <x:v>credito</x:v>
      </x:c>
      <x:c r="D632" s="10" t="n">
        <x:f>'01_Indicadores'!$H$9</x:f>
        <x:v>45</x:v>
      </x:c>
      <x:c r="E632" s="10" t="n">
        <x:f>0+0</x:f>
        <x:v>0</x:v>
      </x:c>
      <x:c r="F632" s="10" t="n">
        <x:f>-'00_Arquitectura'!$B$103*('01_Indicadores'!$H$9-45)+'00_Arquitectura'!$B$104*('01_Indicadores'!$H$6-'01_Indicadores'!$H$6)+'00_Arquitectura'!$B$105*('01_Indicadores'!$H$10-'00_Arquitectura'!$B$117)</x:f>
        <x:v>0</x:v>
      </x:c>
      <x:c r="G632" s="10" t="n">
        <x:f>MAX(-'00_Arquitectura'!$B$106,MIN('00_Arquitectura'!$B$106,E632+F632))</x:f>
        <x:v>0</x:v>
      </x:c>
      <x:c r="H632" s="10" t="n">
        <x:f>MAX(0,MIN(100,D632+G632))</x:f>
        <x:v>45</x:v>
      </x:c>
      <x:c r="I632" s="10" t="n">
        <x:f>0</x:f>
        <x:v>0</x:v>
      </x:c>
      <x:c r="J632" s="10" t="n">
        <x:f>MAX(-'00_Arquitectura'!$B$107,MIN('00_Arquitectura'!$B$107,0))</x:f>
        <x:v>0</x:v>
      </x:c>
      <x:c r="K632" s="10" t="n">
        <x:f>MAX(0,MIN(100,H632+I632+J632))</x:f>
        <x:v>45</x:v>
      </x:c>
      <x:c r="L632" s="10" t="str">
        <x:v>Aplica link L04. Pulsos y offsets: filtrar Instancias por escenario, turno y targetId. Base separada del nivel visible.</x:v>
      </x:c>
    </x:row>
    <x:row r="633" ht="34" customHeight="1">
      <x:c r="A633" s="5" t="str">
        <x:v>S5_SEGURIDAD</x:v>
      </x:c>
      <x:c r="B633" s="5" t="n">
        <x:v>1</x:v>
      </x:c>
      <x:c r="C633" s="5" t="str">
        <x:v>fiscal</x:v>
      </x:c>
      <x:c r="D633" s="5" t="n">
        <x:f>'01_Indicadores'!$H$10</x:f>
        <x:v>58</x:v>
      </x:c>
      <x:c r="E633" s="5" t="n">
        <x:f>0+0</x:f>
        <x:v>0</x:v>
      </x:c>
      <x:c r="F633" s="5" t="n">
        <x:f>0</x:f>
        <x:v>0</x:v>
      </x:c>
      <x:c r="G633" s="5" t="n">
        <x:f>MAX(-'00_Arquitectura'!$B$106,MIN('00_Arquitectura'!$B$106,E633+F633))</x:f>
        <x:v>0</x:v>
      </x:c>
      <x:c r="H633" s="5" t="n">
        <x:f>$O$55</x:f>
        <x:v>58</x:v>
      </x:c>
      <x:c r="I633" s="5" t="n">
        <x:f>0</x:f>
        <x:v>0</x:v>
      </x:c>
      <x:c r="J633" s="5" t="n">
        <x:f>MAX(-'00_Arquitectura'!$B$107,MIN('00_Arquitectura'!$B$107,0))</x:f>
        <x:v>0</x:v>
      </x:c>
      <x:c r="K633" s="5" t="n">
        <x:f>MAX(0,MIN(100,H633+I633+J633))</x:f>
        <x:v>58</x:v>
      </x:c>
      <x:c r="L633" s="5" t="str">
        <x:v>Derivado de caja: ingreso recurrente, gasto, intereses y deuda. Nunca SUM de efectos fiscales directos.</x:v>
      </x:c>
    </x:row>
    <x:row r="634" ht="34" customHeight="1">
      <x:c r="A634" s="10" t="str">
        <x:v>S5_SEGURIDAD</x:v>
      </x:c>
      <x:c r="B634" s="10" t="n">
        <x:v>1</x:v>
      </x:c>
      <x:c r="C634" s="10" t="str">
        <x:v>externo</x:v>
      </x:c>
      <x:c r="D634" s="10" t="n">
        <x:f>'01_Indicadores'!$H$11</x:f>
        <x:v>45</x:v>
      </x:c>
      <x:c r="E634" s="10" t="n">
        <x:f>0+0</x:f>
        <x:v>0</x:v>
      </x:c>
      <x:c r="F634" s="10" t="n">
        <x:f>0</x:f>
        <x:v>0</x:v>
      </x:c>
      <x:c r="G634" s="10" t="n">
        <x:f>MAX(-'00_Arquitectura'!$B$106,MIN('00_Arquitectura'!$B$106,E634+F634))</x:f>
        <x:v>0</x:v>
      </x:c>
      <x:c r="H634" s="10" t="n">
        <x:f>MAX(0,MIN(100,D634+G634))</x:f>
        <x:v>45</x:v>
      </x:c>
      <x:c r="I634" s="10" t="n">
        <x:f>0</x:f>
        <x:v>0</x:v>
      </x:c>
      <x:c r="J634" s="10" t="n">
        <x:f>MAX(-'00_Arquitectura'!$B$107,MIN('00_Arquitectura'!$B$107,0))</x:f>
        <x:v>0</x:v>
      </x:c>
      <x:c r="K634" s="10" t="n">
        <x:f>MAX(0,MIN(100,H634+I634+J634))</x:f>
        <x:v>45</x:v>
      </x:c>
      <x:c r="L634" s="10" t="str">
        <x:v>Pulsos y offsets: filtrar Instancias por escenario, turno y targetId. Base separada del nivel visible.</x:v>
      </x:c>
    </x:row>
    <x:row r="635" ht="34" customHeight="1">
      <x:c r="A635" s="5" t="str">
        <x:v>S5_SEGURIDAD</x:v>
      </x:c>
      <x:c r="B635" s="5" t="n">
        <x:v>1</x:v>
      </x:c>
      <x:c r="C635" s="5" t="str">
        <x:v>infraestructura</x:v>
      </x:c>
      <x:c r="D635" s="5" t="n">
        <x:f>'01_Indicadores'!$H$12</x:f>
        <x:v>45</x:v>
      </x:c>
      <x:c r="E635" s="5" t="n">
        <x:f>0+0</x:f>
        <x:v>0</x:v>
      </x:c>
      <x:c r="F635" s="5" t="n">
        <x:f>0</x:f>
        <x:v>0</x:v>
      </x:c>
      <x:c r="G635" s="5" t="n">
        <x:f>MAX(-'00_Arquitectura'!$B$106,MIN('00_Arquitectura'!$B$106,E635+F635))</x:f>
        <x:v>0</x:v>
      </x:c>
      <x:c r="H635" s="5" t="n">
        <x:f>MAX(0,MIN(100,D635+G635))</x:f>
        <x:v>45</x:v>
      </x:c>
      <x:c r="I635" s="5" t="n">
        <x:f>0</x:f>
        <x:v>0</x:v>
      </x:c>
      <x:c r="J635" s="5" t="n">
        <x:f>MAX(-'00_Arquitectura'!$B$107,MIN('00_Arquitectura'!$B$107,0))</x:f>
        <x:v>0</x:v>
      </x:c>
      <x:c r="K635" s="5" t="n">
        <x:f>MAX(0,MIN(100,H635+I635+J635))</x:f>
        <x:v>45</x:v>
      </x:c>
      <x:c r="L635" s="5" t="str">
        <x:v>Pulsos y offsets: filtrar Instancias por escenario, turno y targetId. Base separada del nivel visible.</x:v>
      </x:c>
    </x:row>
    <x:row r="636" ht="34" customHeight="1">
      <x:c r="A636" s="10" t="str">
        <x:v>S5_SEGURIDAD</x:v>
      </x:c>
      <x:c r="B636" s="10" t="n">
        <x:v>1</x:v>
      </x:c>
      <x:c r="C636" s="10" t="str">
        <x:v>educacion</x:v>
      </x:c>
      <x:c r="D636" s="10" t="n">
        <x:f>'01_Indicadores'!$H$13</x:f>
        <x:v>50</x:v>
      </x:c>
      <x:c r="E636" s="10" t="n">
        <x:f>0+0</x:f>
        <x:v>0</x:v>
      </x:c>
      <x:c r="F636" s="10" t="n">
        <x:f>0</x:f>
        <x:v>0</x:v>
      </x:c>
      <x:c r="G636" s="10" t="n">
        <x:f>MAX(-'00_Arquitectura'!$B$106,MIN('00_Arquitectura'!$B$106,E636+F636))</x:f>
        <x:v>0</x:v>
      </x:c>
      <x:c r="H636" s="10" t="n">
        <x:f>MAX(0,MIN(100,D636+G636))</x:f>
        <x:v>50</x:v>
      </x:c>
      <x:c r="I636" s="10" t="n">
        <x:f>0</x:f>
        <x:v>0</x:v>
      </x:c>
      <x:c r="J636" s="10" t="n">
        <x:f>MAX(-'00_Arquitectura'!$B$107,MIN('00_Arquitectura'!$B$107,0))</x:f>
        <x:v>0</x:v>
      </x:c>
      <x:c r="K636" s="10" t="n">
        <x:f>MAX(0,MIN(100,H636+I636+J636))</x:f>
        <x:v>50</x:v>
      </x:c>
      <x:c r="L636" s="10" t="str">
        <x:v>Pulsos y offsets: filtrar Instancias por escenario, turno y targetId. Base separada del nivel visible.</x:v>
      </x:c>
    </x:row>
    <x:row r="637" ht="34" customHeight="1">
      <x:c r="A637" s="5" t="str">
        <x:v>S5_SEGURIDAD</x:v>
      </x:c>
      <x:c r="B637" s="5" t="n">
        <x:v>1</x:v>
      </x:c>
      <x:c r="C637" s="5" t="str">
        <x:v>salud</x:v>
      </x:c>
      <x:c r="D637" s="5" t="n">
        <x:f>'01_Indicadores'!$H$14</x:f>
        <x:v>50</x:v>
      </x:c>
      <x:c r="E637" s="5" t="n">
        <x:f>0+0</x:f>
        <x:v>0</x:v>
      </x:c>
      <x:c r="F637" s="5" t="n">
        <x:f>0</x:f>
        <x:v>0</x:v>
      </x:c>
      <x:c r="G637" s="5" t="n">
        <x:f>MAX(-'00_Arquitectura'!$B$106,MIN('00_Arquitectura'!$B$106,E637+F637))</x:f>
        <x:v>0</x:v>
      </x:c>
      <x:c r="H637" s="5" t="n">
        <x:f>MAX(0,MIN(100,D637+G637))</x:f>
        <x:v>50</x:v>
      </x:c>
      <x:c r="I637" s="5" t="n">
        <x:f>0</x:f>
        <x:v>0</x:v>
      </x:c>
      <x:c r="J637" s="5" t="n">
        <x:f>MAX(-'00_Arquitectura'!$B$107,MIN('00_Arquitectura'!$B$107,0))</x:f>
        <x:v>0</x:v>
      </x:c>
      <x:c r="K637" s="5" t="n">
        <x:f>MAX(0,MIN(100,H637+I637+J637))</x:f>
        <x:v>50</x:v>
      </x:c>
      <x:c r="L637" s="5" t="str">
        <x:v>Pulsos y offsets: filtrar Instancias por escenario, turno y targetId. Base separada del nivel visible.</x:v>
      </x:c>
    </x:row>
    <x:row r="638" ht="34" customHeight="1">
      <x:c r="A638" s="10" t="str">
        <x:v>S5_SEGURIDAD</x:v>
      </x:c>
      <x:c r="B638" s="10" t="n">
        <x:v>1</x:v>
      </x:c>
      <x:c r="C638" s="10" t="str">
        <x:v>proteccion</x:v>
      </x:c>
      <x:c r="D638" s="10" t="n">
        <x:f>'01_Indicadores'!$H$15</x:f>
        <x:v>45</x:v>
      </x:c>
      <x:c r="E638" s="10" t="n">
        <x:f>0+0</x:f>
        <x:v>0</x:v>
      </x:c>
      <x:c r="F638" s="10" t="n">
        <x:f>0</x:f>
        <x:v>0</x:v>
      </x:c>
      <x:c r="G638" s="10" t="n">
        <x:f>MAX(-'00_Arquitectura'!$B$106,MIN('00_Arquitectura'!$B$106,E638+F638))</x:f>
        <x:v>0</x:v>
      </x:c>
      <x:c r="H638" s="10" t="n">
        <x:f>MAX(0,MIN(100,D638+G638))</x:f>
        <x:v>45</x:v>
      </x:c>
      <x:c r="I638" s="10" t="n">
        <x:f>0</x:f>
        <x:v>0</x:v>
      </x:c>
      <x:c r="J638" s="10" t="n">
        <x:f>MAX(-'00_Arquitectura'!$B$107,MIN('00_Arquitectura'!$B$107,0))</x:f>
        <x:v>0</x:v>
      </x:c>
      <x:c r="K638" s="10" t="n">
        <x:f>MAX(0,MIN(100,H638+I638+J638))</x:f>
        <x:v>45</x:v>
      </x:c>
      <x:c r="L638" s="10" t="str">
        <x:v>Pulsos y offsets: filtrar Instancias por escenario, turno y targetId. Base separada del nivel visible.</x:v>
      </x:c>
    </x:row>
    <x:row r="639" ht="34" customHeight="1">
      <x:c r="A639" s="5" t="str">
        <x:v>S5_SEGURIDAD</x:v>
      </x:c>
      <x:c r="B639" s="5" t="n">
        <x:v>1</x:v>
      </x:c>
      <x:c r="C639" s="5" t="str">
        <x:v>seguridad</x:v>
      </x:c>
      <x:c r="D639" s="5" t="n">
        <x:f>'01_Indicadores'!$H$16</x:f>
        <x:v>45</x:v>
      </x:c>
      <x:c r="E639" s="5" t="n">
        <x:f>0+0</x:f>
        <x:v>0</x:v>
      </x:c>
      <x:c r="F639" s="5" t="n">
        <x:f>0</x:f>
        <x:v>0</x:v>
      </x:c>
      <x:c r="G639" s="5" t="n">
        <x:f>MAX(-'00_Arquitectura'!$B$106,MIN('00_Arquitectura'!$B$106,E639+F639))</x:f>
        <x:v>0</x:v>
      </x:c>
      <x:c r="H639" s="5" t="n">
        <x:f>MAX(0,MIN(100,D639+G639))</x:f>
        <x:v>45</x:v>
      </x:c>
      <x:c r="I639" s="5" t="n">
        <x:f>SUM($I$1734)</x:f>
        <x:v>5</x:v>
      </x:c>
      <x:c r="J639" s="5" t="n">
        <x:f>MAX(-'00_Arquitectura'!$B$107,MIN('00_Arquitectura'!$B$107,0))</x:f>
        <x:v>0</x:v>
      </x:c>
      <x:c r="K639" s="5" t="n">
        <x:f>MAX(0,MIN(100,H639+I639+J639))</x:f>
        <x:v>50</x:v>
      </x:c>
      <x:c r="L639" s="5" t="str">
        <x:v>Pulsos y offsets: filtrar Instancias por escenario, turno y targetId. Base separada del nivel visible.</x:v>
      </x:c>
    </x:row>
    <x:row r="640" ht="34" customHeight="1">
      <x:c r="A640" s="10" t="str">
        <x:v>S5_SEGURIDAD</x:v>
      </x:c>
      <x:c r="B640" s="10" t="n">
        <x:v>1</x:v>
      </x:c>
      <x:c r="C640" s="10" t="str">
        <x:v>ciencia</x:v>
      </x:c>
      <x:c r="D640" s="10" t="n">
        <x:f>'01_Indicadores'!$H$17</x:f>
        <x:v>40</x:v>
      </x:c>
      <x:c r="E640" s="10" t="n">
        <x:f>0+0</x:f>
        <x:v>0</x:v>
      </x:c>
      <x:c r="F640" s="10" t="n">
        <x:f>0</x:f>
        <x:v>0</x:v>
      </x:c>
      <x:c r="G640" s="10" t="n">
        <x:f>MAX(-'00_Arquitectura'!$B$106,MIN('00_Arquitectura'!$B$106,E640+F640))</x:f>
        <x:v>0</x:v>
      </x:c>
      <x:c r="H640" s="10" t="n">
        <x:f>MAX(0,MIN(100,D640+G640))</x:f>
        <x:v>40</x:v>
      </x:c>
      <x:c r="I640" s="10" t="n">
        <x:f>0</x:f>
        <x:v>0</x:v>
      </x:c>
      <x:c r="J640" s="10" t="n">
        <x:f>MAX(-'00_Arquitectura'!$B$107,MIN('00_Arquitectura'!$B$107,0))</x:f>
        <x:v>0</x:v>
      </x:c>
      <x:c r="K640" s="10" t="n">
        <x:f>MAX(0,MIN(100,H640+I640+J640))</x:f>
        <x:v>40</x:v>
      </x:c>
      <x:c r="L640" s="10" t="str">
        <x:v>Pulsos y offsets: filtrar Instancias por escenario, turno y targetId. Base separada del nivel visible.</x:v>
      </x:c>
    </x:row>
    <x:row r="641" ht="34" customHeight="1">
      <x:c r="A641" s="5" t="str">
        <x:v>S5_SEGURIDAD</x:v>
      </x:c>
      <x:c r="B641" s="5" t="n">
        <x:v>1</x:v>
      </x:c>
      <x:c r="C641" s="5" t="str">
        <x:v>derechos</x:v>
      </x:c>
      <x:c r="D641" s="5" t="n">
        <x:f>20</x:f>
        <x:v>20</x:v>
      </x:c>
      <x:c r="E641" s="5" t="n">
        <x:f>0+0</x:f>
        <x:v>0</x:v>
      </x:c>
      <x:c r="F641" s="5" t="n">
        <x:f>0</x:f>
        <x:v>0</x:v>
      </x:c>
      <x:c r="G641" s="5" t="n">
        <x:f>MAX(-'00_Arquitectura'!$B$106,MIN('00_Arquitectura'!$B$106,E641+F641))</x:f>
        <x:v>0</x:v>
      </x:c>
      <x:c r="H641" s="5" t="n">
        <x:f>MAX(0,MIN(100,D641+G641))</x:f>
        <x:v>20</x:v>
      </x:c>
      <x:c r="I641" s="5" t="n">
        <x:f>0</x:f>
        <x:v>0</x:v>
      </x:c>
      <x:c r="J641" s="5" t="n">
        <x:f>MAX(-'00_Arquitectura'!$B$107,MIN('00_Arquitectura'!$B$107,0))</x:f>
        <x:v>0</x:v>
      </x:c>
      <x:c r="K641" s="5" t="n">
        <x:f>MAX(0,MIN(100,H641+I641+J641))</x:f>
        <x:v>20</x:v>
      </x:c>
      <x:c r="L641" s="5" t="str">
        <x:v>Pulsos y offsets: filtrar Instancias por escenario, turno y targetId. Base separada del nivel visible.</x:v>
      </x:c>
    </x:row>
    <x:row r="642" ht="34" customHeight="1">
      <x:c r="A642" s="10" t="str">
        <x:v>S5_SEGURIDAD</x:v>
      </x:c>
      <x:c r="B642" s="10" t="n">
        <x:v>1</x:v>
      </x:c>
      <x:c r="C642" s="10" t="str">
        <x:v>ambiente</x:v>
      </x:c>
      <x:c r="D642" s="10" t="n">
        <x:f>'01_Indicadores'!$H$19</x:f>
        <x:v>50</x:v>
      </x:c>
      <x:c r="E642" s="10" t="n">
        <x:f>0+0</x:f>
        <x:v>0</x:v>
      </x:c>
      <x:c r="F642" s="10" t="n">
        <x:f>0</x:f>
        <x:v>0</x:v>
      </x:c>
      <x:c r="G642" s="10" t="n">
        <x:f>MAX(-'00_Arquitectura'!$B$106,MIN('00_Arquitectura'!$B$106,E642+F642))</x:f>
        <x:v>0</x:v>
      </x:c>
      <x:c r="H642" s="10" t="n">
        <x:f>MAX(0,MIN(100,D642+G642))</x:f>
        <x:v>50</x:v>
      </x:c>
      <x:c r="I642" s="10" t="n">
        <x:f>0</x:f>
        <x:v>0</x:v>
      </x:c>
      <x:c r="J642" s="10" t="n">
        <x:f>MAX(-'00_Arquitectura'!$B$107,MIN('00_Arquitectura'!$B$107,0))</x:f>
        <x:v>0</x:v>
      </x:c>
      <x:c r="K642" s="10" t="n">
        <x:f>MAX(0,MIN(100,H642+I642+J642))</x:f>
        <x:v>50</x:v>
      </x:c>
      <x:c r="L642" s="10" t="str">
        <x:v>Pulsos y offsets: filtrar Instancias por escenario, turno y targetId. Base separada del nivel visible.</x:v>
      </x:c>
    </x:row>
    <x:row r="643" ht="42" customHeight="1">
      <x:c r="A643" s="5" t="str">
        <x:v>S5_SEGURIDAD</x:v>
      </x:c>
      <x:c r="B643" s="5" t="n">
        <x:v>2</x:v>
      </x:c>
      <x:c r="C643" s="5" t="str">
        <x:v>inflacion</x:v>
      </x:c>
      <x:c r="D643" s="5" t="n">
        <x:f>$H$629</x:f>
        <x:v>40</x:v>
      </x:c>
      <x:c r="E643" s="5" t="n">
        <x:f>0+0</x:f>
        <x:v>0</x:v>
      </x:c>
      <x:c r="F643" s="5" t="n">
        <x:f>-'00_Arquitectura'!$B$96*($H$629-40)</x:f>
        <x:v>0</x:v>
      </x:c>
      <x:c r="G643" s="5" t="n">
        <x:f>MAX(-'00_Arquitectura'!$B$106,MIN('00_Arquitectura'!$B$106,E643+F643))</x:f>
        <x:v>0</x:v>
      </x:c>
      <x:c r="H643" s="5" t="n">
        <x:f>MAX(0,MIN(100,D643+G643))</x:f>
        <x:v>40</x:v>
      </x:c>
      <x:c r="I643" s="5" t="n">
        <x:f>0</x:f>
        <x:v>0</x:v>
      </x:c>
      <x:c r="J643" s="5" t="n">
        <x:f>MAX(-'00_Arquitectura'!$B$107,MIN('00_Arquitectura'!$B$107,0))</x:f>
        <x:v>0</x:v>
      </x:c>
      <x:c r="K643" s="5" t="n">
        <x:f>MAX(0,MIN(100,H643+I643+J643))</x:f>
        <x:v>40</x:v>
      </x:c>
      <x:c r="L643" s="5" t="str">
        <x:v>Aplica link L01. Pulsos y offsets: filtrar Instancias por escenario, turno y targetId. Base separada del nivel visible.</x:v>
      </x:c>
    </x:row>
    <x:row r="644" ht="42" customHeight="1">
      <x:c r="A644" s="10" t="str">
        <x:v>S5_SEGURIDAD</x:v>
      </x:c>
      <x:c r="B644" s="10" t="n">
        <x:v>2</x:v>
      </x:c>
      <x:c r="C644" s="10" t="str">
        <x:v>actividad</x:v>
      </x:c>
      <x:c r="D644" s="10" t="n">
        <x:f>$H$630</x:f>
        <x:v>50</x:v>
      </x:c>
      <x:c r="E644" s="10" t="n">
        <x:f>0+0</x:f>
        <x:v>0</x:v>
      </x:c>
      <x:c r="F644" s="10" t="n">
        <x:f>-'00_Arquitectura'!$B$97*($H$630-50)+'00_Arquitectura'!$B$98*($K$632-45)+'00_Arquitectura'!$B$99*($K$635-45)+'00_Arquitectura'!$B$100*($K$634-45)</x:f>
        <x:v>0</x:v>
      </x:c>
      <x:c r="G644" s="10" t="n">
        <x:f>MAX(-'00_Arquitectura'!$B$106,MIN('00_Arquitectura'!$B$106,E644+F644))</x:f>
        <x:v>0</x:v>
      </x:c>
      <x:c r="H644" s="10" t="n">
        <x:f>MAX(0,MIN(100,D644+G644))</x:f>
        <x:v>50</x:v>
      </x:c>
      <x:c r="I644" s="10" t="n">
        <x:f>0</x:f>
        <x:v>0</x:v>
      </x:c>
      <x:c r="J644" s="10" t="n">
        <x:f>MAX(-'00_Arquitectura'!$B$107,MIN('00_Arquitectura'!$B$107,$J$1493+$J$1496+$J$1497))</x:f>
        <x:v>0</x:v>
      </x:c>
      <x:c r="K644" s="10" t="n">
        <x:f>MAX(0,MIN(100,H644+I644+J644))</x:f>
        <x:v>50</x:v>
      </x:c>
      <x:c r="L644" s="10" t="str">
        <x:v>Aplica link L02. Pulsos y offsets: filtrar Instancias por escenario, turno y targetId. Base separada del nivel visible.</x:v>
      </x:c>
    </x:row>
    <x:row r="645" ht="42" customHeight="1">
      <x:c r="A645" s="5" t="str">
        <x:v>S5_SEGURIDAD</x:v>
      </x:c>
      <x:c r="B645" s="5" t="n">
        <x:v>2</x:v>
      </x:c>
      <x:c r="C645" s="5" t="str">
        <x:v>ingreso_real</x:v>
      </x:c>
      <x:c r="D645" s="5" t="n">
        <x:f>$H$631</x:f>
        <x:v>45</x:v>
      </x:c>
      <x:c r="E645" s="5" t="n">
        <x:f>0+0</x:f>
        <x:v>0</x:v>
      </x:c>
      <x:c r="F645" s="5" t="n">
        <x:f>'00_Arquitectura'!$B$101*($K$630-'01_Indicadores'!$H$7)+'00_Arquitectura'!$B$102*($K$629-'01_Indicadores'!$H$6)</x:f>
        <x:v>0</x:v>
      </x:c>
      <x:c r="G645" s="5" t="n">
        <x:f>MAX(-'00_Arquitectura'!$B$106,MIN('00_Arquitectura'!$B$106,E645+F645))</x:f>
        <x:v>0</x:v>
      </x:c>
      <x:c r="H645" s="5" t="n">
        <x:f>MAX(0,MIN(100,D645+G645))</x:f>
        <x:v>45</x:v>
      </x:c>
      <x:c r="I645" s="5" t="n">
        <x:f>0</x:f>
        <x:v>0</x:v>
      </x:c>
      <x:c r="J645" s="5" t="n">
        <x:f>MAX(-'00_Arquitectura'!$B$107,MIN('00_Arquitectura'!$B$107,0))</x:f>
        <x:v>0</x:v>
      </x:c>
      <x:c r="K645" s="5" t="n">
        <x:f>MAX(0,MIN(100,H645+I645+J645))</x:f>
        <x:v>45</x:v>
      </x:c>
      <x:c r="L645" s="5" t="str">
        <x:v>Aplica link L03. Pulsos y offsets: filtrar Instancias por escenario, turno y targetId. Base separada del nivel visible.</x:v>
      </x:c>
    </x:row>
    <x:row r="646" ht="42" customHeight="1">
      <x:c r="A646" s="10" t="str">
        <x:v>S5_SEGURIDAD</x:v>
      </x:c>
      <x:c r="B646" s="10" t="n">
        <x:v>2</x:v>
      </x:c>
      <x:c r="C646" s="10" t="str">
        <x:v>credito</x:v>
      </x:c>
      <x:c r="D646" s="10" t="n">
        <x:f>$H$632</x:f>
        <x:v>45</x:v>
      </x:c>
      <x:c r="E646" s="10" t="n">
        <x:f>0+0</x:f>
        <x:v>0</x:v>
      </x:c>
      <x:c r="F646" s="10" t="n">
        <x:f>-'00_Arquitectura'!$B$103*($H$632-45)+'00_Arquitectura'!$B$104*($K$629-'01_Indicadores'!$H$6)+'00_Arquitectura'!$B$105*($K$633-'00_Arquitectura'!$B$117)</x:f>
        <x:v>0</x:v>
      </x:c>
      <x:c r="G646" s="10" t="n">
        <x:f>MAX(-'00_Arquitectura'!$B$106,MIN('00_Arquitectura'!$B$106,E646+F646))</x:f>
        <x:v>0</x:v>
      </x:c>
      <x:c r="H646" s="10" t="n">
        <x:f>MAX(0,MIN(100,D646+G646))</x:f>
        <x:v>45</x:v>
      </x:c>
      <x:c r="I646" s="10" t="n">
        <x:f>0</x:f>
        <x:v>0</x:v>
      </x:c>
      <x:c r="J646" s="10" t="n">
        <x:f>MAX(-'00_Arquitectura'!$B$107,MIN('00_Arquitectura'!$B$107,$J$1495))</x:f>
        <x:v>0</x:v>
      </x:c>
      <x:c r="K646" s="10" t="n">
        <x:f>MAX(0,MIN(100,H646+I646+J646))</x:f>
        <x:v>45</x:v>
      </x:c>
      <x:c r="L646" s="10" t="str">
        <x:v>Aplica link L04. Pulsos y offsets: filtrar Instancias por escenario, turno y targetId. Base separada del nivel visible.</x:v>
      </x:c>
    </x:row>
    <x:row r="647" ht="34" customHeight="1">
      <x:c r="A647" s="5" t="str">
        <x:v>S5_SEGURIDAD</x:v>
      </x:c>
      <x:c r="B647" s="5" t="n">
        <x:v>2</x:v>
      </x:c>
      <x:c r="C647" s="5" t="str">
        <x:v>fiscal</x:v>
      </x:c>
      <x:c r="D647" s="5" t="n">
        <x:f>$H$633</x:f>
        <x:v>58</x:v>
      </x:c>
      <x:c r="E647" s="5" t="n">
        <x:f>0+0</x:f>
        <x:v>0</x:v>
      </x:c>
      <x:c r="F647" s="5" t="n">
        <x:f>0</x:f>
        <x:v>0</x:v>
      </x:c>
      <x:c r="G647" s="5" t="n">
        <x:f>MAX(-'00_Arquitectura'!$B$106,MIN('00_Arquitectura'!$B$106,E647+F647))</x:f>
        <x:v>0</x:v>
      </x:c>
      <x:c r="H647" s="5" t="n">
        <x:f>$O$56</x:f>
        <x:v>55</x:v>
      </x:c>
      <x:c r="I647" s="5" t="n">
        <x:f>0</x:f>
        <x:v>0</x:v>
      </x:c>
      <x:c r="J647" s="5" t="n">
        <x:f>MAX(-'00_Arquitectura'!$B$107,MIN('00_Arquitectura'!$B$107,0))</x:f>
        <x:v>0</x:v>
      </x:c>
      <x:c r="K647" s="5" t="n">
        <x:f>MAX(0,MIN(100,H647+I647+J647))</x:f>
        <x:v>55</x:v>
      </x:c>
      <x:c r="L647" s="5" t="str">
        <x:v>Derivado de caja: ingreso recurrente, gasto, intereses y deuda. Nunca SUM de efectos fiscales directos.</x:v>
      </x:c>
    </x:row>
    <x:row r="648" ht="34" customHeight="1">
      <x:c r="A648" s="10" t="str">
        <x:v>S5_SEGURIDAD</x:v>
      </x:c>
      <x:c r="B648" s="10" t="n">
        <x:v>2</x:v>
      </x:c>
      <x:c r="C648" s="10" t="str">
        <x:v>externo</x:v>
      </x:c>
      <x:c r="D648" s="10" t="n">
        <x:f>$H$634</x:f>
        <x:v>45</x:v>
      </x:c>
      <x:c r="E648" s="10" t="n">
        <x:f>0+0</x:f>
        <x:v>0</x:v>
      </x:c>
      <x:c r="F648" s="10" t="n">
        <x:f>0</x:f>
        <x:v>0</x:v>
      </x:c>
      <x:c r="G648" s="10" t="n">
        <x:f>MAX(-'00_Arquitectura'!$B$106,MIN('00_Arquitectura'!$B$106,E648+F648))</x:f>
        <x:v>0</x:v>
      </x:c>
      <x:c r="H648" s="10" t="n">
        <x:f>MAX(0,MIN(100,D648+G648))</x:f>
        <x:v>45</x:v>
      </x:c>
      <x:c r="I648" s="10" t="n">
        <x:f>0</x:f>
        <x:v>0</x:v>
      </x:c>
      <x:c r="J648" s="10" t="n">
        <x:f>MAX(-'00_Arquitectura'!$B$107,MIN('00_Arquitectura'!$B$107,$J$1494))</x:f>
        <x:v>0</x:v>
      </x:c>
      <x:c r="K648" s="10" t="n">
        <x:f>MAX(0,MIN(100,H648+I648+J648))</x:f>
        <x:v>45</x:v>
      </x:c>
      <x:c r="L648" s="10" t="str">
        <x:v>Pulsos y offsets: filtrar Instancias por escenario, turno y targetId. Base separada del nivel visible.</x:v>
      </x:c>
    </x:row>
    <x:row r="649" ht="34" customHeight="1">
      <x:c r="A649" s="5" t="str">
        <x:v>S5_SEGURIDAD</x:v>
      </x:c>
      <x:c r="B649" s="5" t="n">
        <x:v>2</x:v>
      </x:c>
      <x:c r="C649" s="5" t="str">
        <x:v>infraestructura</x:v>
      </x:c>
      <x:c r="D649" s="5" t="n">
        <x:f>$H$635</x:f>
        <x:v>45</x:v>
      </x:c>
      <x:c r="E649" s="5" t="n">
        <x:f>0+0</x:f>
        <x:v>0</x:v>
      </x:c>
      <x:c r="F649" s="5" t="n">
        <x:f>0</x:f>
        <x:v>0</x:v>
      </x:c>
      <x:c r="G649" s="5" t="n">
        <x:f>MAX(-'00_Arquitectura'!$B$106,MIN('00_Arquitectura'!$B$106,E649+F649))</x:f>
        <x:v>0</x:v>
      </x:c>
      <x:c r="H649" s="5" t="n">
        <x:f>MAX(0,MIN(100,D649+G649))</x:f>
        <x:v>45</x:v>
      </x:c>
      <x:c r="I649" s="5" t="n">
        <x:f>0</x:f>
        <x:v>0</x:v>
      </x:c>
      <x:c r="J649" s="5" t="n">
        <x:f>MAX(-'00_Arquitectura'!$B$107,MIN('00_Arquitectura'!$B$107,0))</x:f>
        <x:v>0</x:v>
      </x:c>
      <x:c r="K649" s="5" t="n">
        <x:f>MAX(0,MIN(100,H649+I649+J649))</x:f>
        <x:v>45</x:v>
      </x:c>
      <x:c r="L649" s="5" t="str">
        <x:v>Pulsos y offsets: filtrar Instancias por escenario, turno y targetId. Base separada del nivel visible.</x:v>
      </x:c>
    </x:row>
    <x:row r="650" ht="34" customHeight="1">
      <x:c r="A650" s="10" t="str">
        <x:v>S5_SEGURIDAD</x:v>
      </x:c>
      <x:c r="B650" s="10" t="n">
        <x:v>2</x:v>
      </x:c>
      <x:c r="C650" s="10" t="str">
        <x:v>educacion</x:v>
      </x:c>
      <x:c r="D650" s="10" t="n">
        <x:f>$H$636</x:f>
        <x:v>50</x:v>
      </x:c>
      <x:c r="E650" s="10" t="n">
        <x:f>0+0</x:f>
        <x:v>0</x:v>
      </x:c>
      <x:c r="F650" s="10" t="n">
        <x:f>0</x:f>
        <x:v>0</x:v>
      </x:c>
      <x:c r="G650" s="10" t="n">
        <x:f>MAX(-'00_Arquitectura'!$B$106,MIN('00_Arquitectura'!$B$106,E650+F650))</x:f>
        <x:v>0</x:v>
      </x:c>
      <x:c r="H650" s="10" t="n">
        <x:f>MAX(0,MIN(100,D650+G650))</x:f>
        <x:v>50</x:v>
      </x:c>
      <x:c r="I650" s="10" t="n">
        <x:f>0</x:f>
        <x:v>0</x:v>
      </x:c>
      <x:c r="J650" s="10" t="n">
        <x:f>MAX(-'00_Arquitectura'!$B$107,MIN('00_Arquitectura'!$B$107,$J$1501))</x:f>
        <x:v>0</x:v>
      </x:c>
      <x:c r="K650" s="10" t="n">
        <x:f>MAX(0,MIN(100,H650+I650+J650))</x:f>
        <x:v>50</x:v>
      </x:c>
      <x:c r="L650" s="10" t="str">
        <x:v>Pulsos y offsets: filtrar Instancias por escenario, turno y targetId. Base separada del nivel visible.</x:v>
      </x:c>
    </x:row>
    <x:row r="651" ht="34" customHeight="1">
      <x:c r="A651" s="5" t="str">
        <x:v>S5_SEGURIDAD</x:v>
      </x:c>
      <x:c r="B651" s="5" t="n">
        <x:v>2</x:v>
      </x:c>
      <x:c r="C651" s="5" t="str">
        <x:v>salud</x:v>
      </x:c>
      <x:c r="D651" s="5" t="n">
        <x:f>$H$637</x:f>
        <x:v>50</x:v>
      </x:c>
      <x:c r="E651" s="5" t="n">
        <x:f>0+0</x:f>
        <x:v>0</x:v>
      </x:c>
      <x:c r="F651" s="5" t="n">
        <x:f>0</x:f>
        <x:v>0</x:v>
      </x:c>
      <x:c r="G651" s="5" t="n">
        <x:f>MAX(-'00_Arquitectura'!$B$106,MIN('00_Arquitectura'!$B$106,E651+F651))</x:f>
        <x:v>0</x:v>
      </x:c>
      <x:c r="H651" s="5" t="n">
        <x:f>MAX(0,MIN(100,D651+G651))</x:f>
        <x:v>50</x:v>
      </x:c>
      <x:c r="I651" s="5" t="n">
        <x:f>0</x:f>
        <x:v>0</x:v>
      </x:c>
      <x:c r="J651" s="5" t="n">
        <x:f>MAX(-'00_Arquitectura'!$B$107,MIN('00_Arquitectura'!$B$107,0))</x:f>
        <x:v>0</x:v>
      </x:c>
      <x:c r="K651" s="5" t="n">
        <x:f>MAX(0,MIN(100,H651+I651+J651))</x:f>
        <x:v>50</x:v>
      </x:c>
      <x:c r="L651" s="5" t="str">
        <x:v>Pulsos y offsets: filtrar Instancias por escenario, turno y targetId. Base separada del nivel visible.</x:v>
      </x:c>
    </x:row>
    <x:row r="652" ht="34" customHeight="1">
      <x:c r="A652" s="10" t="str">
        <x:v>S5_SEGURIDAD</x:v>
      </x:c>
      <x:c r="B652" s="10" t="n">
        <x:v>2</x:v>
      </x:c>
      <x:c r="C652" s="10" t="str">
        <x:v>proteccion</x:v>
      </x:c>
      <x:c r="D652" s="10" t="n">
        <x:f>$H$638</x:f>
        <x:v>45</x:v>
      </x:c>
      <x:c r="E652" s="10" t="n">
        <x:f>0+0</x:f>
        <x:v>0</x:v>
      </x:c>
      <x:c r="F652" s="10" t="n">
        <x:f>0</x:f>
        <x:v>0</x:v>
      </x:c>
      <x:c r="G652" s="10" t="n">
        <x:f>MAX(-'00_Arquitectura'!$B$106,MIN('00_Arquitectura'!$B$106,E652+F652))</x:f>
        <x:v>0</x:v>
      </x:c>
      <x:c r="H652" s="10" t="n">
        <x:f>MAX(0,MIN(100,D652+G652))</x:f>
        <x:v>45</x:v>
      </x:c>
      <x:c r="I652" s="10" t="n">
        <x:f>0</x:f>
        <x:v>0</x:v>
      </x:c>
      <x:c r="J652" s="10" t="n">
        <x:f>MAX(-'00_Arquitectura'!$B$107,MIN('00_Arquitectura'!$B$107,$J$1499+$J$1503))</x:f>
        <x:v>0</x:v>
      </x:c>
      <x:c r="K652" s="10" t="n">
        <x:f>MAX(0,MIN(100,H652+I652+J652))</x:f>
        <x:v>45</x:v>
      </x:c>
      <x:c r="L652" s="10" t="str">
        <x:v>Pulsos y offsets: filtrar Instancias por escenario, turno y targetId. Base separada del nivel visible.</x:v>
      </x:c>
    </x:row>
    <x:row r="653" ht="34" customHeight="1">
      <x:c r="A653" s="5" t="str">
        <x:v>S5_SEGURIDAD</x:v>
      </x:c>
      <x:c r="B653" s="5" t="n">
        <x:v>2</x:v>
      </x:c>
      <x:c r="C653" s="5" t="str">
        <x:v>seguridad</x:v>
      </x:c>
      <x:c r="D653" s="5" t="n">
        <x:f>$H$639</x:f>
        <x:v>45</x:v>
      </x:c>
      <x:c r="E653" s="5" t="n">
        <x:f>0+0</x:f>
        <x:v>0</x:v>
      </x:c>
      <x:c r="F653" s="5" t="n">
        <x:f>0</x:f>
        <x:v>0</x:v>
      </x:c>
      <x:c r="G653" s="5" t="n">
        <x:f>MAX(-'00_Arquitectura'!$B$106,MIN('00_Arquitectura'!$B$106,E653+F653))</x:f>
        <x:v>0</x:v>
      </x:c>
      <x:c r="H653" s="5" t="n">
        <x:f>MAX(0,MIN(100,D653+G653))</x:f>
        <x:v>45</x:v>
      </x:c>
      <x:c r="I653" s="5" t="n">
        <x:f>SUM($I$1735)</x:f>
        <x:v>5</x:v>
      </x:c>
      <x:c r="J653" s="5" t="n">
        <x:f>MAX(-'00_Arquitectura'!$B$107,MIN('00_Arquitectura'!$B$107,0))</x:f>
        <x:v>0</x:v>
      </x:c>
      <x:c r="K653" s="5" t="n">
        <x:f>MAX(0,MIN(100,H653+I653+J653))</x:f>
        <x:v>50</x:v>
      </x:c>
      <x:c r="L653" s="5" t="str">
        <x:v>Pulsos y offsets: filtrar Instancias por escenario, turno y targetId. Base separada del nivel visible.</x:v>
      </x:c>
    </x:row>
    <x:row r="654" ht="34" customHeight="1">
      <x:c r="A654" s="10" t="str">
        <x:v>S5_SEGURIDAD</x:v>
      </x:c>
      <x:c r="B654" s="10" t="n">
        <x:v>2</x:v>
      </x:c>
      <x:c r="C654" s="10" t="str">
        <x:v>ciencia</x:v>
      </x:c>
      <x:c r="D654" s="10" t="n">
        <x:f>$H$640</x:f>
        <x:v>40</x:v>
      </x:c>
      <x:c r="E654" s="10" t="n">
        <x:f>0+0</x:f>
        <x:v>0</x:v>
      </x:c>
      <x:c r="F654" s="10" t="n">
        <x:f>0</x:f>
        <x:v>0</x:v>
      </x:c>
      <x:c r="G654" s="10" t="n">
        <x:f>MAX(-'00_Arquitectura'!$B$106,MIN('00_Arquitectura'!$B$106,E654+F654))</x:f>
        <x:v>0</x:v>
      </x:c>
      <x:c r="H654" s="10" t="n">
        <x:f>MAX(0,MIN(100,D654+G654))</x:f>
        <x:v>40</x:v>
      </x:c>
      <x:c r="I654" s="10" t="n">
        <x:f>0</x:f>
        <x:v>0</x:v>
      </x:c>
      <x:c r="J654" s="10" t="n">
        <x:f>MAX(-'00_Arquitectura'!$B$107,MIN('00_Arquitectura'!$B$107,$J$1502))</x:f>
        <x:v>0</x:v>
      </x:c>
      <x:c r="K654" s="10" t="n">
        <x:f>MAX(0,MIN(100,H654+I654+J654))</x:f>
        <x:v>40</x:v>
      </x:c>
      <x:c r="L654" s="10" t="str">
        <x:v>Pulsos y offsets: filtrar Instancias por escenario, turno y targetId. Base separada del nivel visible.</x:v>
      </x:c>
    </x:row>
    <x:row r="655" ht="34" customHeight="1">
      <x:c r="A655" s="5" t="str">
        <x:v>S5_SEGURIDAD</x:v>
      </x:c>
      <x:c r="B655" s="5" t="n">
        <x:v>2</x:v>
      </x:c>
      <x:c r="C655" s="5" t="str">
        <x:v>derechos</x:v>
      </x:c>
      <x:c r="D655" s="5" t="n">
        <x:f>$H$641</x:f>
        <x:v>20</x:v>
      </x:c>
      <x:c r="E655" s="5" t="n">
        <x:f>SUM($I$1736)+0</x:f>
        <x:v>-3</x:v>
      </x:c>
      <x:c r="F655" s="5" t="n">
        <x:f>0</x:f>
        <x:v>0</x:v>
      </x:c>
      <x:c r="G655" s="5" t="n">
        <x:f>MAX(-'00_Arquitectura'!$B$106,MIN('00_Arquitectura'!$B$106,E655+F655))</x:f>
        <x:v>-3</x:v>
      </x:c>
      <x:c r="H655" s="5" t="n">
        <x:f>MAX(0,MIN(100,D655+G655))</x:f>
        <x:v>17</x:v>
      </x:c>
      <x:c r="I655" s="5" t="n">
        <x:f>0</x:f>
        <x:v>0</x:v>
      </x:c>
      <x:c r="J655" s="5" t="n">
        <x:f>MAX(-'00_Arquitectura'!$B$107,MIN('00_Arquitectura'!$B$107,0))</x:f>
        <x:v>0</x:v>
      </x:c>
      <x:c r="K655" s="5" t="n">
        <x:f>MAX(0,MIN(100,H655+I655+J655))</x:f>
        <x:v>17</x:v>
      </x:c>
      <x:c r="L655" s="5" t="str">
        <x:v>Pulsos y offsets: filtrar Instancias por escenario, turno y targetId. Base separada del nivel visible.</x:v>
      </x:c>
    </x:row>
    <x:row r="656" ht="34" customHeight="1">
      <x:c r="A656" s="10" t="str">
        <x:v>S5_SEGURIDAD</x:v>
      </x:c>
      <x:c r="B656" s="10" t="n">
        <x:v>2</x:v>
      </x:c>
      <x:c r="C656" s="10" t="str">
        <x:v>ambiente</x:v>
      </x:c>
      <x:c r="D656" s="10" t="n">
        <x:f>$H$642</x:f>
        <x:v>50</x:v>
      </x:c>
      <x:c r="E656" s="10" t="n">
        <x:f>0+0</x:f>
        <x:v>0</x:v>
      </x:c>
      <x:c r="F656" s="10" t="n">
        <x:f>0</x:f>
        <x:v>0</x:v>
      </x:c>
      <x:c r="G656" s="10" t="n">
        <x:f>MAX(-'00_Arquitectura'!$B$106,MIN('00_Arquitectura'!$B$106,E656+F656))</x:f>
        <x:v>0</x:v>
      </x:c>
      <x:c r="H656" s="10" t="n">
        <x:f>MAX(0,MIN(100,D656+G656))</x:f>
        <x:v>50</x:v>
      </x:c>
      <x:c r="I656" s="10" t="n">
        <x:f>0</x:f>
        <x:v>0</x:v>
      </x:c>
      <x:c r="J656" s="10" t="n">
        <x:f>MAX(-'00_Arquitectura'!$B$107,MIN('00_Arquitectura'!$B$107,0))</x:f>
        <x:v>0</x:v>
      </x:c>
      <x:c r="K656" s="10" t="n">
        <x:f>MAX(0,MIN(100,H656+I656+J656))</x:f>
        <x:v>50</x:v>
      </x:c>
      <x:c r="L656" s="10" t="str">
        <x:v>Pulsos y offsets: filtrar Instancias por escenario, turno y targetId. Base separada del nivel visible.</x:v>
      </x:c>
    </x:row>
    <x:row r="657" ht="42" customHeight="1">
      <x:c r="A657" s="5" t="str">
        <x:v>S5_SEGURIDAD</x:v>
      </x:c>
      <x:c r="B657" s="5" t="n">
        <x:v>3</x:v>
      </x:c>
      <x:c r="C657" s="5" t="str">
        <x:v>inflacion</x:v>
      </x:c>
      <x:c r="D657" s="5" t="n">
        <x:f>$H$643</x:f>
        <x:v>40</x:v>
      </x:c>
      <x:c r="E657" s="5" t="n">
        <x:f>0+0</x:f>
        <x:v>0</x:v>
      </x:c>
      <x:c r="F657" s="5" t="n">
        <x:f>-'00_Arquitectura'!$B$96*($H$643-40)</x:f>
        <x:v>0</x:v>
      </x:c>
      <x:c r="G657" s="5" t="n">
        <x:f>MAX(-'00_Arquitectura'!$B$106,MIN('00_Arquitectura'!$B$106,E657+F657))</x:f>
        <x:v>0</x:v>
      </x:c>
      <x:c r="H657" s="5" t="n">
        <x:f>MAX(0,MIN(100,D657+G657))</x:f>
        <x:v>40</x:v>
      </x:c>
      <x:c r="I657" s="5" t="n">
        <x:f>0</x:f>
        <x:v>0</x:v>
      </x:c>
      <x:c r="J657" s="5" t="n">
        <x:f>MAX(-'00_Arquitectura'!$B$107,MIN('00_Arquitectura'!$B$107,0))</x:f>
        <x:v>0</x:v>
      </x:c>
      <x:c r="K657" s="5" t="n">
        <x:f>MAX(0,MIN(100,H657+I657+J657))</x:f>
        <x:v>40</x:v>
      </x:c>
      <x:c r="L657" s="5" t="str">
        <x:v>Aplica link L01. Pulsos y offsets: filtrar Instancias por escenario, turno y targetId. Base separada del nivel visible.</x:v>
      </x:c>
    </x:row>
    <x:row r="658" ht="42" customHeight="1">
      <x:c r="A658" s="10" t="str">
        <x:v>S5_SEGURIDAD</x:v>
      </x:c>
      <x:c r="B658" s="10" t="n">
        <x:v>3</x:v>
      </x:c>
      <x:c r="C658" s="10" t="str">
        <x:v>actividad</x:v>
      </x:c>
      <x:c r="D658" s="10" t="n">
        <x:f>$H$644</x:f>
        <x:v>50</x:v>
      </x:c>
      <x:c r="E658" s="10" t="n">
        <x:f>0+0</x:f>
        <x:v>0</x:v>
      </x:c>
      <x:c r="F658" s="10" t="n">
        <x:f>-'00_Arquitectura'!$B$97*($H$644-50)+'00_Arquitectura'!$B$98*($K$646-45)+'00_Arquitectura'!$B$99*($K$649-45)+'00_Arquitectura'!$B$100*($K$648-45)</x:f>
        <x:v>0</x:v>
      </x:c>
      <x:c r="G658" s="10" t="n">
        <x:f>MAX(-'00_Arquitectura'!$B$106,MIN('00_Arquitectura'!$B$106,E658+F658))</x:f>
        <x:v>0</x:v>
      </x:c>
      <x:c r="H658" s="10" t="n">
        <x:f>MAX(0,MIN(100,D658+G658))</x:f>
        <x:v>50</x:v>
      </x:c>
      <x:c r="I658" s="10" t="n">
        <x:f>0</x:f>
        <x:v>0</x:v>
      </x:c>
      <x:c r="J658" s="10" t="n">
        <x:f>MAX(-'00_Arquitectura'!$B$107,MIN('00_Arquitectura'!$B$107,$J$1511+$J$1514+$J$1515))</x:f>
        <x:v>0</x:v>
      </x:c>
      <x:c r="K658" s="10" t="n">
        <x:f>MAX(0,MIN(100,H658+I658+J658))</x:f>
        <x:v>50</x:v>
      </x:c>
      <x:c r="L658" s="10" t="str">
        <x:v>Aplica link L02. Pulsos y offsets: filtrar Instancias por escenario, turno y targetId. Base separada del nivel visible.</x:v>
      </x:c>
    </x:row>
    <x:row r="659" ht="42" customHeight="1">
      <x:c r="A659" s="5" t="str">
        <x:v>S5_SEGURIDAD</x:v>
      </x:c>
      <x:c r="B659" s="5" t="n">
        <x:v>3</x:v>
      </x:c>
      <x:c r="C659" s="5" t="str">
        <x:v>ingreso_real</x:v>
      </x:c>
      <x:c r="D659" s="5" t="n">
        <x:f>$H$645</x:f>
        <x:v>45</x:v>
      </x:c>
      <x:c r="E659" s="5" t="n">
        <x:f>0+0</x:f>
        <x:v>0</x:v>
      </x:c>
      <x:c r="F659" s="5" t="n">
        <x:f>'00_Arquitectura'!$B$101*($K$644-$K$630)+'00_Arquitectura'!$B$102*($K$643-$K$629)</x:f>
        <x:v>0</x:v>
      </x:c>
      <x:c r="G659" s="5" t="n">
        <x:f>MAX(-'00_Arquitectura'!$B$106,MIN('00_Arquitectura'!$B$106,E659+F659))</x:f>
        <x:v>0</x:v>
      </x:c>
      <x:c r="H659" s="5" t="n">
        <x:f>MAX(0,MIN(100,D659+G659))</x:f>
        <x:v>45</x:v>
      </x:c>
      <x:c r="I659" s="5" t="n">
        <x:f>0</x:f>
        <x:v>0</x:v>
      </x:c>
      <x:c r="J659" s="5" t="n">
        <x:f>MAX(-'00_Arquitectura'!$B$107,MIN('00_Arquitectura'!$B$107,0))</x:f>
        <x:v>0</x:v>
      </x:c>
      <x:c r="K659" s="5" t="n">
        <x:f>MAX(0,MIN(100,H659+I659+J659))</x:f>
        <x:v>45</x:v>
      </x:c>
      <x:c r="L659" s="5" t="str">
        <x:v>Aplica link L03. Pulsos y offsets: filtrar Instancias por escenario, turno y targetId. Base separada del nivel visible.</x:v>
      </x:c>
    </x:row>
    <x:row r="660" ht="42" customHeight="1">
      <x:c r="A660" s="10" t="str">
        <x:v>S5_SEGURIDAD</x:v>
      </x:c>
      <x:c r="B660" s="10" t="n">
        <x:v>3</x:v>
      </x:c>
      <x:c r="C660" s="10" t="str">
        <x:v>credito</x:v>
      </x:c>
      <x:c r="D660" s="10" t="n">
        <x:f>$H$646</x:f>
        <x:v>45</x:v>
      </x:c>
      <x:c r="E660" s="10" t="n">
        <x:f>0+0</x:f>
        <x:v>0</x:v>
      </x:c>
      <x:c r="F660" s="10" t="n">
        <x:f>-'00_Arquitectura'!$B$103*($H$646-45)+'00_Arquitectura'!$B$104*($K$643-$K$629)+'00_Arquitectura'!$B$105*($K$647-'00_Arquitectura'!$B$117)</x:f>
        <x:v>-0.06</x:v>
      </x:c>
      <x:c r="G660" s="10" t="n">
        <x:f>MAX(-'00_Arquitectura'!$B$106,MIN('00_Arquitectura'!$B$106,E660+F660))</x:f>
        <x:v>-0.06</x:v>
      </x:c>
      <x:c r="H660" s="10" t="n">
        <x:f>MAX(0,MIN(100,D660+G660))</x:f>
        <x:v>44.94</x:v>
      </x:c>
      <x:c r="I660" s="10" t="n">
        <x:f>0</x:f>
        <x:v>0</x:v>
      </x:c>
      <x:c r="J660" s="10" t="n">
        <x:f>MAX(-'00_Arquitectura'!$B$107,MIN('00_Arquitectura'!$B$107,$J$1513))</x:f>
        <x:v>0</x:v>
      </x:c>
      <x:c r="K660" s="10" t="n">
        <x:f>MAX(0,MIN(100,H660+I660+J660))</x:f>
        <x:v>44.94</x:v>
      </x:c>
      <x:c r="L660" s="10" t="str">
        <x:v>Aplica link L04. Pulsos y offsets: filtrar Instancias por escenario, turno y targetId. Base separada del nivel visible.</x:v>
      </x:c>
    </x:row>
    <x:row r="661" ht="34" customHeight="1">
      <x:c r="A661" s="5" t="str">
        <x:v>S5_SEGURIDAD</x:v>
      </x:c>
      <x:c r="B661" s="5" t="n">
        <x:v>3</x:v>
      </x:c>
      <x:c r="C661" s="5" t="str">
        <x:v>fiscal</x:v>
      </x:c>
      <x:c r="D661" s="5" t="n">
        <x:f>$H$647</x:f>
        <x:v>55</x:v>
      </x:c>
      <x:c r="E661" s="5" t="n">
        <x:f>0+0</x:f>
        <x:v>0</x:v>
      </x:c>
      <x:c r="F661" s="5" t="n">
        <x:f>0</x:f>
        <x:v>0</x:v>
      </x:c>
      <x:c r="G661" s="5" t="n">
        <x:f>MAX(-'00_Arquitectura'!$B$106,MIN('00_Arquitectura'!$B$106,E661+F661))</x:f>
        <x:v>0</x:v>
      </x:c>
      <x:c r="H661" s="5" t="n">
        <x:f>$O$57</x:f>
        <x:v>58</x:v>
      </x:c>
      <x:c r="I661" s="5" t="n">
        <x:f>0</x:f>
        <x:v>0</x:v>
      </x:c>
      <x:c r="J661" s="5" t="n">
        <x:f>MAX(-'00_Arquitectura'!$B$107,MIN('00_Arquitectura'!$B$107,0))</x:f>
        <x:v>0</x:v>
      </x:c>
      <x:c r="K661" s="5" t="n">
        <x:f>MAX(0,MIN(100,H661+I661+J661))</x:f>
        <x:v>58</x:v>
      </x:c>
      <x:c r="L661" s="5" t="str">
        <x:v>Derivado de caja: ingreso recurrente, gasto, intereses y deuda. Nunca SUM de efectos fiscales directos.</x:v>
      </x:c>
    </x:row>
    <x:row r="662" ht="34" customHeight="1">
      <x:c r="A662" s="10" t="str">
        <x:v>S5_SEGURIDAD</x:v>
      </x:c>
      <x:c r="B662" s="10" t="n">
        <x:v>3</x:v>
      </x:c>
      <x:c r="C662" s="10" t="str">
        <x:v>externo</x:v>
      </x:c>
      <x:c r="D662" s="10" t="n">
        <x:f>$H$648</x:f>
        <x:v>45</x:v>
      </x:c>
      <x:c r="E662" s="10" t="n">
        <x:f>0+0</x:f>
        <x:v>0</x:v>
      </x:c>
      <x:c r="F662" s="10" t="n">
        <x:f>0</x:f>
        <x:v>0</x:v>
      </x:c>
      <x:c r="G662" s="10" t="n">
        <x:f>MAX(-'00_Arquitectura'!$B$106,MIN('00_Arquitectura'!$B$106,E662+F662))</x:f>
        <x:v>0</x:v>
      </x:c>
      <x:c r="H662" s="10" t="n">
        <x:f>MAX(0,MIN(100,D662+G662))</x:f>
        <x:v>45</x:v>
      </x:c>
      <x:c r="I662" s="10" t="n">
        <x:f>0</x:f>
        <x:v>0</x:v>
      </x:c>
      <x:c r="J662" s="10" t="n">
        <x:f>MAX(-'00_Arquitectura'!$B$107,MIN('00_Arquitectura'!$B$107,$J$1512))</x:f>
        <x:v>0</x:v>
      </x:c>
      <x:c r="K662" s="10" t="n">
        <x:f>MAX(0,MIN(100,H662+I662+J662))</x:f>
        <x:v>45</x:v>
      </x:c>
      <x:c r="L662" s="10" t="str">
        <x:v>Pulsos y offsets: filtrar Instancias por escenario, turno y targetId. Base separada del nivel visible.</x:v>
      </x:c>
    </x:row>
    <x:row r="663" ht="34" customHeight="1">
      <x:c r="A663" s="5" t="str">
        <x:v>S5_SEGURIDAD</x:v>
      </x:c>
      <x:c r="B663" s="5" t="n">
        <x:v>3</x:v>
      </x:c>
      <x:c r="C663" s="5" t="str">
        <x:v>infraestructura</x:v>
      </x:c>
      <x:c r="D663" s="5" t="n">
        <x:f>$H$649</x:f>
        <x:v>45</x:v>
      </x:c>
      <x:c r="E663" s="5" t="n">
        <x:f>0+0</x:f>
        <x:v>0</x:v>
      </x:c>
      <x:c r="F663" s="5" t="n">
        <x:f>0</x:f>
        <x:v>0</x:v>
      </x:c>
      <x:c r="G663" s="5" t="n">
        <x:f>MAX(-'00_Arquitectura'!$B$106,MIN('00_Arquitectura'!$B$106,E663+F663))</x:f>
        <x:v>0</x:v>
      </x:c>
      <x:c r="H663" s="5" t="n">
        <x:f>MAX(0,MIN(100,D663+G663))</x:f>
        <x:v>45</x:v>
      </x:c>
      <x:c r="I663" s="5" t="n">
        <x:f>0</x:f>
        <x:v>0</x:v>
      </x:c>
      <x:c r="J663" s="5" t="n">
        <x:f>MAX(-'00_Arquitectura'!$B$107,MIN('00_Arquitectura'!$B$107,0))</x:f>
        <x:v>0</x:v>
      </x:c>
      <x:c r="K663" s="5" t="n">
        <x:f>MAX(0,MIN(100,H663+I663+J663))</x:f>
        <x:v>45</x:v>
      </x:c>
      <x:c r="L663" s="5" t="str">
        <x:v>Pulsos y offsets: filtrar Instancias por escenario, turno y targetId. Base separada del nivel visible.</x:v>
      </x:c>
    </x:row>
    <x:row r="664" ht="34" customHeight="1">
      <x:c r="A664" s="10" t="str">
        <x:v>S5_SEGURIDAD</x:v>
      </x:c>
      <x:c r="B664" s="10" t="n">
        <x:v>3</x:v>
      </x:c>
      <x:c r="C664" s="10" t="str">
        <x:v>educacion</x:v>
      </x:c>
      <x:c r="D664" s="10" t="n">
        <x:f>$H$650</x:f>
        <x:v>50</x:v>
      </x:c>
      <x:c r="E664" s="10" t="n">
        <x:f>0+0</x:f>
        <x:v>0</x:v>
      </x:c>
      <x:c r="F664" s="10" t="n">
        <x:f>0</x:f>
        <x:v>0</x:v>
      </x:c>
      <x:c r="G664" s="10" t="n">
        <x:f>MAX(-'00_Arquitectura'!$B$106,MIN('00_Arquitectura'!$B$106,E664+F664))</x:f>
        <x:v>0</x:v>
      </x:c>
      <x:c r="H664" s="10" t="n">
        <x:f>MAX(0,MIN(100,D664+G664))</x:f>
        <x:v>50</x:v>
      </x:c>
      <x:c r="I664" s="10" t="n">
        <x:f>0</x:f>
        <x:v>0</x:v>
      </x:c>
      <x:c r="J664" s="10" t="n">
        <x:f>MAX(-'00_Arquitectura'!$B$107,MIN('00_Arquitectura'!$B$107,$J$1519))</x:f>
        <x:v>0</x:v>
      </x:c>
      <x:c r="K664" s="10" t="n">
        <x:f>MAX(0,MIN(100,H664+I664+J664))</x:f>
        <x:v>50</x:v>
      </x:c>
      <x:c r="L664" s="10" t="str">
        <x:v>Pulsos y offsets: filtrar Instancias por escenario, turno y targetId. Base separada del nivel visible.</x:v>
      </x:c>
    </x:row>
    <x:row r="665" ht="34" customHeight="1">
      <x:c r="A665" s="5" t="str">
        <x:v>S5_SEGURIDAD</x:v>
      </x:c>
      <x:c r="B665" s="5" t="n">
        <x:v>3</x:v>
      </x:c>
      <x:c r="C665" s="5" t="str">
        <x:v>salud</x:v>
      </x:c>
      <x:c r="D665" s="5" t="n">
        <x:f>$H$651</x:f>
        <x:v>50</x:v>
      </x:c>
      <x:c r="E665" s="5" t="n">
        <x:f>0+0</x:f>
        <x:v>0</x:v>
      </x:c>
      <x:c r="F665" s="5" t="n">
        <x:f>0</x:f>
        <x:v>0</x:v>
      </x:c>
      <x:c r="G665" s="5" t="n">
        <x:f>MAX(-'00_Arquitectura'!$B$106,MIN('00_Arquitectura'!$B$106,E665+F665))</x:f>
        <x:v>0</x:v>
      </x:c>
      <x:c r="H665" s="5" t="n">
        <x:f>MAX(0,MIN(100,D665+G665))</x:f>
        <x:v>50</x:v>
      </x:c>
      <x:c r="I665" s="5" t="n">
        <x:f>0</x:f>
        <x:v>0</x:v>
      </x:c>
      <x:c r="J665" s="5" t="n">
        <x:f>MAX(-'00_Arquitectura'!$B$107,MIN('00_Arquitectura'!$B$107,0))</x:f>
        <x:v>0</x:v>
      </x:c>
      <x:c r="K665" s="5" t="n">
        <x:f>MAX(0,MIN(100,H665+I665+J665))</x:f>
        <x:v>50</x:v>
      </x:c>
      <x:c r="L665" s="5" t="str">
        <x:v>Pulsos y offsets: filtrar Instancias por escenario, turno y targetId. Base separada del nivel visible.</x:v>
      </x:c>
    </x:row>
    <x:row r="666" ht="34" customHeight="1">
      <x:c r="A666" s="10" t="str">
        <x:v>S5_SEGURIDAD</x:v>
      </x:c>
      <x:c r="B666" s="10" t="n">
        <x:v>3</x:v>
      </x:c>
      <x:c r="C666" s="10" t="str">
        <x:v>proteccion</x:v>
      </x:c>
      <x:c r="D666" s="10" t="n">
        <x:f>$H$652</x:f>
        <x:v>45</x:v>
      </x:c>
      <x:c r="E666" s="10" t="n">
        <x:f>0+0</x:f>
        <x:v>0</x:v>
      </x:c>
      <x:c r="F666" s="10" t="n">
        <x:f>0</x:f>
        <x:v>0</x:v>
      </x:c>
      <x:c r="G666" s="10" t="n">
        <x:f>MAX(-'00_Arquitectura'!$B$106,MIN('00_Arquitectura'!$B$106,E666+F666))</x:f>
        <x:v>0</x:v>
      </x:c>
      <x:c r="H666" s="10" t="n">
        <x:f>MAX(0,MIN(100,D666+G666))</x:f>
        <x:v>45</x:v>
      </x:c>
      <x:c r="I666" s="10" t="n">
        <x:f>0</x:f>
        <x:v>0</x:v>
      </x:c>
      <x:c r="J666" s="10" t="n">
        <x:f>MAX(-'00_Arquitectura'!$B$107,MIN('00_Arquitectura'!$B$107,$J$1517+$J$1521))</x:f>
        <x:v>0</x:v>
      </x:c>
      <x:c r="K666" s="10" t="n">
        <x:f>MAX(0,MIN(100,H666+I666+J666))</x:f>
        <x:v>45</x:v>
      </x:c>
      <x:c r="L666" s="10" t="str">
        <x:v>Pulsos y offsets: filtrar Instancias por escenario, turno y targetId. Base separada del nivel visible.</x:v>
      </x:c>
    </x:row>
    <x:row r="667" ht="34" customHeight="1">
      <x:c r="A667" s="5" t="str">
        <x:v>S5_SEGURIDAD</x:v>
      </x:c>
      <x:c r="B667" s="5" t="n">
        <x:v>3</x:v>
      </x:c>
      <x:c r="C667" s="5" t="str">
        <x:v>seguridad</x:v>
      </x:c>
      <x:c r="D667" s="5" t="n">
        <x:f>$H$653</x:f>
        <x:v>45</x:v>
      </x:c>
      <x:c r="E667" s="5" t="n">
        <x:f>0+0</x:f>
        <x:v>0</x:v>
      </x:c>
      <x:c r="F667" s="5" t="n">
        <x:f>0</x:f>
        <x:v>0</x:v>
      </x:c>
      <x:c r="G667" s="5" t="n">
        <x:f>MAX(-'00_Arquitectura'!$B$106,MIN('00_Arquitectura'!$B$106,E667+F667))</x:f>
        <x:v>0</x:v>
      </x:c>
      <x:c r="H667" s="5" t="n">
        <x:f>MAX(0,MIN(100,D667+G667))</x:f>
        <x:v>45</x:v>
      </x:c>
      <x:c r="I667" s="5" t="n">
        <x:f>0</x:f>
        <x:v>0</x:v>
      </x:c>
      <x:c r="J667" s="5" t="n">
        <x:f>MAX(-'00_Arquitectura'!$B$107,MIN('00_Arquitectura'!$B$107,0))</x:f>
        <x:v>0</x:v>
      </x:c>
      <x:c r="K667" s="5" t="n">
        <x:f>MAX(0,MIN(100,H667+I667+J667))</x:f>
        <x:v>45</x:v>
      </x:c>
      <x:c r="L667" s="5" t="str">
        <x:v>Pulsos y offsets: filtrar Instancias por escenario, turno y targetId. Base separada del nivel visible.</x:v>
      </x:c>
    </x:row>
    <x:row r="668" ht="34" customHeight="1">
      <x:c r="A668" s="10" t="str">
        <x:v>S5_SEGURIDAD</x:v>
      </x:c>
      <x:c r="B668" s="10" t="n">
        <x:v>3</x:v>
      </x:c>
      <x:c r="C668" s="10" t="str">
        <x:v>ciencia</x:v>
      </x:c>
      <x:c r="D668" s="10" t="n">
        <x:f>$H$654</x:f>
        <x:v>40</x:v>
      </x:c>
      <x:c r="E668" s="10" t="n">
        <x:f>0+0</x:f>
        <x:v>0</x:v>
      </x:c>
      <x:c r="F668" s="10" t="n">
        <x:f>0</x:f>
        <x:v>0</x:v>
      </x:c>
      <x:c r="G668" s="10" t="n">
        <x:f>MAX(-'00_Arquitectura'!$B$106,MIN('00_Arquitectura'!$B$106,E668+F668))</x:f>
        <x:v>0</x:v>
      </x:c>
      <x:c r="H668" s="10" t="n">
        <x:f>MAX(0,MIN(100,D668+G668))</x:f>
        <x:v>40</x:v>
      </x:c>
      <x:c r="I668" s="10" t="n">
        <x:f>0</x:f>
        <x:v>0</x:v>
      </x:c>
      <x:c r="J668" s="10" t="n">
        <x:f>MAX(-'00_Arquitectura'!$B$107,MIN('00_Arquitectura'!$B$107,$J$1520))</x:f>
        <x:v>0</x:v>
      </x:c>
      <x:c r="K668" s="10" t="n">
        <x:f>MAX(0,MIN(100,H668+I668+J668))</x:f>
        <x:v>40</x:v>
      </x:c>
      <x:c r="L668" s="10" t="str">
        <x:v>Pulsos y offsets: filtrar Instancias por escenario, turno y targetId. Base separada del nivel visible.</x:v>
      </x:c>
    </x:row>
    <x:row r="669" ht="34" customHeight="1">
      <x:c r="A669" s="5" t="str">
        <x:v>S5_SEGURIDAD</x:v>
      </x:c>
      <x:c r="B669" s="5" t="n">
        <x:v>3</x:v>
      </x:c>
      <x:c r="C669" s="5" t="str">
        <x:v>derechos</x:v>
      </x:c>
      <x:c r="D669" s="5" t="n">
        <x:f>$H$655</x:f>
        <x:v>17</x:v>
      </x:c>
      <x:c r="E669" s="5" t="n">
        <x:f>SUM($I$1739)+0</x:f>
        <x:v>5</x:v>
      </x:c>
      <x:c r="F669" s="5" t="n">
        <x:f>0</x:f>
        <x:v>0</x:v>
      </x:c>
      <x:c r="G669" s="5" t="n">
        <x:f>MAX(-'00_Arquitectura'!$B$106,MIN('00_Arquitectura'!$B$106,E669+F669))</x:f>
        <x:v>5</x:v>
      </x:c>
      <x:c r="H669" s="5" t="n">
        <x:f>MAX(0,MIN(100,D669+G669))</x:f>
        <x:v>22</x:v>
      </x:c>
      <x:c r="I669" s="5" t="n">
        <x:f>0</x:f>
        <x:v>0</x:v>
      </x:c>
      <x:c r="J669" s="5" t="n">
        <x:f>MAX(-'00_Arquitectura'!$B$107,MIN('00_Arquitectura'!$B$107,0))</x:f>
        <x:v>0</x:v>
      </x:c>
      <x:c r="K669" s="5" t="n">
        <x:f>MAX(0,MIN(100,H669+I669+J669))</x:f>
        <x:v>22</x:v>
      </x:c>
      <x:c r="L669" s="5" t="str">
        <x:v>Pulsos y offsets: filtrar Instancias por escenario, turno y targetId. Base separada del nivel visible.</x:v>
      </x:c>
    </x:row>
    <x:row r="670" ht="34" customHeight="1">
      <x:c r="A670" s="10" t="str">
        <x:v>S5_SEGURIDAD</x:v>
      </x:c>
      <x:c r="B670" s="10" t="n">
        <x:v>3</x:v>
      </x:c>
      <x:c r="C670" s="10" t="str">
        <x:v>ambiente</x:v>
      </x:c>
      <x:c r="D670" s="10" t="n">
        <x:f>$H$656</x:f>
        <x:v>50</x:v>
      </x:c>
      <x:c r="E670" s="10" t="n">
        <x:f>0+0</x:f>
        <x:v>0</x:v>
      </x:c>
      <x:c r="F670" s="10" t="n">
        <x:f>0</x:f>
        <x:v>0</x:v>
      </x:c>
      <x:c r="G670" s="10" t="n">
        <x:f>MAX(-'00_Arquitectura'!$B$106,MIN('00_Arquitectura'!$B$106,E670+F670))</x:f>
        <x:v>0</x:v>
      </x:c>
      <x:c r="H670" s="10" t="n">
        <x:f>MAX(0,MIN(100,D670+G670))</x:f>
        <x:v>50</x:v>
      </x:c>
      <x:c r="I670" s="10" t="n">
        <x:f>0</x:f>
        <x:v>0</x:v>
      </x:c>
      <x:c r="J670" s="10" t="n">
        <x:f>MAX(-'00_Arquitectura'!$B$107,MIN('00_Arquitectura'!$B$107,0))</x:f>
        <x:v>0</x:v>
      </x:c>
      <x:c r="K670" s="10" t="n">
        <x:f>MAX(0,MIN(100,H670+I670+J670))</x:f>
        <x:v>50</x:v>
      </x:c>
      <x:c r="L670" s="10" t="str">
        <x:v>Pulsos y offsets: filtrar Instancias por escenario, turno y targetId. Base separada del nivel visible.</x:v>
      </x:c>
    </x:row>
    <x:row r="671" ht="42" customHeight="1">
      <x:c r="A671" s="5" t="str">
        <x:v>S5_SEGURIDAD</x:v>
      </x:c>
      <x:c r="B671" s="5" t="n">
        <x:v>4</x:v>
      </x:c>
      <x:c r="C671" s="5" t="str">
        <x:v>inflacion</x:v>
      </x:c>
      <x:c r="D671" s="5" t="n">
        <x:f>$H$657</x:f>
        <x:v>40</x:v>
      </x:c>
      <x:c r="E671" s="5" t="n">
        <x:f>0+0</x:f>
        <x:v>0</x:v>
      </x:c>
      <x:c r="F671" s="5" t="n">
        <x:f>-'00_Arquitectura'!$B$96*($H$657-40)</x:f>
        <x:v>0</x:v>
      </x:c>
      <x:c r="G671" s="5" t="n">
        <x:f>MAX(-'00_Arquitectura'!$B$106,MIN('00_Arquitectura'!$B$106,E671+F671))</x:f>
        <x:v>0</x:v>
      </x:c>
      <x:c r="H671" s="5" t="n">
        <x:f>MAX(0,MIN(100,D671+G671))</x:f>
        <x:v>40</x:v>
      </x:c>
      <x:c r="I671" s="5" t="n">
        <x:f>0</x:f>
        <x:v>0</x:v>
      </x:c>
      <x:c r="J671" s="5" t="n">
        <x:f>MAX(-'00_Arquitectura'!$B$107,MIN('00_Arquitectura'!$B$107,0))</x:f>
        <x:v>0</x:v>
      </x:c>
      <x:c r="K671" s="5" t="n">
        <x:f>MAX(0,MIN(100,H671+I671+J671))</x:f>
        <x:v>40</x:v>
      </x:c>
      <x:c r="L671" s="5" t="str">
        <x:v>Aplica link L01. Pulsos y offsets: filtrar Instancias por escenario, turno y targetId. Base separada del nivel visible.</x:v>
      </x:c>
    </x:row>
    <x:row r="672" ht="42" customHeight="1">
      <x:c r="A672" s="10" t="str">
        <x:v>S5_SEGURIDAD</x:v>
      </x:c>
      <x:c r="B672" s="10" t="n">
        <x:v>4</x:v>
      </x:c>
      <x:c r="C672" s="10" t="str">
        <x:v>actividad</x:v>
      </x:c>
      <x:c r="D672" s="10" t="n">
        <x:f>$H$658</x:f>
        <x:v>50</x:v>
      </x:c>
      <x:c r="E672" s="10" t="n">
        <x:f>0+0</x:f>
        <x:v>0</x:v>
      </x:c>
      <x:c r="F672" s="10" t="n">
        <x:f>-'00_Arquitectura'!$B$97*($H$658-50)+'00_Arquitectura'!$B$98*($K$660-45)+'00_Arquitectura'!$B$99*($K$663-45)+'00_Arquitectura'!$B$100*($K$662-45)</x:f>
        <x:v>-0.004800000000000182</x:v>
      </x:c>
      <x:c r="G672" s="10" t="n">
        <x:f>MAX(-'00_Arquitectura'!$B$106,MIN('00_Arquitectura'!$B$106,E672+F672))</x:f>
        <x:v>-0.004800000000000182</x:v>
      </x:c>
      <x:c r="H672" s="10" t="n">
        <x:f>MAX(0,MIN(100,D672+G672))</x:f>
        <x:v>49.9952</x:v>
      </x:c>
      <x:c r="I672" s="10" t="n">
        <x:f>0</x:f>
        <x:v>0</x:v>
      </x:c>
      <x:c r="J672" s="10" t="n">
        <x:f>MAX(-'00_Arquitectura'!$B$107,MIN('00_Arquitectura'!$B$107,$J$1529+$J$1532+$J$1533))</x:f>
        <x:v>0</x:v>
      </x:c>
      <x:c r="K672" s="10" t="n">
        <x:f>MAX(0,MIN(100,H672+I672+J672))</x:f>
        <x:v>49.9952</x:v>
      </x:c>
      <x:c r="L672" s="10" t="str">
        <x:v>Aplica link L02. Pulsos y offsets: filtrar Instancias por escenario, turno y targetId. Base separada del nivel visible.</x:v>
      </x:c>
    </x:row>
    <x:row r="673" ht="42" customHeight="1">
      <x:c r="A673" s="5" t="str">
        <x:v>S5_SEGURIDAD</x:v>
      </x:c>
      <x:c r="B673" s="5" t="n">
        <x:v>4</x:v>
      </x:c>
      <x:c r="C673" s="5" t="str">
        <x:v>ingreso_real</x:v>
      </x:c>
      <x:c r="D673" s="5" t="n">
        <x:f>$H$659</x:f>
        <x:v>45</x:v>
      </x:c>
      <x:c r="E673" s="5" t="n">
        <x:f>0+0</x:f>
        <x:v>0</x:v>
      </x:c>
      <x:c r="F673" s="5" t="n">
        <x:f>'00_Arquitectura'!$B$101*($K$658-$K$644)+'00_Arquitectura'!$B$102*($K$657-$K$643)</x:f>
        <x:v>0</x:v>
      </x:c>
      <x:c r="G673" s="5" t="n">
        <x:f>MAX(-'00_Arquitectura'!$B$106,MIN('00_Arquitectura'!$B$106,E673+F673))</x:f>
        <x:v>0</x:v>
      </x:c>
      <x:c r="H673" s="5" t="n">
        <x:f>MAX(0,MIN(100,D673+G673))</x:f>
        <x:v>45</x:v>
      </x:c>
      <x:c r="I673" s="5" t="n">
        <x:f>0</x:f>
        <x:v>0</x:v>
      </x:c>
      <x:c r="J673" s="5" t="n">
        <x:f>MAX(-'00_Arquitectura'!$B$107,MIN('00_Arquitectura'!$B$107,0))</x:f>
        <x:v>0</x:v>
      </x:c>
      <x:c r="K673" s="5" t="n">
        <x:f>MAX(0,MIN(100,H673+I673+J673))</x:f>
        <x:v>45</x:v>
      </x:c>
      <x:c r="L673" s="5" t="str">
        <x:v>Aplica link L03. Pulsos y offsets: filtrar Instancias por escenario, turno y targetId. Base separada del nivel visible.</x:v>
      </x:c>
    </x:row>
    <x:row r="674" ht="42" customHeight="1">
      <x:c r="A674" s="10" t="str">
        <x:v>S5_SEGURIDAD</x:v>
      </x:c>
      <x:c r="B674" s="10" t="n">
        <x:v>4</x:v>
      </x:c>
      <x:c r="C674" s="10" t="str">
        <x:v>credito</x:v>
      </x:c>
      <x:c r="D674" s="10" t="n">
        <x:f>$H$660</x:f>
        <x:v>44.94</x:v>
      </x:c>
      <x:c r="E674" s="10" t="n">
        <x:f>0+0</x:f>
        <x:v>0</x:v>
      </x:c>
      <x:c r="F674" s="10" t="n">
        <x:f>-'00_Arquitectura'!$B$103*($H$660-45)+'00_Arquitectura'!$B$104*($K$657-$K$643)+'00_Arquitectura'!$B$105*($K$661-'00_Arquitectura'!$B$117)</x:f>
        <x:v>0.009000000000000341</x:v>
      </x:c>
      <x:c r="G674" s="10" t="n">
        <x:f>MAX(-'00_Arquitectura'!$B$106,MIN('00_Arquitectura'!$B$106,E674+F674))</x:f>
        <x:v>0.009000000000000341</x:v>
      </x:c>
      <x:c r="H674" s="10" t="n">
        <x:f>MAX(0,MIN(100,D674+G674))</x:f>
        <x:v>44.949</x:v>
      </x:c>
      <x:c r="I674" s="10" t="n">
        <x:f>0</x:f>
        <x:v>0</x:v>
      </x:c>
      <x:c r="J674" s="10" t="n">
        <x:f>MAX(-'00_Arquitectura'!$B$107,MIN('00_Arquitectura'!$B$107,$J$1531))</x:f>
        <x:v>0</x:v>
      </x:c>
      <x:c r="K674" s="10" t="n">
        <x:f>MAX(0,MIN(100,H674+I674+J674))</x:f>
        <x:v>44.949</x:v>
      </x:c>
      <x:c r="L674" s="10" t="str">
        <x:v>Aplica link L04. Pulsos y offsets: filtrar Instancias por escenario, turno y targetId. Base separada del nivel visible.</x:v>
      </x:c>
    </x:row>
    <x:row r="675" ht="34" customHeight="1">
      <x:c r="A675" s="5" t="str">
        <x:v>S5_SEGURIDAD</x:v>
      </x:c>
      <x:c r="B675" s="5" t="n">
        <x:v>4</x:v>
      </x:c>
      <x:c r="C675" s="5" t="str">
        <x:v>fiscal</x:v>
      </x:c>
      <x:c r="D675" s="5" t="n">
        <x:f>$H$661</x:f>
        <x:v>58</x:v>
      </x:c>
      <x:c r="E675" s="5" t="n">
        <x:f>0+0</x:f>
        <x:v>0</x:v>
      </x:c>
      <x:c r="F675" s="5" t="n">
        <x:f>0</x:f>
        <x:v>0</x:v>
      </x:c>
      <x:c r="G675" s="5" t="n">
        <x:f>MAX(-'00_Arquitectura'!$B$106,MIN('00_Arquitectura'!$B$106,E675+F675))</x:f>
        <x:v>0</x:v>
      </x:c>
      <x:c r="H675" s="5" t="n">
        <x:f>$O$58</x:f>
        <x:v>58</x:v>
      </x:c>
      <x:c r="I675" s="5" t="n">
        <x:f>0</x:f>
        <x:v>0</x:v>
      </x:c>
      <x:c r="J675" s="5" t="n">
        <x:f>MAX(-'00_Arquitectura'!$B$107,MIN('00_Arquitectura'!$B$107,0))</x:f>
        <x:v>0</x:v>
      </x:c>
      <x:c r="K675" s="5" t="n">
        <x:f>MAX(0,MIN(100,H675+I675+J675))</x:f>
        <x:v>58</x:v>
      </x:c>
      <x:c r="L675" s="5" t="str">
        <x:v>Derivado de caja: ingreso recurrente, gasto, intereses y deuda. Nunca SUM de efectos fiscales directos.</x:v>
      </x:c>
    </x:row>
    <x:row r="676" ht="34" customHeight="1">
      <x:c r="A676" s="10" t="str">
        <x:v>S5_SEGURIDAD</x:v>
      </x:c>
      <x:c r="B676" s="10" t="n">
        <x:v>4</x:v>
      </x:c>
      <x:c r="C676" s="10" t="str">
        <x:v>externo</x:v>
      </x:c>
      <x:c r="D676" s="10" t="n">
        <x:f>$H$662</x:f>
        <x:v>45</x:v>
      </x:c>
      <x:c r="E676" s="10" t="n">
        <x:f>0+0</x:f>
        <x:v>0</x:v>
      </x:c>
      <x:c r="F676" s="10" t="n">
        <x:f>0</x:f>
        <x:v>0</x:v>
      </x:c>
      <x:c r="G676" s="10" t="n">
        <x:f>MAX(-'00_Arquitectura'!$B$106,MIN('00_Arquitectura'!$B$106,E676+F676))</x:f>
        <x:v>0</x:v>
      </x:c>
      <x:c r="H676" s="10" t="n">
        <x:f>MAX(0,MIN(100,D676+G676))</x:f>
        <x:v>45</x:v>
      </x:c>
      <x:c r="I676" s="10" t="n">
        <x:f>0</x:f>
        <x:v>0</x:v>
      </x:c>
      <x:c r="J676" s="10" t="n">
        <x:f>MAX(-'00_Arquitectura'!$B$107,MIN('00_Arquitectura'!$B$107,$J$1530))</x:f>
        <x:v>0</x:v>
      </x:c>
      <x:c r="K676" s="10" t="n">
        <x:f>MAX(0,MIN(100,H676+I676+J676))</x:f>
        <x:v>45</x:v>
      </x:c>
      <x:c r="L676" s="10" t="str">
        <x:v>Pulsos y offsets: filtrar Instancias por escenario, turno y targetId. Base separada del nivel visible.</x:v>
      </x:c>
    </x:row>
    <x:row r="677" ht="34" customHeight="1">
      <x:c r="A677" s="5" t="str">
        <x:v>S5_SEGURIDAD</x:v>
      </x:c>
      <x:c r="B677" s="5" t="n">
        <x:v>4</x:v>
      </x:c>
      <x:c r="C677" s="5" t="str">
        <x:v>infraestructura</x:v>
      </x:c>
      <x:c r="D677" s="5" t="n">
        <x:f>$H$663</x:f>
        <x:v>45</x:v>
      </x:c>
      <x:c r="E677" s="5" t="n">
        <x:f>0+0</x:f>
        <x:v>0</x:v>
      </x:c>
      <x:c r="F677" s="5" t="n">
        <x:f>0</x:f>
        <x:v>0</x:v>
      </x:c>
      <x:c r="G677" s="5" t="n">
        <x:f>MAX(-'00_Arquitectura'!$B$106,MIN('00_Arquitectura'!$B$106,E677+F677))</x:f>
        <x:v>0</x:v>
      </x:c>
      <x:c r="H677" s="5" t="n">
        <x:f>MAX(0,MIN(100,D677+G677))</x:f>
        <x:v>45</x:v>
      </x:c>
      <x:c r="I677" s="5" t="n">
        <x:f>0</x:f>
        <x:v>0</x:v>
      </x:c>
      <x:c r="J677" s="5" t="n">
        <x:f>MAX(-'00_Arquitectura'!$B$107,MIN('00_Arquitectura'!$B$107,0))</x:f>
        <x:v>0</x:v>
      </x:c>
      <x:c r="K677" s="5" t="n">
        <x:f>MAX(0,MIN(100,H677+I677+J677))</x:f>
        <x:v>45</x:v>
      </x:c>
      <x:c r="L677" s="5" t="str">
        <x:v>Pulsos y offsets: filtrar Instancias por escenario, turno y targetId. Base separada del nivel visible.</x:v>
      </x:c>
    </x:row>
    <x:row r="678" ht="34" customHeight="1">
      <x:c r="A678" s="10" t="str">
        <x:v>S5_SEGURIDAD</x:v>
      </x:c>
      <x:c r="B678" s="10" t="n">
        <x:v>4</x:v>
      </x:c>
      <x:c r="C678" s="10" t="str">
        <x:v>educacion</x:v>
      </x:c>
      <x:c r="D678" s="10" t="n">
        <x:f>$H$664</x:f>
        <x:v>50</x:v>
      </x:c>
      <x:c r="E678" s="10" t="n">
        <x:f>0+0</x:f>
        <x:v>0</x:v>
      </x:c>
      <x:c r="F678" s="10" t="n">
        <x:f>0</x:f>
        <x:v>0</x:v>
      </x:c>
      <x:c r="G678" s="10" t="n">
        <x:f>MAX(-'00_Arquitectura'!$B$106,MIN('00_Arquitectura'!$B$106,E678+F678))</x:f>
        <x:v>0</x:v>
      </x:c>
      <x:c r="H678" s="10" t="n">
        <x:f>MAX(0,MIN(100,D678+G678))</x:f>
        <x:v>50</x:v>
      </x:c>
      <x:c r="I678" s="10" t="n">
        <x:f>0</x:f>
        <x:v>0</x:v>
      </x:c>
      <x:c r="J678" s="10" t="n">
        <x:f>MAX(-'00_Arquitectura'!$B$107,MIN('00_Arquitectura'!$B$107,$J$1537))</x:f>
        <x:v>0</x:v>
      </x:c>
      <x:c r="K678" s="10" t="n">
        <x:f>MAX(0,MIN(100,H678+I678+J678))</x:f>
        <x:v>50</x:v>
      </x:c>
      <x:c r="L678" s="10" t="str">
        <x:v>Pulsos y offsets: filtrar Instancias por escenario, turno y targetId. Base separada del nivel visible.</x:v>
      </x:c>
    </x:row>
    <x:row r="679" ht="34" customHeight="1">
      <x:c r="A679" s="5" t="str">
        <x:v>S5_SEGURIDAD</x:v>
      </x:c>
      <x:c r="B679" s="5" t="n">
        <x:v>4</x:v>
      </x:c>
      <x:c r="C679" s="5" t="str">
        <x:v>salud</x:v>
      </x:c>
      <x:c r="D679" s="5" t="n">
        <x:f>$H$665</x:f>
        <x:v>50</x:v>
      </x:c>
      <x:c r="E679" s="5" t="n">
        <x:f>0+0</x:f>
        <x:v>0</x:v>
      </x:c>
      <x:c r="F679" s="5" t="n">
        <x:f>0</x:f>
        <x:v>0</x:v>
      </x:c>
      <x:c r="G679" s="5" t="n">
        <x:f>MAX(-'00_Arquitectura'!$B$106,MIN('00_Arquitectura'!$B$106,E679+F679))</x:f>
        <x:v>0</x:v>
      </x:c>
      <x:c r="H679" s="5" t="n">
        <x:f>MAX(0,MIN(100,D679+G679))</x:f>
        <x:v>50</x:v>
      </x:c>
      <x:c r="I679" s="5" t="n">
        <x:f>0</x:f>
        <x:v>0</x:v>
      </x:c>
      <x:c r="J679" s="5" t="n">
        <x:f>MAX(-'00_Arquitectura'!$B$107,MIN('00_Arquitectura'!$B$107,0))</x:f>
        <x:v>0</x:v>
      </x:c>
      <x:c r="K679" s="5" t="n">
        <x:f>MAX(0,MIN(100,H679+I679+J679))</x:f>
        <x:v>50</x:v>
      </x:c>
      <x:c r="L679" s="5" t="str">
        <x:v>Pulsos y offsets: filtrar Instancias por escenario, turno y targetId. Base separada del nivel visible.</x:v>
      </x:c>
    </x:row>
    <x:row r="680" ht="34" customHeight="1">
      <x:c r="A680" s="10" t="str">
        <x:v>S5_SEGURIDAD</x:v>
      </x:c>
      <x:c r="B680" s="10" t="n">
        <x:v>4</x:v>
      </x:c>
      <x:c r="C680" s="10" t="str">
        <x:v>proteccion</x:v>
      </x:c>
      <x:c r="D680" s="10" t="n">
        <x:f>$H$666</x:f>
        <x:v>45</x:v>
      </x:c>
      <x:c r="E680" s="10" t="n">
        <x:f>0+0</x:f>
        <x:v>0</x:v>
      </x:c>
      <x:c r="F680" s="10" t="n">
        <x:f>0</x:f>
        <x:v>0</x:v>
      </x:c>
      <x:c r="G680" s="10" t="n">
        <x:f>MAX(-'00_Arquitectura'!$B$106,MIN('00_Arquitectura'!$B$106,E680+F680))</x:f>
        <x:v>0</x:v>
      </x:c>
      <x:c r="H680" s="10" t="n">
        <x:f>MAX(0,MIN(100,D680+G680))</x:f>
        <x:v>45</x:v>
      </x:c>
      <x:c r="I680" s="10" t="n">
        <x:f>0</x:f>
        <x:v>0</x:v>
      </x:c>
      <x:c r="J680" s="10" t="n">
        <x:f>MAX(-'00_Arquitectura'!$B$107,MIN('00_Arquitectura'!$B$107,$J$1535+$J$1539))</x:f>
        <x:v>0</x:v>
      </x:c>
      <x:c r="K680" s="10" t="n">
        <x:f>MAX(0,MIN(100,H680+I680+J680))</x:f>
        <x:v>45</x:v>
      </x:c>
      <x:c r="L680" s="10" t="str">
        <x:v>Pulsos y offsets: filtrar Instancias por escenario, turno y targetId. Base separada del nivel visible.</x:v>
      </x:c>
    </x:row>
    <x:row r="681" ht="34" customHeight="1">
      <x:c r="A681" s="5" t="str">
        <x:v>S5_SEGURIDAD</x:v>
      </x:c>
      <x:c r="B681" s="5" t="n">
        <x:v>4</x:v>
      </x:c>
      <x:c r="C681" s="5" t="str">
        <x:v>seguridad</x:v>
      </x:c>
      <x:c r="D681" s="5" t="n">
        <x:f>$H$667</x:f>
        <x:v>45</x:v>
      </x:c>
      <x:c r="E681" s="5" t="n">
        <x:f>0+0</x:f>
        <x:v>0</x:v>
      </x:c>
      <x:c r="F681" s="5" t="n">
        <x:f>0</x:f>
        <x:v>0</x:v>
      </x:c>
      <x:c r="G681" s="5" t="n">
        <x:f>MAX(-'00_Arquitectura'!$B$106,MIN('00_Arquitectura'!$B$106,E681+F681))</x:f>
        <x:v>0</x:v>
      </x:c>
      <x:c r="H681" s="5" t="n">
        <x:f>MAX(0,MIN(100,D681+G681))</x:f>
        <x:v>45</x:v>
      </x:c>
      <x:c r="I681" s="5" t="n">
        <x:f>0</x:f>
        <x:v>0</x:v>
      </x:c>
      <x:c r="J681" s="5" t="n">
        <x:f>MAX(-'00_Arquitectura'!$B$107,MIN('00_Arquitectura'!$B$107,0))</x:f>
        <x:v>0</x:v>
      </x:c>
      <x:c r="K681" s="5" t="n">
        <x:f>MAX(0,MIN(100,H681+I681+J681))</x:f>
        <x:v>45</x:v>
      </x:c>
      <x:c r="L681" s="5" t="str">
        <x:v>Pulsos y offsets: filtrar Instancias por escenario, turno y targetId. Base separada del nivel visible.</x:v>
      </x:c>
    </x:row>
    <x:row r="682" ht="34" customHeight="1">
      <x:c r="A682" s="10" t="str">
        <x:v>S5_SEGURIDAD</x:v>
      </x:c>
      <x:c r="B682" s="10" t="n">
        <x:v>4</x:v>
      </x:c>
      <x:c r="C682" s="10" t="str">
        <x:v>ciencia</x:v>
      </x:c>
      <x:c r="D682" s="10" t="n">
        <x:f>$H$668</x:f>
        <x:v>40</x:v>
      </x:c>
      <x:c r="E682" s="10" t="n">
        <x:f>0+0</x:f>
        <x:v>0</x:v>
      </x:c>
      <x:c r="F682" s="10" t="n">
        <x:f>0</x:f>
        <x:v>0</x:v>
      </x:c>
      <x:c r="G682" s="10" t="n">
        <x:f>MAX(-'00_Arquitectura'!$B$106,MIN('00_Arquitectura'!$B$106,E682+F682))</x:f>
        <x:v>0</x:v>
      </x:c>
      <x:c r="H682" s="10" t="n">
        <x:f>MAX(0,MIN(100,D682+G682))</x:f>
        <x:v>40</x:v>
      </x:c>
      <x:c r="I682" s="10" t="n">
        <x:f>0</x:f>
        <x:v>0</x:v>
      </x:c>
      <x:c r="J682" s="10" t="n">
        <x:f>MAX(-'00_Arquitectura'!$B$107,MIN('00_Arquitectura'!$B$107,$J$1538))</x:f>
        <x:v>0</x:v>
      </x:c>
      <x:c r="K682" s="10" t="n">
        <x:f>MAX(0,MIN(100,H682+I682+J682))</x:f>
        <x:v>40</x:v>
      </x:c>
      <x:c r="L682" s="10" t="str">
        <x:v>Pulsos y offsets: filtrar Instancias por escenario, turno y targetId. Base separada del nivel visible.</x:v>
      </x:c>
    </x:row>
    <x:row r="683" ht="34" customHeight="1">
      <x:c r="A683" s="5" t="str">
        <x:v>S5_SEGURIDAD</x:v>
      </x:c>
      <x:c r="B683" s="5" t="n">
        <x:v>4</x:v>
      </x:c>
      <x:c r="C683" s="5" t="str">
        <x:v>derechos</x:v>
      </x:c>
      <x:c r="D683" s="5" t="n">
        <x:f>$H$669</x:f>
        <x:v>22</x:v>
      </x:c>
      <x:c r="E683" s="5" t="n">
        <x:f>0+0</x:f>
        <x:v>0</x:v>
      </x:c>
      <x:c r="F683" s="5" t="n">
        <x:f>0</x:f>
        <x:v>0</x:v>
      </x:c>
      <x:c r="G683" s="5" t="n">
        <x:f>MAX(-'00_Arquitectura'!$B$106,MIN('00_Arquitectura'!$B$106,E683+F683))</x:f>
        <x:v>0</x:v>
      </x:c>
      <x:c r="H683" s="5" t="n">
        <x:f>MAX(0,MIN(100,D683+G683))</x:f>
        <x:v>22</x:v>
      </x:c>
      <x:c r="I683" s="5" t="n">
        <x:f>0</x:f>
        <x:v>0</x:v>
      </x:c>
      <x:c r="J683" s="5" t="n">
        <x:f>MAX(-'00_Arquitectura'!$B$107,MIN('00_Arquitectura'!$B$107,0))</x:f>
        <x:v>0</x:v>
      </x:c>
      <x:c r="K683" s="5" t="n">
        <x:f>MAX(0,MIN(100,H683+I683+J683))</x:f>
        <x:v>22</x:v>
      </x:c>
      <x:c r="L683" s="5" t="str">
        <x:v>Pulsos y offsets: filtrar Instancias por escenario, turno y targetId. Base separada del nivel visible.</x:v>
      </x:c>
    </x:row>
    <x:row r="684" ht="34" customHeight="1">
      <x:c r="A684" s="10" t="str">
        <x:v>S5_SEGURIDAD</x:v>
      </x:c>
      <x:c r="B684" s="10" t="n">
        <x:v>4</x:v>
      </x:c>
      <x:c r="C684" s="10" t="str">
        <x:v>ambiente</x:v>
      </x:c>
      <x:c r="D684" s="10" t="n">
        <x:f>$H$670</x:f>
        <x:v>50</x:v>
      </x:c>
      <x:c r="E684" s="10" t="n">
        <x:f>0+0</x:f>
        <x:v>0</x:v>
      </x:c>
      <x:c r="F684" s="10" t="n">
        <x:f>0</x:f>
        <x:v>0</x:v>
      </x:c>
      <x:c r="G684" s="10" t="n">
        <x:f>MAX(-'00_Arquitectura'!$B$106,MIN('00_Arquitectura'!$B$106,E684+F684))</x:f>
        <x:v>0</x:v>
      </x:c>
      <x:c r="H684" s="10" t="n">
        <x:f>MAX(0,MIN(100,D684+G684))</x:f>
        <x:v>50</x:v>
      </x:c>
      <x:c r="I684" s="10" t="n">
        <x:f>0</x:f>
        <x:v>0</x:v>
      </x:c>
      <x:c r="J684" s="10" t="n">
        <x:f>MAX(-'00_Arquitectura'!$B$107,MIN('00_Arquitectura'!$B$107,0))</x:f>
        <x:v>0</x:v>
      </x:c>
      <x:c r="K684" s="10" t="n">
        <x:f>MAX(0,MIN(100,H684+I684+J684))</x:f>
        <x:v>50</x:v>
      </x:c>
      <x:c r="L684" s="10" t="str">
        <x:v>Pulsos y offsets: filtrar Instancias por escenario, turno y targetId. Base separada del nivel visible.</x:v>
      </x:c>
    </x:row>
    <x:row r="685" ht="42" customHeight="1">
      <x:c r="A685" s="5" t="str">
        <x:v>S5_SEGURIDAD</x:v>
      </x:c>
      <x:c r="B685" s="5" t="n">
        <x:v>5</x:v>
      </x:c>
      <x:c r="C685" s="5" t="str">
        <x:v>inflacion</x:v>
      </x:c>
      <x:c r="D685" s="5" t="n">
        <x:f>$H$671</x:f>
        <x:v>40</x:v>
      </x:c>
      <x:c r="E685" s="5" t="n">
        <x:f>0+0</x:f>
        <x:v>0</x:v>
      </x:c>
      <x:c r="F685" s="5" t="n">
        <x:f>-'00_Arquitectura'!$B$96*($H$671-40)</x:f>
        <x:v>0</x:v>
      </x:c>
      <x:c r="G685" s="5" t="n">
        <x:f>MAX(-'00_Arquitectura'!$B$106,MIN('00_Arquitectura'!$B$106,E685+F685))</x:f>
        <x:v>0</x:v>
      </x:c>
      <x:c r="H685" s="5" t="n">
        <x:f>MAX(0,MIN(100,D685+G685))</x:f>
        <x:v>40</x:v>
      </x:c>
      <x:c r="I685" s="5" t="n">
        <x:f>0</x:f>
        <x:v>0</x:v>
      </x:c>
      <x:c r="J685" s="5" t="n">
        <x:f>MAX(-'00_Arquitectura'!$B$107,MIN('00_Arquitectura'!$B$107,0))</x:f>
        <x:v>0</x:v>
      </x:c>
      <x:c r="K685" s="5" t="n">
        <x:f>MAX(0,MIN(100,H685+I685+J685))</x:f>
        <x:v>40</x:v>
      </x:c>
      <x:c r="L685" s="5" t="str">
        <x:v>Aplica link L01. Pulsos y offsets: filtrar Instancias por escenario, turno y targetId. Base separada del nivel visible.</x:v>
      </x:c>
    </x:row>
    <x:row r="686" ht="42" customHeight="1">
      <x:c r="A686" s="10" t="str">
        <x:v>S5_SEGURIDAD</x:v>
      </x:c>
      <x:c r="B686" s="10" t="n">
        <x:v>5</x:v>
      </x:c>
      <x:c r="C686" s="10" t="str">
        <x:v>actividad</x:v>
      </x:c>
      <x:c r="D686" s="10" t="n">
        <x:f>$H$672</x:f>
        <x:v>49.9952</x:v>
      </x:c>
      <x:c r="E686" s="10" t="n">
        <x:f>0+0</x:f>
        <x:v>0</x:v>
      </x:c>
      <x:c r="F686" s="10" t="n">
        <x:f>-'00_Arquitectura'!$B$97*($H$672-50)+'00_Arquitectura'!$B$98*($K$674-45)+'00_Arquitectura'!$B$99*($K$677-45)+'00_Arquitectura'!$B$100*($K$676-45)</x:f>
        <x:v>-0.0031199999999995498</x:v>
      </x:c>
      <x:c r="G686" s="10" t="n">
        <x:f>MAX(-'00_Arquitectura'!$B$106,MIN('00_Arquitectura'!$B$106,E686+F686))</x:f>
        <x:v>-0.0031199999999995498</x:v>
      </x:c>
      <x:c r="H686" s="10" t="n">
        <x:f>MAX(0,MIN(100,D686+G686))</x:f>
        <x:v>49.992079999999994</x:v>
      </x:c>
      <x:c r="I686" s="10" t="n">
        <x:f>0</x:f>
        <x:v>0</x:v>
      </x:c>
      <x:c r="J686" s="10" t="n">
        <x:f>MAX(-'00_Arquitectura'!$B$107,MIN('00_Arquitectura'!$B$107,$J$1547+$J$1550+$J$1551))</x:f>
        <x:v>0</x:v>
      </x:c>
      <x:c r="K686" s="10" t="n">
        <x:f>MAX(0,MIN(100,H686+I686+J686))</x:f>
        <x:v>49.992079999999994</x:v>
      </x:c>
      <x:c r="L686" s="10" t="str">
        <x:v>Aplica link L02. Pulsos y offsets: filtrar Instancias por escenario, turno y targetId. Base separada del nivel visible.</x:v>
      </x:c>
    </x:row>
    <x:row r="687" ht="42" customHeight="1">
      <x:c r="A687" s="5" t="str">
        <x:v>S5_SEGURIDAD</x:v>
      </x:c>
      <x:c r="B687" s="5" t="n">
        <x:v>5</x:v>
      </x:c>
      <x:c r="C687" s="5" t="str">
        <x:v>ingreso_real</x:v>
      </x:c>
      <x:c r="D687" s="5" t="n">
        <x:f>$H$673</x:f>
        <x:v>45</x:v>
      </x:c>
      <x:c r="E687" s="5" t="n">
        <x:f>0+0</x:f>
        <x:v>0</x:v>
      </x:c>
      <x:c r="F687" s="5" t="n">
        <x:f>'00_Arquitectura'!$B$101*($K$672-$K$658)+'00_Arquitectura'!$B$102*($K$671-$K$657)</x:f>
        <x:v>-0.0007200000000004536</x:v>
      </x:c>
      <x:c r="G687" s="5" t="n">
        <x:f>MAX(-'00_Arquitectura'!$B$106,MIN('00_Arquitectura'!$B$106,E687+F687))</x:f>
        <x:v>-0.0007200000000004536</x:v>
      </x:c>
      <x:c r="H687" s="5" t="n">
        <x:f>MAX(0,MIN(100,D687+G687))</x:f>
        <x:v>44.99928</x:v>
      </x:c>
      <x:c r="I687" s="5" t="n">
        <x:f>0</x:f>
        <x:v>0</x:v>
      </x:c>
      <x:c r="J687" s="5" t="n">
        <x:f>MAX(-'00_Arquitectura'!$B$107,MIN('00_Arquitectura'!$B$107,0))</x:f>
        <x:v>0</x:v>
      </x:c>
      <x:c r="K687" s="5" t="n">
        <x:f>MAX(0,MIN(100,H687+I687+J687))</x:f>
        <x:v>44.99928</x:v>
      </x:c>
      <x:c r="L687" s="5" t="str">
        <x:v>Aplica link L03. Pulsos y offsets: filtrar Instancias por escenario, turno y targetId. Base separada del nivel visible.</x:v>
      </x:c>
    </x:row>
    <x:row r="688" ht="42" customHeight="1">
      <x:c r="A688" s="10" t="str">
        <x:v>S5_SEGURIDAD</x:v>
      </x:c>
      <x:c r="B688" s="10" t="n">
        <x:v>5</x:v>
      </x:c>
      <x:c r="C688" s="10" t="str">
        <x:v>credito</x:v>
      </x:c>
      <x:c r="D688" s="10" t="n">
        <x:f>$H$674</x:f>
        <x:v>44.949</x:v>
      </x:c>
      <x:c r="E688" s="10" t="n">
        <x:f>0+0</x:f>
        <x:v>0</x:v>
      </x:c>
      <x:c r="F688" s="10" t="n">
        <x:f>-'00_Arquitectura'!$B$103*($H$674-45)+'00_Arquitectura'!$B$104*($K$671-$K$657)+'00_Arquitectura'!$B$105*($K$675-'00_Arquitectura'!$B$117)</x:f>
        <x:v>0.007650000000000289</x:v>
      </x:c>
      <x:c r="G688" s="10" t="n">
        <x:f>MAX(-'00_Arquitectura'!$B$106,MIN('00_Arquitectura'!$B$106,E688+F688))</x:f>
        <x:v>0.007650000000000289</x:v>
      </x:c>
      <x:c r="H688" s="10" t="n">
        <x:f>MAX(0,MIN(100,D688+G688))</x:f>
        <x:v>44.956649999999996</x:v>
      </x:c>
      <x:c r="I688" s="10" t="n">
        <x:f>0</x:f>
        <x:v>0</x:v>
      </x:c>
      <x:c r="J688" s="10" t="n">
        <x:f>MAX(-'00_Arquitectura'!$B$107,MIN('00_Arquitectura'!$B$107,$J$1549))</x:f>
        <x:v>0</x:v>
      </x:c>
      <x:c r="K688" s="10" t="n">
        <x:f>MAX(0,MIN(100,H688+I688+J688))</x:f>
        <x:v>44.956649999999996</x:v>
      </x:c>
      <x:c r="L688" s="10" t="str">
        <x:v>Aplica link L04. Pulsos y offsets: filtrar Instancias por escenario, turno y targetId. Base separada del nivel visible.</x:v>
      </x:c>
    </x:row>
    <x:row r="689" ht="34" customHeight="1">
      <x:c r="A689" s="5" t="str">
        <x:v>S5_SEGURIDAD</x:v>
      </x:c>
      <x:c r="B689" s="5" t="n">
        <x:v>5</x:v>
      </x:c>
      <x:c r="C689" s="5" t="str">
        <x:v>fiscal</x:v>
      </x:c>
      <x:c r="D689" s="5" t="n">
        <x:f>$H$675</x:f>
        <x:v>58</x:v>
      </x:c>
      <x:c r="E689" s="5" t="n">
        <x:f>0+0</x:f>
        <x:v>0</x:v>
      </x:c>
      <x:c r="F689" s="5" t="n">
        <x:f>0</x:f>
        <x:v>0</x:v>
      </x:c>
      <x:c r="G689" s="5" t="n">
        <x:f>MAX(-'00_Arquitectura'!$B$106,MIN('00_Arquitectura'!$B$106,E689+F689))</x:f>
        <x:v>0</x:v>
      </x:c>
      <x:c r="H689" s="5" t="n">
        <x:f>$O$59</x:f>
        <x:v>59.99904</x:v>
      </x:c>
      <x:c r="I689" s="5" t="n">
        <x:f>0</x:f>
        <x:v>0</x:v>
      </x:c>
      <x:c r="J689" s="5" t="n">
        <x:f>MAX(-'00_Arquitectura'!$B$107,MIN('00_Arquitectura'!$B$107,0))</x:f>
        <x:v>0</x:v>
      </x:c>
      <x:c r="K689" s="5" t="n">
        <x:f>MAX(0,MIN(100,H689+I689+J689))</x:f>
        <x:v>59.99904</x:v>
      </x:c>
      <x:c r="L689" s="5" t="str">
        <x:v>Derivado de caja: ingreso recurrente, gasto, intereses y deuda. Nunca SUM de efectos fiscales directos.</x:v>
      </x:c>
    </x:row>
    <x:row r="690" ht="34" customHeight="1">
      <x:c r="A690" s="10" t="str">
        <x:v>S5_SEGURIDAD</x:v>
      </x:c>
      <x:c r="B690" s="10" t="n">
        <x:v>5</x:v>
      </x:c>
      <x:c r="C690" s="10" t="str">
        <x:v>externo</x:v>
      </x:c>
      <x:c r="D690" s="10" t="n">
        <x:f>$H$676</x:f>
        <x:v>45</x:v>
      </x:c>
      <x:c r="E690" s="10" t="n">
        <x:f>0+0</x:f>
        <x:v>0</x:v>
      </x:c>
      <x:c r="F690" s="10" t="n">
        <x:f>0</x:f>
        <x:v>0</x:v>
      </x:c>
      <x:c r="G690" s="10" t="n">
        <x:f>MAX(-'00_Arquitectura'!$B$106,MIN('00_Arquitectura'!$B$106,E690+F690))</x:f>
        <x:v>0</x:v>
      </x:c>
      <x:c r="H690" s="10" t="n">
        <x:f>MAX(0,MIN(100,D690+G690))</x:f>
        <x:v>45</x:v>
      </x:c>
      <x:c r="I690" s="10" t="n">
        <x:f>0</x:f>
        <x:v>0</x:v>
      </x:c>
      <x:c r="J690" s="10" t="n">
        <x:f>MAX(-'00_Arquitectura'!$B$107,MIN('00_Arquitectura'!$B$107,$J$1548))</x:f>
        <x:v>0</x:v>
      </x:c>
      <x:c r="K690" s="10" t="n">
        <x:f>MAX(0,MIN(100,H690+I690+J690))</x:f>
        <x:v>45</x:v>
      </x:c>
      <x:c r="L690" s="10" t="str">
        <x:v>Pulsos y offsets: filtrar Instancias por escenario, turno y targetId. Base separada del nivel visible.</x:v>
      </x:c>
    </x:row>
    <x:row r="691" ht="34" customHeight="1">
      <x:c r="A691" s="5" t="str">
        <x:v>S5_SEGURIDAD</x:v>
      </x:c>
      <x:c r="B691" s="5" t="n">
        <x:v>5</x:v>
      </x:c>
      <x:c r="C691" s="5" t="str">
        <x:v>infraestructura</x:v>
      </x:c>
      <x:c r="D691" s="5" t="n">
        <x:f>$H$677</x:f>
        <x:v>45</x:v>
      </x:c>
      <x:c r="E691" s="5" t="n">
        <x:f>0+0</x:f>
        <x:v>0</x:v>
      </x:c>
      <x:c r="F691" s="5" t="n">
        <x:f>0</x:f>
        <x:v>0</x:v>
      </x:c>
      <x:c r="G691" s="5" t="n">
        <x:f>MAX(-'00_Arquitectura'!$B$106,MIN('00_Arquitectura'!$B$106,E691+F691))</x:f>
        <x:v>0</x:v>
      </x:c>
      <x:c r="H691" s="5" t="n">
        <x:f>MAX(0,MIN(100,D691+G691))</x:f>
        <x:v>45</x:v>
      </x:c>
      <x:c r="I691" s="5" t="n">
        <x:f>0</x:f>
        <x:v>0</x:v>
      </x:c>
      <x:c r="J691" s="5" t="n">
        <x:f>MAX(-'00_Arquitectura'!$B$107,MIN('00_Arquitectura'!$B$107,0))</x:f>
        <x:v>0</x:v>
      </x:c>
      <x:c r="K691" s="5" t="n">
        <x:f>MAX(0,MIN(100,H691+I691+J691))</x:f>
        <x:v>45</x:v>
      </x:c>
      <x:c r="L691" s="5" t="str">
        <x:v>Pulsos y offsets: filtrar Instancias por escenario, turno y targetId. Base separada del nivel visible.</x:v>
      </x:c>
    </x:row>
    <x:row r="692" ht="34" customHeight="1">
      <x:c r="A692" s="10" t="str">
        <x:v>S5_SEGURIDAD</x:v>
      </x:c>
      <x:c r="B692" s="10" t="n">
        <x:v>5</x:v>
      </x:c>
      <x:c r="C692" s="10" t="str">
        <x:v>educacion</x:v>
      </x:c>
      <x:c r="D692" s="10" t="n">
        <x:f>$H$678</x:f>
        <x:v>50</x:v>
      </x:c>
      <x:c r="E692" s="10" t="n">
        <x:f>0+0</x:f>
        <x:v>0</x:v>
      </x:c>
      <x:c r="F692" s="10" t="n">
        <x:f>0</x:f>
        <x:v>0</x:v>
      </x:c>
      <x:c r="G692" s="10" t="n">
        <x:f>MAX(-'00_Arquitectura'!$B$106,MIN('00_Arquitectura'!$B$106,E692+F692))</x:f>
        <x:v>0</x:v>
      </x:c>
      <x:c r="H692" s="10" t="n">
        <x:f>MAX(0,MIN(100,D692+G692))</x:f>
        <x:v>50</x:v>
      </x:c>
      <x:c r="I692" s="10" t="n">
        <x:f>0</x:f>
        <x:v>0</x:v>
      </x:c>
      <x:c r="J692" s="10" t="n">
        <x:f>MAX(-'00_Arquitectura'!$B$107,MIN('00_Arquitectura'!$B$107,$J$1555))</x:f>
        <x:v>0</x:v>
      </x:c>
      <x:c r="K692" s="10" t="n">
        <x:f>MAX(0,MIN(100,H692+I692+J692))</x:f>
        <x:v>50</x:v>
      </x:c>
      <x:c r="L692" s="10" t="str">
        <x:v>Pulsos y offsets: filtrar Instancias por escenario, turno y targetId. Base separada del nivel visible.</x:v>
      </x:c>
    </x:row>
    <x:row r="693" ht="34" customHeight="1">
      <x:c r="A693" s="5" t="str">
        <x:v>S5_SEGURIDAD</x:v>
      </x:c>
      <x:c r="B693" s="5" t="n">
        <x:v>5</x:v>
      </x:c>
      <x:c r="C693" s="5" t="str">
        <x:v>salud</x:v>
      </x:c>
      <x:c r="D693" s="5" t="n">
        <x:f>$H$679</x:f>
        <x:v>50</x:v>
      </x:c>
      <x:c r="E693" s="5" t="n">
        <x:f>0+0</x:f>
        <x:v>0</x:v>
      </x:c>
      <x:c r="F693" s="5" t="n">
        <x:f>0</x:f>
        <x:v>0</x:v>
      </x:c>
      <x:c r="G693" s="5" t="n">
        <x:f>MAX(-'00_Arquitectura'!$B$106,MIN('00_Arquitectura'!$B$106,E693+F693))</x:f>
        <x:v>0</x:v>
      </x:c>
      <x:c r="H693" s="5" t="n">
        <x:f>MAX(0,MIN(100,D693+G693))</x:f>
        <x:v>50</x:v>
      </x:c>
      <x:c r="I693" s="5" t="n">
        <x:f>0</x:f>
        <x:v>0</x:v>
      </x:c>
      <x:c r="J693" s="5" t="n">
        <x:f>MAX(-'00_Arquitectura'!$B$107,MIN('00_Arquitectura'!$B$107,0))</x:f>
        <x:v>0</x:v>
      </x:c>
      <x:c r="K693" s="5" t="n">
        <x:f>MAX(0,MIN(100,H693+I693+J693))</x:f>
        <x:v>50</x:v>
      </x:c>
      <x:c r="L693" s="5" t="str">
        <x:v>Pulsos y offsets: filtrar Instancias por escenario, turno y targetId. Base separada del nivel visible.</x:v>
      </x:c>
    </x:row>
    <x:row r="694" ht="34" customHeight="1">
      <x:c r="A694" s="10" t="str">
        <x:v>S5_SEGURIDAD</x:v>
      </x:c>
      <x:c r="B694" s="10" t="n">
        <x:v>5</x:v>
      </x:c>
      <x:c r="C694" s="10" t="str">
        <x:v>proteccion</x:v>
      </x:c>
      <x:c r="D694" s="10" t="n">
        <x:f>$H$680</x:f>
        <x:v>45</x:v>
      </x:c>
      <x:c r="E694" s="10" t="n">
        <x:f>0+0</x:f>
        <x:v>0</x:v>
      </x:c>
      <x:c r="F694" s="10" t="n">
        <x:f>0</x:f>
        <x:v>0</x:v>
      </x:c>
      <x:c r="G694" s="10" t="n">
        <x:f>MAX(-'00_Arquitectura'!$B$106,MIN('00_Arquitectura'!$B$106,E694+F694))</x:f>
        <x:v>0</x:v>
      </x:c>
      <x:c r="H694" s="10" t="n">
        <x:f>MAX(0,MIN(100,D694+G694))</x:f>
        <x:v>45</x:v>
      </x:c>
      <x:c r="I694" s="10" t="n">
        <x:f>0</x:f>
        <x:v>0</x:v>
      </x:c>
      <x:c r="J694" s="10" t="n">
        <x:f>MAX(-'00_Arquitectura'!$B$107,MIN('00_Arquitectura'!$B$107,$J$1553+$J$1557))</x:f>
        <x:v>0</x:v>
      </x:c>
      <x:c r="K694" s="10" t="n">
        <x:f>MAX(0,MIN(100,H694+I694+J694))</x:f>
        <x:v>45</x:v>
      </x:c>
      <x:c r="L694" s="10" t="str">
        <x:v>Pulsos y offsets: filtrar Instancias por escenario, turno y targetId. Base separada del nivel visible.</x:v>
      </x:c>
    </x:row>
    <x:row r="695" ht="34" customHeight="1">
      <x:c r="A695" s="5" t="str">
        <x:v>S5_SEGURIDAD</x:v>
      </x:c>
      <x:c r="B695" s="5" t="n">
        <x:v>5</x:v>
      </x:c>
      <x:c r="C695" s="5" t="str">
        <x:v>seguridad</x:v>
      </x:c>
      <x:c r="D695" s="5" t="n">
        <x:f>$H$681</x:f>
        <x:v>45</x:v>
      </x:c>
      <x:c r="E695" s="5" t="n">
        <x:f>0+0</x:f>
        <x:v>0</x:v>
      </x:c>
      <x:c r="F695" s="5" t="n">
        <x:f>0</x:f>
        <x:v>0</x:v>
      </x:c>
      <x:c r="G695" s="5" t="n">
        <x:f>MAX(-'00_Arquitectura'!$B$106,MIN('00_Arquitectura'!$B$106,E695+F695))</x:f>
        <x:v>0</x:v>
      </x:c>
      <x:c r="H695" s="5" t="n">
        <x:f>MAX(0,MIN(100,D695+G695))</x:f>
        <x:v>45</x:v>
      </x:c>
      <x:c r="I695" s="5" t="n">
        <x:f>SUM($I$1747)</x:f>
        <x:v>4.25</x:v>
      </x:c>
      <x:c r="J695" s="5" t="n">
        <x:f>MAX(-'00_Arquitectura'!$B$107,MIN('00_Arquitectura'!$B$107,0))</x:f>
        <x:v>0</x:v>
      </x:c>
      <x:c r="K695" s="5" t="n">
        <x:f>MAX(0,MIN(100,H695+I695+J695))</x:f>
        <x:v>49.25</x:v>
      </x:c>
      <x:c r="L695" s="5" t="str">
        <x:v>Pulsos y offsets: filtrar Instancias por escenario, turno y targetId. Base separada del nivel visible.</x:v>
      </x:c>
    </x:row>
    <x:row r="696" ht="34" customHeight="1">
      <x:c r="A696" s="10" t="str">
        <x:v>S5_SEGURIDAD</x:v>
      </x:c>
      <x:c r="B696" s="10" t="n">
        <x:v>5</x:v>
      </x:c>
      <x:c r="C696" s="10" t="str">
        <x:v>ciencia</x:v>
      </x:c>
      <x:c r="D696" s="10" t="n">
        <x:f>$H$682</x:f>
        <x:v>40</x:v>
      </x:c>
      <x:c r="E696" s="10" t="n">
        <x:f>0+0</x:f>
        <x:v>0</x:v>
      </x:c>
      <x:c r="F696" s="10" t="n">
        <x:f>0</x:f>
        <x:v>0</x:v>
      </x:c>
      <x:c r="G696" s="10" t="n">
        <x:f>MAX(-'00_Arquitectura'!$B$106,MIN('00_Arquitectura'!$B$106,E696+F696))</x:f>
        <x:v>0</x:v>
      </x:c>
      <x:c r="H696" s="10" t="n">
        <x:f>MAX(0,MIN(100,D696+G696))</x:f>
        <x:v>40</x:v>
      </x:c>
      <x:c r="I696" s="10" t="n">
        <x:f>0</x:f>
        <x:v>0</x:v>
      </x:c>
      <x:c r="J696" s="10" t="n">
        <x:f>MAX(-'00_Arquitectura'!$B$107,MIN('00_Arquitectura'!$B$107,$J$1556))</x:f>
        <x:v>0</x:v>
      </x:c>
      <x:c r="K696" s="10" t="n">
        <x:f>MAX(0,MIN(100,H696+I696+J696))</x:f>
        <x:v>40</x:v>
      </x:c>
      <x:c r="L696" s="10" t="str">
        <x:v>Pulsos y offsets: filtrar Instancias por escenario, turno y targetId. Base separada del nivel visible.</x:v>
      </x:c>
    </x:row>
    <x:row r="697" ht="34" customHeight="1">
      <x:c r="A697" s="5" t="str">
        <x:v>S5_SEGURIDAD</x:v>
      </x:c>
      <x:c r="B697" s="5" t="n">
        <x:v>5</x:v>
      </x:c>
      <x:c r="C697" s="5" t="str">
        <x:v>derechos</x:v>
      </x:c>
      <x:c r="D697" s="5" t="n">
        <x:f>$H$683</x:f>
        <x:v>22</x:v>
      </x:c>
      <x:c r="E697" s="5" t="n">
        <x:f>0+0</x:f>
        <x:v>0</x:v>
      </x:c>
      <x:c r="F697" s="5" t="n">
        <x:f>0</x:f>
        <x:v>0</x:v>
      </x:c>
      <x:c r="G697" s="5" t="n">
        <x:f>MAX(-'00_Arquitectura'!$B$106,MIN('00_Arquitectura'!$B$106,E697+F697))</x:f>
        <x:v>0</x:v>
      </x:c>
      <x:c r="H697" s="5" t="n">
        <x:f>MAX(0,MIN(100,D697+G697))</x:f>
        <x:v>22</x:v>
      </x:c>
      <x:c r="I697" s="5" t="n">
        <x:f>0</x:f>
        <x:v>0</x:v>
      </x:c>
      <x:c r="J697" s="5" t="n">
        <x:f>MAX(-'00_Arquitectura'!$B$107,MIN('00_Arquitectura'!$B$107,0))</x:f>
        <x:v>0</x:v>
      </x:c>
      <x:c r="K697" s="5" t="n">
        <x:f>MAX(0,MIN(100,H697+I697+J697))</x:f>
        <x:v>22</x:v>
      </x:c>
      <x:c r="L697" s="5" t="str">
        <x:v>Pulsos y offsets: filtrar Instancias por escenario, turno y targetId. Base separada del nivel visible.</x:v>
      </x:c>
    </x:row>
    <x:row r="698" ht="34" customHeight="1">
      <x:c r="A698" s="10" t="str">
        <x:v>S5_SEGURIDAD</x:v>
      </x:c>
      <x:c r="B698" s="10" t="n">
        <x:v>5</x:v>
      </x:c>
      <x:c r="C698" s="10" t="str">
        <x:v>ambiente</x:v>
      </x:c>
      <x:c r="D698" s="10" t="n">
        <x:f>$H$684</x:f>
        <x:v>50</x:v>
      </x:c>
      <x:c r="E698" s="10" t="n">
        <x:f>0+0</x:f>
        <x:v>0</x:v>
      </x:c>
      <x:c r="F698" s="10" t="n">
        <x:f>0</x:f>
        <x:v>0</x:v>
      </x:c>
      <x:c r="G698" s="10" t="n">
        <x:f>MAX(-'00_Arquitectura'!$B$106,MIN('00_Arquitectura'!$B$106,E698+F698))</x:f>
        <x:v>0</x:v>
      </x:c>
      <x:c r="H698" s="10" t="n">
        <x:f>MAX(0,MIN(100,D698+G698))</x:f>
        <x:v>50</x:v>
      </x:c>
      <x:c r="I698" s="10" t="n">
        <x:f>0</x:f>
        <x:v>0</x:v>
      </x:c>
      <x:c r="J698" s="10" t="n">
        <x:f>MAX(-'00_Arquitectura'!$B$107,MIN('00_Arquitectura'!$B$107,0))</x:f>
        <x:v>0</x:v>
      </x:c>
      <x:c r="K698" s="10" t="n">
        <x:f>MAX(0,MIN(100,H698+I698+J698))</x:f>
        <x:v>50</x:v>
      </x:c>
      <x:c r="L698" s="10" t="str">
        <x:v>Pulsos y offsets: filtrar Instancias por escenario, turno y targetId. Base separada del nivel visible.</x:v>
      </x:c>
    </x:row>
    <x:row r="699" ht="42" customHeight="1">
      <x:c r="A699" s="5" t="str">
        <x:v>S5_SEGURIDAD</x:v>
      </x:c>
      <x:c r="B699" s="5" t="n">
        <x:v>6</x:v>
      </x:c>
      <x:c r="C699" s="5" t="str">
        <x:v>inflacion</x:v>
      </x:c>
      <x:c r="D699" s="5" t="n">
        <x:f>$H$685</x:f>
        <x:v>40</x:v>
      </x:c>
      <x:c r="E699" s="5" t="n">
        <x:f>0+0</x:f>
        <x:v>0</x:v>
      </x:c>
      <x:c r="F699" s="5" t="n">
        <x:f>-'00_Arquitectura'!$B$96*($H$685-40)</x:f>
        <x:v>0</x:v>
      </x:c>
      <x:c r="G699" s="5" t="n">
        <x:f>MAX(-'00_Arquitectura'!$B$106,MIN('00_Arquitectura'!$B$106,E699+F699))</x:f>
        <x:v>0</x:v>
      </x:c>
      <x:c r="H699" s="5" t="n">
        <x:f>MAX(0,MIN(100,D699+G699))</x:f>
        <x:v>40</x:v>
      </x:c>
      <x:c r="I699" s="5" t="n">
        <x:f>0</x:f>
        <x:v>0</x:v>
      </x:c>
      <x:c r="J699" s="5" t="n">
        <x:f>MAX(-'00_Arquitectura'!$B$107,MIN('00_Arquitectura'!$B$107,0))</x:f>
        <x:v>0</x:v>
      </x:c>
      <x:c r="K699" s="5" t="n">
        <x:f>MAX(0,MIN(100,H699+I699+J699))</x:f>
        <x:v>40</x:v>
      </x:c>
      <x:c r="L699" s="5" t="str">
        <x:v>Aplica link L01. Pulsos y offsets: filtrar Instancias por escenario, turno y targetId. Base separada del nivel visible.</x:v>
      </x:c>
    </x:row>
    <x:row r="700" ht="42" customHeight="1">
      <x:c r="A700" s="10" t="str">
        <x:v>S5_SEGURIDAD</x:v>
      </x:c>
      <x:c r="B700" s="10" t="n">
        <x:v>6</x:v>
      </x:c>
      <x:c r="C700" s="10" t="str">
        <x:v>actividad</x:v>
      </x:c>
      <x:c r="D700" s="10" t="n">
        <x:f>$H$686</x:f>
        <x:v>49.992079999999994</x:v>
      </x:c>
      <x:c r="E700" s="10" t="n">
        <x:f>0+0</x:f>
        <x:v>0</x:v>
      </x:c>
      <x:c r="F700" s="10" t="n">
        <x:f>-'00_Arquitectura'!$B$97*($H$686-50)+'00_Arquitectura'!$B$98*($K$688-45)+'00_Arquitectura'!$B$99*($K$691-45)+'00_Arquitectura'!$B$100*($K$690-45)</x:f>
        <x:v>-0.001883999999999162</x:v>
      </x:c>
      <x:c r="G700" s="10" t="n">
        <x:f>MAX(-'00_Arquitectura'!$B$106,MIN('00_Arquitectura'!$B$106,E700+F700))</x:f>
        <x:v>-0.001883999999999162</x:v>
      </x:c>
      <x:c r="H700" s="10" t="n">
        <x:f>MAX(0,MIN(100,D700+G700))</x:f>
        <x:v>49.990196</x:v>
      </x:c>
      <x:c r="I700" s="10" t="n">
        <x:f>0</x:f>
        <x:v>0</x:v>
      </x:c>
      <x:c r="J700" s="10" t="n">
        <x:f>MAX(-'00_Arquitectura'!$B$107,MIN('00_Arquitectura'!$B$107,$J$1565+$J$1568+$J$1569))</x:f>
        <x:v>0</x:v>
      </x:c>
      <x:c r="K700" s="10" t="n">
        <x:f>MAX(0,MIN(100,H700+I700+J700))</x:f>
        <x:v>49.990196</x:v>
      </x:c>
      <x:c r="L700" s="10" t="str">
        <x:v>Aplica link L02. Pulsos y offsets: filtrar Instancias por escenario, turno y targetId. Base separada del nivel visible.</x:v>
      </x:c>
    </x:row>
    <x:row r="701" ht="42" customHeight="1">
      <x:c r="A701" s="5" t="str">
        <x:v>S5_SEGURIDAD</x:v>
      </x:c>
      <x:c r="B701" s="5" t="n">
        <x:v>6</x:v>
      </x:c>
      <x:c r="C701" s="5" t="str">
        <x:v>ingreso_real</x:v>
      </x:c>
      <x:c r="D701" s="5" t="n">
        <x:f>$H$687</x:f>
        <x:v>44.99928</x:v>
      </x:c>
      <x:c r="E701" s="5" t="n">
        <x:f>0+0</x:f>
        <x:v>0</x:v>
      </x:c>
      <x:c r="F701" s="5" t="n">
        <x:f>'00_Arquitectura'!$B$101*($K$686-$K$672)+'00_Arquitectura'!$B$102*($K$685-$K$671)</x:f>
        <x:v>-0.0004680000000004014</x:v>
      </x:c>
      <x:c r="G701" s="5" t="n">
        <x:f>MAX(-'00_Arquitectura'!$B$106,MIN('00_Arquitectura'!$B$106,E701+F701))</x:f>
        <x:v>-0.0004680000000004014</x:v>
      </x:c>
      <x:c r="H701" s="5" t="n">
        <x:f>MAX(0,MIN(100,D701+G701))</x:f>
        <x:v>44.998812</x:v>
      </x:c>
      <x:c r="I701" s="5" t="n">
        <x:f>0</x:f>
        <x:v>0</x:v>
      </x:c>
      <x:c r="J701" s="5" t="n">
        <x:f>MAX(-'00_Arquitectura'!$B$107,MIN('00_Arquitectura'!$B$107,0))</x:f>
        <x:v>0</x:v>
      </x:c>
      <x:c r="K701" s="5" t="n">
        <x:f>MAX(0,MIN(100,H701+I701+J701))</x:f>
        <x:v>44.998812</x:v>
      </x:c>
      <x:c r="L701" s="5" t="str">
        <x:v>Aplica link L03. Pulsos y offsets: filtrar Instancias por escenario, turno y targetId. Base separada del nivel visible.</x:v>
      </x:c>
    </x:row>
    <x:row r="702" ht="42" customHeight="1">
      <x:c r="A702" s="10" t="str">
        <x:v>S5_SEGURIDAD</x:v>
      </x:c>
      <x:c r="B702" s="10" t="n">
        <x:v>6</x:v>
      </x:c>
      <x:c r="C702" s="10" t="str">
        <x:v>credito</x:v>
      </x:c>
      <x:c r="D702" s="10" t="n">
        <x:f>$H$688</x:f>
        <x:v>44.956649999999996</x:v>
      </x:c>
      <x:c r="E702" s="10" t="n">
        <x:f>0+0</x:f>
        <x:v>0</x:v>
      </x:c>
      <x:c r="F702" s="10" t="n">
        <x:f>-'00_Arquitectura'!$B$103*($H$688-45)+'00_Arquitectura'!$B$104*($K$685-$K$671)+'00_Arquitectura'!$B$105*($K$689-'00_Arquitectura'!$B$117)</x:f>
        <x:v>0.04648330000000058</x:v>
      </x:c>
      <x:c r="G702" s="10" t="n">
        <x:f>MAX(-'00_Arquitectura'!$B$106,MIN('00_Arquitectura'!$B$106,E702+F702))</x:f>
        <x:v>0.04648330000000058</x:v>
      </x:c>
      <x:c r="H702" s="10" t="n">
        <x:f>MAX(0,MIN(100,D702+G702))</x:f>
        <x:v>45.003133299999995</x:v>
      </x:c>
      <x:c r="I702" s="10" t="n">
        <x:f>0</x:f>
        <x:v>0</x:v>
      </x:c>
      <x:c r="J702" s="10" t="n">
        <x:f>MAX(-'00_Arquitectura'!$B$107,MIN('00_Arquitectura'!$B$107,$J$1567))</x:f>
        <x:v>0</x:v>
      </x:c>
      <x:c r="K702" s="10" t="n">
        <x:f>MAX(0,MIN(100,H702+I702+J702))</x:f>
        <x:v>45.003133299999995</x:v>
      </x:c>
      <x:c r="L702" s="10" t="str">
        <x:v>Aplica link L04. Pulsos y offsets: filtrar Instancias por escenario, turno y targetId. Base separada del nivel visible.</x:v>
      </x:c>
    </x:row>
    <x:row r="703" ht="34" customHeight="1">
      <x:c r="A703" s="5" t="str">
        <x:v>S5_SEGURIDAD</x:v>
      </x:c>
      <x:c r="B703" s="5" t="n">
        <x:v>6</x:v>
      </x:c>
      <x:c r="C703" s="5" t="str">
        <x:v>fiscal</x:v>
      </x:c>
      <x:c r="D703" s="5" t="n">
        <x:f>$H$689</x:f>
        <x:v>59.99904</x:v>
      </x:c>
      <x:c r="E703" s="5" t="n">
        <x:f>0+0</x:f>
        <x:v>0</x:v>
      </x:c>
      <x:c r="F703" s="5" t="n">
        <x:f>0</x:f>
        <x:v>0</x:v>
      </x:c>
      <x:c r="G703" s="5" t="n">
        <x:f>MAX(-'00_Arquitectura'!$B$106,MIN('00_Arquitectura'!$B$106,E703+F703))</x:f>
        <x:v>0</x:v>
      </x:c>
      <x:c r="H703" s="5" t="n">
        <x:f>$O$60</x:f>
        <x:v>56.998416</x:v>
      </x:c>
      <x:c r="I703" s="5" t="n">
        <x:f>0</x:f>
        <x:v>0</x:v>
      </x:c>
      <x:c r="J703" s="5" t="n">
        <x:f>MAX(-'00_Arquitectura'!$B$107,MIN('00_Arquitectura'!$B$107,0))</x:f>
        <x:v>0</x:v>
      </x:c>
      <x:c r="K703" s="5" t="n">
        <x:f>MAX(0,MIN(100,H703+I703+J703))</x:f>
        <x:v>56.998416</x:v>
      </x:c>
      <x:c r="L703" s="5" t="str">
        <x:v>Derivado de caja: ingreso recurrente, gasto, intereses y deuda. Nunca SUM de efectos fiscales directos.</x:v>
      </x:c>
    </x:row>
    <x:row r="704" ht="34" customHeight="1">
      <x:c r="A704" s="10" t="str">
        <x:v>S5_SEGURIDAD</x:v>
      </x:c>
      <x:c r="B704" s="10" t="n">
        <x:v>6</x:v>
      </x:c>
      <x:c r="C704" s="10" t="str">
        <x:v>externo</x:v>
      </x:c>
      <x:c r="D704" s="10" t="n">
        <x:f>$H$690</x:f>
        <x:v>45</x:v>
      </x:c>
      <x:c r="E704" s="10" t="n">
        <x:f>0+0</x:f>
        <x:v>0</x:v>
      </x:c>
      <x:c r="F704" s="10" t="n">
        <x:f>0</x:f>
        <x:v>0</x:v>
      </x:c>
      <x:c r="G704" s="10" t="n">
        <x:f>MAX(-'00_Arquitectura'!$B$106,MIN('00_Arquitectura'!$B$106,E704+F704))</x:f>
        <x:v>0</x:v>
      </x:c>
      <x:c r="H704" s="10" t="n">
        <x:f>MAX(0,MIN(100,D704+G704))</x:f>
        <x:v>45</x:v>
      </x:c>
      <x:c r="I704" s="10" t="n">
        <x:f>0</x:f>
        <x:v>0</x:v>
      </x:c>
      <x:c r="J704" s="10" t="n">
        <x:f>MAX(-'00_Arquitectura'!$B$107,MIN('00_Arquitectura'!$B$107,$J$1566))</x:f>
        <x:v>0</x:v>
      </x:c>
      <x:c r="K704" s="10" t="n">
        <x:f>MAX(0,MIN(100,H704+I704+J704))</x:f>
        <x:v>45</x:v>
      </x:c>
      <x:c r="L704" s="10" t="str">
        <x:v>Pulsos y offsets: filtrar Instancias por escenario, turno y targetId. Base separada del nivel visible.</x:v>
      </x:c>
    </x:row>
    <x:row r="705" ht="34" customHeight="1">
      <x:c r="A705" s="5" t="str">
        <x:v>S5_SEGURIDAD</x:v>
      </x:c>
      <x:c r="B705" s="5" t="n">
        <x:v>6</x:v>
      </x:c>
      <x:c r="C705" s="5" t="str">
        <x:v>infraestructura</x:v>
      </x:c>
      <x:c r="D705" s="5" t="n">
        <x:f>$H$691</x:f>
        <x:v>45</x:v>
      </x:c>
      <x:c r="E705" s="5" t="n">
        <x:f>0+0</x:f>
        <x:v>0</x:v>
      </x:c>
      <x:c r="F705" s="5" t="n">
        <x:f>0</x:f>
        <x:v>0</x:v>
      </x:c>
      <x:c r="G705" s="5" t="n">
        <x:f>MAX(-'00_Arquitectura'!$B$106,MIN('00_Arquitectura'!$B$106,E705+F705))</x:f>
        <x:v>0</x:v>
      </x:c>
      <x:c r="H705" s="5" t="n">
        <x:f>MAX(0,MIN(100,D705+G705))</x:f>
        <x:v>45</x:v>
      </x:c>
      <x:c r="I705" s="5" t="n">
        <x:f>0</x:f>
        <x:v>0</x:v>
      </x:c>
      <x:c r="J705" s="5" t="n">
        <x:f>MAX(-'00_Arquitectura'!$B$107,MIN('00_Arquitectura'!$B$107,0))</x:f>
        <x:v>0</x:v>
      </x:c>
      <x:c r="K705" s="5" t="n">
        <x:f>MAX(0,MIN(100,H705+I705+J705))</x:f>
        <x:v>45</x:v>
      </x:c>
      <x:c r="L705" s="5" t="str">
        <x:v>Pulsos y offsets: filtrar Instancias por escenario, turno y targetId. Base separada del nivel visible.</x:v>
      </x:c>
    </x:row>
    <x:row r="706" ht="34" customHeight="1">
      <x:c r="A706" s="10" t="str">
        <x:v>S5_SEGURIDAD</x:v>
      </x:c>
      <x:c r="B706" s="10" t="n">
        <x:v>6</x:v>
      </x:c>
      <x:c r="C706" s="10" t="str">
        <x:v>educacion</x:v>
      </x:c>
      <x:c r="D706" s="10" t="n">
        <x:f>$H$692</x:f>
        <x:v>50</x:v>
      </x:c>
      <x:c r="E706" s="10" t="n">
        <x:f>0+0</x:f>
        <x:v>0</x:v>
      </x:c>
      <x:c r="F706" s="10" t="n">
        <x:f>0</x:f>
        <x:v>0</x:v>
      </x:c>
      <x:c r="G706" s="10" t="n">
        <x:f>MAX(-'00_Arquitectura'!$B$106,MIN('00_Arquitectura'!$B$106,E706+F706))</x:f>
        <x:v>0</x:v>
      </x:c>
      <x:c r="H706" s="10" t="n">
        <x:f>MAX(0,MIN(100,D706+G706))</x:f>
        <x:v>50</x:v>
      </x:c>
      <x:c r="I706" s="10" t="n">
        <x:f>0</x:f>
        <x:v>0</x:v>
      </x:c>
      <x:c r="J706" s="10" t="n">
        <x:f>MAX(-'00_Arquitectura'!$B$107,MIN('00_Arquitectura'!$B$107,$J$1573))</x:f>
        <x:v>0</x:v>
      </x:c>
      <x:c r="K706" s="10" t="n">
        <x:f>MAX(0,MIN(100,H706+I706+J706))</x:f>
        <x:v>50</x:v>
      </x:c>
      <x:c r="L706" s="10" t="str">
        <x:v>Pulsos y offsets: filtrar Instancias por escenario, turno y targetId. Base separada del nivel visible.</x:v>
      </x:c>
    </x:row>
    <x:row r="707" ht="34" customHeight="1">
      <x:c r="A707" s="5" t="str">
        <x:v>S5_SEGURIDAD</x:v>
      </x:c>
      <x:c r="B707" s="5" t="n">
        <x:v>6</x:v>
      </x:c>
      <x:c r="C707" s="5" t="str">
        <x:v>salud</x:v>
      </x:c>
      <x:c r="D707" s="5" t="n">
        <x:f>$H$693</x:f>
        <x:v>50</x:v>
      </x:c>
      <x:c r="E707" s="5" t="n">
        <x:f>0+0</x:f>
        <x:v>0</x:v>
      </x:c>
      <x:c r="F707" s="5" t="n">
        <x:f>0</x:f>
        <x:v>0</x:v>
      </x:c>
      <x:c r="G707" s="5" t="n">
        <x:f>MAX(-'00_Arquitectura'!$B$106,MIN('00_Arquitectura'!$B$106,E707+F707))</x:f>
        <x:v>0</x:v>
      </x:c>
      <x:c r="H707" s="5" t="n">
        <x:f>MAX(0,MIN(100,D707+G707))</x:f>
        <x:v>50</x:v>
      </x:c>
      <x:c r="I707" s="5" t="n">
        <x:f>0</x:f>
        <x:v>0</x:v>
      </x:c>
      <x:c r="J707" s="5" t="n">
        <x:f>MAX(-'00_Arquitectura'!$B$107,MIN('00_Arquitectura'!$B$107,0))</x:f>
        <x:v>0</x:v>
      </x:c>
      <x:c r="K707" s="5" t="n">
        <x:f>MAX(0,MIN(100,H707+I707+J707))</x:f>
        <x:v>50</x:v>
      </x:c>
      <x:c r="L707" s="5" t="str">
        <x:v>Pulsos y offsets: filtrar Instancias por escenario, turno y targetId. Base separada del nivel visible.</x:v>
      </x:c>
    </x:row>
    <x:row r="708" ht="34" customHeight="1">
      <x:c r="A708" s="10" t="str">
        <x:v>S5_SEGURIDAD</x:v>
      </x:c>
      <x:c r="B708" s="10" t="n">
        <x:v>6</x:v>
      </x:c>
      <x:c r="C708" s="10" t="str">
        <x:v>proteccion</x:v>
      </x:c>
      <x:c r="D708" s="10" t="n">
        <x:f>$H$694</x:f>
        <x:v>45</x:v>
      </x:c>
      <x:c r="E708" s="10" t="n">
        <x:f>0+0</x:f>
        <x:v>0</x:v>
      </x:c>
      <x:c r="F708" s="10" t="n">
        <x:f>0</x:f>
        <x:v>0</x:v>
      </x:c>
      <x:c r="G708" s="10" t="n">
        <x:f>MAX(-'00_Arquitectura'!$B$106,MIN('00_Arquitectura'!$B$106,E708+F708))</x:f>
        <x:v>0</x:v>
      </x:c>
      <x:c r="H708" s="10" t="n">
        <x:f>MAX(0,MIN(100,D708+G708))</x:f>
        <x:v>45</x:v>
      </x:c>
      <x:c r="I708" s="10" t="n">
        <x:f>0</x:f>
        <x:v>0</x:v>
      </x:c>
      <x:c r="J708" s="10" t="n">
        <x:f>MAX(-'00_Arquitectura'!$B$107,MIN('00_Arquitectura'!$B$107,$J$1571+$J$1575))</x:f>
        <x:v>0</x:v>
      </x:c>
      <x:c r="K708" s="10" t="n">
        <x:f>MAX(0,MIN(100,H708+I708+J708))</x:f>
        <x:v>45</x:v>
      </x:c>
      <x:c r="L708" s="10" t="str">
        <x:v>Pulsos y offsets: filtrar Instancias por escenario, turno y targetId. Base separada del nivel visible.</x:v>
      </x:c>
    </x:row>
    <x:row r="709" ht="34" customHeight="1">
      <x:c r="A709" s="5" t="str">
        <x:v>S5_SEGURIDAD</x:v>
      </x:c>
      <x:c r="B709" s="5" t="n">
        <x:v>6</x:v>
      </x:c>
      <x:c r="C709" s="5" t="str">
        <x:v>seguridad</x:v>
      </x:c>
      <x:c r="D709" s="5" t="n">
        <x:f>$H$695</x:f>
        <x:v>45</x:v>
      </x:c>
      <x:c r="E709" s="5" t="n">
        <x:f>0+0</x:f>
        <x:v>0</x:v>
      </x:c>
      <x:c r="F709" s="5" t="n">
        <x:f>0</x:f>
        <x:v>0</x:v>
      </x:c>
      <x:c r="G709" s="5" t="n">
        <x:f>MAX(-'00_Arquitectura'!$B$106,MIN('00_Arquitectura'!$B$106,E709+F709))</x:f>
        <x:v>0</x:v>
      </x:c>
      <x:c r="H709" s="5" t="n">
        <x:f>MAX(0,MIN(100,D709+G709))</x:f>
        <x:v>45</x:v>
      </x:c>
      <x:c r="I709" s="5" t="n">
        <x:f>SUM($I$1748)</x:f>
        <x:v>4.25</x:v>
      </x:c>
      <x:c r="J709" s="5" t="n">
        <x:f>MAX(-'00_Arquitectura'!$B$107,MIN('00_Arquitectura'!$B$107,0))</x:f>
        <x:v>0</x:v>
      </x:c>
      <x:c r="K709" s="5" t="n">
        <x:f>MAX(0,MIN(100,H709+I709+J709))</x:f>
        <x:v>49.25</x:v>
      </x:c>
      <x:c r="L709" s="5" t="str">
        <x:v>Pulsos y offsets: filtrar Instancias por escenario, turno y targetId. Base separada del nivel visible.</x:v>
      </x:c>
    </x:row>
    <x:row r="710" ht="34" customHeight="1">
      <x:c r="A710" s="10" t="str">
        <x:v>S5_SEGURIDAD</x:v>
      </x:c>
      <x:c r="B710" s="10" t="n">
        <x:v>6</x:v>
      </x:c>
      <x:c r="C710" s="10" t="str">
        <x:v>ciencia</x:v>
      </x:c>
      <x:c r="D710" s="10" t="n">
        <x:f>$H$696</x:f>
        <x:v>40</x:v>
      </x:c>
      <x:c r="E710" s="10" t="n">
        <x:f>0+0</x:f>
        <x:v>0</x:v>
      </x:c>
      <x:c r="F710" s="10" t="n">
        <x:f>0</x:f>
        <x:v>0</x:v>
      </x:c>
      <x:c r="G710" s="10" t="n">
        <x:f>MAX(-'00_Arquitectura'!$B$106,MIN('00_Arquitectura'!$B$106,E710+F710))</x:f>
        <x:v>0</x:v>
      </x:c>
      <x:c r="H710" s="10" t="n">
        <x:f>MAX(0,MIN(100,D710+G710))</x:f>
        <x:v>40</x:v>
      </x:c>
      <x:c r="I710" s="10" t="n">
        <x:f>0</x:f>
        <x:v>0</x:v>
      </x:c>
      <x:c r="J710" s="10" t="n">
        <x:f>MAX(-'00_Arquitectura'!$B$107,MIN('00_Arquitectura'!$B$107,$J$1574))</x:f>
        <x:v>0</x:v>
      </x:c>
      <x:c r="K710" s="10" t="n">
        <x:f>MAX(0,MIN(100,H710+I710+J710))</x:f>
        <x:v>40</x:v>
      </x:c>
      <x:c r="L710" s="10" t="str">
        <x:v>Pulsos y offsets: filtrar Instancias por escenario, turno y targetId. Base separada del nivel visible.</x:v>
      </x:c>
    </x:row>
    <x:row r="711" ht="34" customHeight="1">
      <x:c r="A711" s="5" t="str">
        <x:v>S5_SEGURIDAD</x:v>
      </x:c>
      <x:c r="B711" s="5" t="n">
        <x:v>6</x:v>
      </x:c>
      <x:c r="C711" s="5" t="str">
        <x:v>derechos</x:v>
      </x:c>
      <x:c r="D711" s="5" t="n">
        <x:f>$H$697</x:f>
        <x:v>22</x:v>
      </x:c>
      <x:c r="E711" s="5" t="n">
        <x:f>SUM($I$1749)+0</x:f>
        <x:v>-3</x:v>
      </x:c>
      <x:c r="F711" s="5" t="n">
        <x:f>0</x:f>
        <x:v>0</x:v>
      </x:c>
      <x:c r="G711" s="5" t="n">
        <x:f>MAX(-'00_Arquitectura'!$B$106,MIN('00_Arquitectura'!$B$106,E711+F711))</x:f>
        <x:v>-3</x:v>
      </x:c>
      <x:c r="H711" s="5" t="n">
        <x:f>MAX(0,MIN(100,D711+G711))</x:f>
        <x:v>19</x:v>
      </x:c>
      <x:c r="I711" s="5" t="n">
        <x:f>0</x:f>
        <x:v>0</x:v>
      </x:c>
      <x:c r="J711" s="5" t="n">
        <x:f>MAX(-'00_Arquitectura'!$B$107,MIN('00_Arquitectura'!$B$107,0))</x:f>
        <x:v>0</x:v>
      </x:c>
      <x:c r="K711" s="5" t="n">
        <x:f>MAX(0,MIN(100,H711+I711+J711))</x:f>
        <x:v>19</x:v>
      </x:c>
      <x:c r="L711" s="5" t="str">
        <x:v>Pulsos y offsets: filtrar Instancias por escenario, turno y targetId. Base separada del nivel visible.</x:v>
      </x:c>
    </x:row>
    <x:row r="712" ht="34" customHeight="1">
      <x:c r="A712" s="10" t="str">
        <x:v>S5_SEGURIDAD</x:v>
      </x:c>
      <x:c r="B712" s="10" t="n">
        <x:v>6</x:v>
      </x:c>
      <x:c r="C712" s="10" t="str">
        <x:v>ambiente</x:v>
      </x:c>
      <x:c r="D712" s="10" t="n">
        <x:f>$H$698</x:f>
        <x:v>50</x:v>
      </x:c>
      <x:c r="E712" s="10" t="n">
        <x:f>0+0</x:f>
        <x:v>0</x:v>
      </x:c>
      <x:c r="F712" s="10" t="n">
        <x:f>0</x:f>
        <x:v>0</x:v>
      </x:c>
      <x:c r="G712" s="10" t="n">
        <x:f>MAX(-'00_Arquitectura'!$B$106,MIN('00_Arquitectura'!$B$106,E712+F712))</x:f>
        <x:v>0</x:v>
      </x:c>
      <x:c r="H712" s="10" t="n">
        <x:f>MAX(0,MIN(100,D712+G712))</x:f>
        <x:v>50</x:v>
      </x:c>
      <x:c r="I712" s="10" t="n">
        <x:f>0</x:f>
        <x:v>0</x:v>
      </x:c>
      <x:c r="J712" s="10" t="n">
        <x:f>MAX(-'00_Arquitectura'!$B$107,MIN('00_Arquitectura'!$B$107,0))</x:f>
        <x:v>0</x:v>
      </x:c>
      <x:c r="K712" s="10" t="n">
        <x:f>MAX(0,MIN(100,H712+I712+J712))</x:f>
        <x:v>50</x:v>
      </x:c>
      <x:c r="L712" s="10" t="str">
        <x:v>Pulsos y offsets: filtrar Instancias por escenario, turno y targetId. Base separada del nivel visible.</x:v>
      </x:c>
    </x:row>
    <x:row r="713" ht="42" customHeight="1">
      <x:c r="A713" s="5" t="str">
        <x:v>S5_SEGURIDAD</x:v>
      </x:c>
      <x:c r="B713" s="5" t="n">
        <x:v>7</x:v>
      </x:c>
      <x:c r="C713" s="5" t="str">
        <x:v>inflacion</x:v>
      </x:c>
      <x:c r="D713" s="5" t="n">
        <x:f>$H$699</x:f>
        <x:v>40</x:v>
      </x:c>
      <x:c r="E713" s="5" t="n">
        <x:f>0+0</x:f>
        <x:v>0</x:v>
      </x:c>
      <x:c r="F713" s="5" t="n">
        <x:f>-'00_Arquitectura'!$B$96*($H$699-40)</x:f>
        <x:v>0</x:v>
      </x:c>
      <x:c r="G713" s="5" t="n">
        <x:f>MAX(-'00_Arquitectura'!$B$106,MIN('00_Arquitectura'!$B$106,E713+F713))</x:f>
        <x:v>0</x:v>
      </x:c>
      <x:c r="H713" s="5" t="n">
        <x:f>MAX(0,MIN(100,D713+G713))</x:f>
        <x:v>40</x:v>
      </x:c>
      <x:c r="I713" s="5" t="n">
        <x:f>0</x:f>
        <x:v>0</x:v>
      </x:c>
      <x:c r="J713" s="5" t="n">
        <x:f>MAX(-'00_Arquitectura'!$B$107,MIN('00_Arquitectura'!$B$107,0))</x:f>
        <x:v>0</x:v>
      </x:c>
      <x:c r="K713" s="5" t="n">
        <x:f>MAX(0,MIN(100,H713+I713+J713))</x:f>
        <x:v>40</x:v>
      </x:c>
      <x:c r="L713" s="5" t="str">
        <x:v>Aplica link L01. Pulsos y offsets: filtrar Instancias por escenario, turno y targetId. Base separada del nivel visible.</x:v>
      </x:c>
    </x:row>
    <x:row r="714" ht="42" customHeight="1">
      <x:c r="A714" s="10" t="str">
        <x:v>S5_SEGURIDAD</x:v>
      </x:c>
      <x:c r="B714" s="10" t="n">
        <x:v>7</x:v>
      </x:c>
      <x:c r="C714" s="10" t="str">
        <x:v>actividad</x:v>
      </x:c>
      <x:c r="D714" s="10" t="n">
        <x:f>$H$700</x:f>
        <x:v>49.990196</x:v>
      </x:c>
      <x:c r="E714" s="10" t="n">
        <x:f>0+0</x:f>
        <x:v>0</x:v>
      </x:c>
      <x:c r="F714" s="10" t="n">
        <x:f>-'00_Arquitectura'!$B$97*($H$700-50)+'00_Arquitectura'!$B$98*($K$702-45)+'00_Arquitectura'!$B$99*($K$705-45)+'00_Arquitectura'!$B$100*($K$704-45)</x:f>
        <x:v>0.0022114640000000917</x:v>
      </x:c>
      <x:c r="G714" s="10" t="n">
        <x:f>MAX(-'00_Arquitectura'!$B$106,MIN('00_Arquitectura'!$B$106,E714+F714))</x:f>
        <x:v>0.0022114640000000917</x:v>
      </x:c>
      <x:c r="H714" s="10" t="n">
        <x:f>MAX(0,MIN(100,D714+G714))</x:f>
        <x:v>49.992407463999996</x:v>
      </x:c>
      <x:c r="I714" s="10" t="n">
        <x:f>0</x:f>
        <x:v>0</x:v>
      </x:c>
      <x:c r="J714" s="10" t="n">
        <x:f>MAX(-'00_Arquitectura'!$B$107,MIN('00_Arquitectura'!$B$107,$J$1583+$J$1586+$J$1587))</x:f>
        <x:v>0</x:v>
      </x:c>
      <x:c r="K714" s="10" t="n">
        <x:f>MAX(0,MIN(100,H714+I714+J714))</x:f>
        <x:v>49.992407463999996</x:v>
      </x:c>
      <x:c r="L714" s="10" t="str">
        <x:v>Aplica link L02. Pulsos y offsets: filtrar Instancias por escenario, turno y targetId. Base separada del nivel visible.</x:v>
      </x:c>
    </x:row>
    <x:row r="715" ht="42" customHeight="1">
      <x:c r="A715" s="5" t="str">
        <x:v>S5_SEGURIDAD</x:v>
      </x:c>
      <x:c r="B715" s="5" t="n">
        <x:v>7</x:v>
      </x:c>
      <x:c r="C715" s="5" t="str">
        <x:v>ingreso_real</x:v>
      </x:c>
      <x:c r="D715" s="5" t="n">
        <x:f>$H$701</x:f>
        <x:v>44.998812</x:v>
      </x:c>
      <x:c r="E715" s="5" t="n">
        <x:f>0+0</x:f>
        <x:v>0</x:v>
      </x:c>
      <x:c r="F715" s="5" t="n">
        <x:f>'00_Arquitectura'!$B$101*($K$700-$K$686)+'00_Arquitectura'!$B$102*($K$699-$K$685)</x:f>
        <x:v>-0.00028259999999953324</x:v>
      </x:c>
      <x:c r="G715" s="5" t="n">
        <x:f>MAX(-'00_Arquitectura'!$B$106,MIN('00_Arquitectura'!$B$106,E715+F715))</x:f>
        <x:v>-0.00028259999999953324</x:v>
      </x:c>
      <x:c r="H715" s="5" t="n">
        <x:f>MAX(0,MIN(100,D715+G715))</x:f>
        <x:v>44.9985294</x:v>
      </x:c>
      <x:c r="I715" s="5" t="n">
        <x:f>0</x:f>
        <x:v>0</x:v>
      </x:c>
      <x:c r="J715" s="5" t="n">
        <x:f>MAX(-'00_Arquitectura'!$B$107,MIN('00_Arquitectura'!$B$107,0))</x:f>
        <x:v>0</x:v>
      </x:c>
      <x:c r="K715" s="5" t="n">
        <x:f>MAX(0,MIN(100,H715+I715+J715))</x:f>
        <x:v>44.9985294</x:v>
      </x:c>
      <x:c r="L715" s="5" t="str">
        <x:v>Aplica link L03. Pulsos y offsets: filtrar Instancias por escenario, turno y targetId. Base separada del nivel visible.</x:v>
      </x:c>
    </x:row>
    <x:row r="716" ht="42" customHeight="1">
      <x:c r="A716" s="10" t="str">
        <x:v>S5_SEGURIDAD</x:v>
      </x:c>
      <x:c r="B716" s="10" t="n">
        <x:v>7</x:v>
      </x:c>
      <x:c r="C716" s="10" t="str">
        <x:v>credito</x:v>
      </x:c>
      <x:c r="D716" s="10" t="n">
        <x:f>$H$702</x:f>
        <x:v>45.003133299999995</x:v>
      </x:c>
      <x:c r="E716" s="10" t="n">
        <x:f>0+0</x:f>
        <x:v>0</x:v>
      </x:c>
      <x:c r="F716" s="10" t="n">
        <x:f>-'00_Arquitectura'!$B$103*($H$702-45)+'00_Arquitectura'!$B$104*($K$699-$K$685)+'00_Arquitectura'!$B$105*($K$703-'00_Arquitectura'!$B$117)</x:f>
        <x:v>-0.020501674999999227</x:v>
      </x:c>
      <x:c r="G716" s="10" t="n">
        <x:f>MAX(-'00_Arquitectura'!$B$106,MIN('00_Arquitectura'!$B$106,E716+F716))</x:f>
        <x:v>-0.020501674999999227</x:v>
      </x:c>
      <x:c r="H716" s="10" t="n">
        <x:f>MAX(0,MIN(100,D716+G716))</x:f>
        <x:v>44.982631624999996</x:v>
      </x:c>
      <x:c r="I716" s="10" t="n">
        <x:f>0</x:f>
        <x:v>0</x:v>
      </x:c>
      <x:c r="J716" s="10" t="n">
        <x:f>MAX(-'00_Arquitectura'!$B$107,MIN('00_Arquitectura'!$B$107,$J$1585))</x:f>
        <x:v>0</x:v>
      </x:c>
      <x:c r="K716" s="10" t="n">
        <x:f>MAX(0,MIN(100,H716+I716+J716))</x:f>
        <x:v>44.982631624999996</x:v>
      </x:c>
      <x:c r="L716" s="10" t="str">
        <x:v>Aplica link L04. Pulsos y offsets: filtrar Instancias por escenario, turno y targetId. Base separada del nivel visible.</x:v>
      </x:c>
    </x:row>
    <x:row r="717" ht="34" customHeight="1">
      <x:c r="A717" s="5" t="str">
        <x:v>S5_SEGURIDAD</x:v>
      </x:c>
      <x:c r="B717" s="5" t="n">
        <x:v>7</x:v>
      </x:c>
      <x:c r="C717" s="5" t="str">
        <x:v>fiscal</x:v>
      </x:c>
      <x:c r="D717" s="5" t="n">
        <x:f>$H$703</x:f>
        <x:v>56.998416</x:v>
      </x:c>
      <x:c r="E717" s="5" t="n">
        <x:f>0+0</x:f>
        <x:v>0</x:v>
      </x:c>
      <x:c r="F717" s="5" t="n">
        <x:f>0</x:f>
        <x:v>0</x:v>
      </x:c>
      <x:c r="G717" s="5" t="n">
        <x:f>MAX(-'00_Arquitectura'!$B$106,MIN('00_Arquitectura'!$B$106,E717+F717))</x:f>
        <x:v>0</x:v>
      </x:c>
      <x:c r="H717" s="5" t="n">
        <x:f>$O$61</x:f>
        <x:v>59.9980392</x:v>
      </x:c>
      <x:c r="I717" s="5" t="n">
        <x:f>0</x:f>
        <x:v>0</x:v>
      </x:c>
      <x:c r="J717" s="5" t="n">
        <x:f>MAX(-'00_Arquitectura'!$B$107,MIN('00_Arquitectura'!$B$107,0))</x:f>
        <x:v>0</x:v>
      </x:c>
      <x:c r="K717" s="5" t="n">
        <x:f>MAX(0,MIN(100,H717+I717+J717))</x:f>
        <x:v>59.9980392</x:v>
      </x:c>
      <x:c r="L717" s="5" t="str">
        <x:v>Derivado de caja: ingreso recurrente, gasto, intereses y deuda. Nunca SUM de efectos fiscales directos.</x:v>
      </x:c>
    </x:row>
    <x:row r="718" ht="34" customHeight="1">
      <x:c r="A718" s="10" t="str">
        <x:v>S5_SEGURIDAD</x:v>
      </x:c>
      <x:c r="B718" s="10" t="n">
        <x:v>7</x:v>
      </x:c>
      <x:c r="C718" s="10" t="str">
        <x:v>externo</x:v>
      </x:c>
      <x:c r="D718" s="10" t="n">
        <x:f>$H$704</x:f>
        <x:v>45</x:v>
      </x:c>
      <x:c r="E718" s="10" t="n">
        <x:f>0+0</x:f>
        <x:v>0</x:v>
      </x:c>
      <x:c r="F718" s="10" t="n">
        <x:f>0</x:f>
        <x:v>0</x:v>
      </x:c>
      <x:c r="G718" s="10" t="n">
        <x:f>MAX(-'00_Arquitectura'!$B$106,MIN('00_Arquitectura'!$B$106,E718+F718))</x:f>
        <x:v>0</x:v>
      </x:c>
      <x:c r="H718" s="10" t="n">
        <x:f>MAX(0,MIN(100,D718+G718))</x:f>
        <x:v>45</x:v>
      </x:c>
      <x:c r="I718" s="10" t="n">
        <x:f>0</x:f>
        <x:v>0</x:v>
      </x:c>
      <x:c r="J718" s="10" t="n">
        <x:f>MAX(-'00_Arquitectura'!$B$107,MIN('00_Arquitectura'!$B$107,$J$1584))</x:f>
        <x:v>0</x:v>
      </x:c>
      <x:c r="K718" s="10" t="n">
        <x:f>MAX(0,MIN(100,H718+I718+J718))</x:f>
        <x:v>45</x:v>
      </x:c>
      <x:c r="L718" s="10" t="str">
        <x:v>Pulsos y offsets: filtrar Instancias por escenario, turno y targetId. Base separada del nivel visible.</x:v>
      </x:c>
    </x:row>
    <x:row r="719" ht="34" customHeight="1">
      <x:c r="A719" s="5" t="str">
        <x:v>S5_SEGURIDAD</x:v>
      </x:c>
      <x:c r="B719" s="5" t="n">
        <x:v>7</x:v>
      </x:c>
      <x:c r="C719" s="5" t="str">
        <x:v>infraestructura</x:v>
      </x:c>
      <x:c r="D719" s="5" t="n">
        <x:f>$H$705</x:f>
        <x:v>45</x:v>
      </x:c>
      <x:c r="E719" s="5" t="n">
        <x:f>0+0</x:f>
        <x:v>0</x:v>
      </x:c>
      <x:c r="F719" s="5" t="n">
        <x:f>0</x:f>
        <x:v>0</x:v>
      </x:c>
      <x:c r="G719" s="5" t="n">
        <x:f>MAX(-'00_Arquitectura'!$B$106,MIN('00_Arquitectura'!$B$106,E719+F719))</x:f>
        <x:v>0</x:v>
      </x:c>
      <x:c r="H719" s="5" t="n">
        <x:f>MAX(0,MIN(100,D719+G719))</x:f>
        <x:v>45</x:v>
      </x:c>
      <x:c r="I719" s="5" t="n">
        <x:f>0</x:f>
        <x:v>0</x:v>
      </x:c>
      <x:c r="J719" s="5" t="n">
        <x:f>MAX(-'00_Arquitectura'!$B$107,MIN('00_Arquitectura'!$B$107,0))</x:f>
        <x:v>0</x:v>
      </x:c>
      <x:c r="K719" s="5" t="n">
        <x:f>MAX(0,MIN(100,H719+I719+J719))</x:f>
        <x:v>45</x:v>
      </x:c>
      <x:c r="L719" s="5" t="str">
        <x:v>Pulsos y offsets: filtrar Instancias por escenario, turno y targetId. Base separada del nivel visible.</x:v>
      </x:c>
    </x:row>
    <x:row r="720" ht="34" customHeight="1">
      <x:c r="A720" s="10" t="str">
        <x:v>S5_SEGURIDAD</x:v>
      </x:c>
      <x:c r="B720" s="10" t="n">
        <x:v>7</x:v>
      </x:c>
      <x:c r="C720" s="10" t="str">
        <x:v>educacion</x:v>
      </x:c>
      <x:c r="D720" s="10" t="n">
        <x:f>$H$706</x:f>
        <x:v>50</x:v>
      </x:c>
      <x:c r="E720" s="10" t="n">
        <x:f>0+0</x:f>
        <x:v>0</x:v>
      </x:c>
      <x:c r="F720" s="10" t="n">
        <x:f>0</x:f>
        <x:v>0</x:v>
      </x:c>
      <x:c r="G720" s="10" t="n">
        <x:f>MAX(-'00_Arquitectura'!$B$106,MIN('00_Arquitectura'!$B$106,E720+F720))</x:f>
        <x:v>0</x:v>
      </x:c>
      <x:c r="H720" s="10" t="n">
        <x:f>MAX(0,MIN(100,D720+G720))</x:f>
        <x:v>50</x:v>
      </x:c>
      <x:c r="I720" s="10" t="n">
        <x:f>0</x:f>
        <x:v>0</x:v>
      </x:c>
      <x:c r="J720" s="10" t="n">
        <x:f>MAX(-'00_Arquitectura'!$B$107,MIN('00_Arquitectura'!$B$107,$J$1591))</x:f>
        <x:v>0</x:v>
      </x:c>
      <x:c r="K720" s="10" t="n">
        <x:f>MAX(0,MIN(100,H720+I720+J720))</x:f>
        <x:v>50</x:v>
      </x:c>
      <x:c r="L720" s="10" t="str">
        <x:v>Pulsos y offsets: filtrar Instancias por escenario, turno y targetId. Base separada del nivel visible.</x:v>
      </x:c>
    </x:row>
    <x:row r="721" ht="34" customHeight="1">
      <x:c r="A721" s="5" t="str">
        <x:v>S5_SEGURIDAD</x:v>
      </x:c>
      <x:c r="B721" s="5" t="n">
        <x:v>7</x:v>
      </x:c>
      <x:c r="C721" s="5" t="str">
        <x:v>salud</x:v>
      </x:c>
      <x:c r="D721" s="5" t="n">
        <x:f>$H$707</x:f>
        <x:v>50</x:v>
      </x:c>
      <x:c r="E721" s="5" t="n">
        <x:f>0+0</x:f>
        <x:v>0</x:v>
      </x:c>
      <x:c r="F721" s="5" t="n">
        <x:f>0</x:f>
        <x:v>0</x:v>
      </x:c>
      <x:c r="G721" s="5" t="n">
        <x:f>MAX(-'00_Arquitectura'!$B$106,MIN('00_Arquitectura'!$B$106,E721+F721))</x:f>
        <x:v>0</x:v>
      </x:c>
      <x:c r="H721" s="5" t="n">
        <x:f>MAX(0,MIN(100,D721+G721))</x:f>
        <x:v>50</x:v>
      </x:c>
      <x:c r="I721" s="5" t="n">
        <x:f>0</x:f>
        <x:v>0</x:v>
      </x:c>
      <x:c r="J721" s="5" t="n">
        <x:f>MAX(-'00_Arquitectura'!$B$107,MIN('00_Arquitectura'!$B$107,0))</x:f>
        <x:v>0</x:v>
      </x:c>
      <x:c r="K721" s="5" t="n">
        <x:f>MAX(0,MIN(100,H721+I721+J721))</x:f>
        <x:v>50</x:v>
      </x:c>
      <x:c r="L721" s="5" t="str">
        <x:v>Pulsos y offsets: filtrar Instancias por escenario, turno y targetId. Base separada del nivel visible.</x:v>
      </x:c>
    </x:row>
    <x:row r="722" ht="34" customHeight="1">
      <x:c r="A722" s="10" t="str">
        <x:v>S5_SEGURIDAD</x:v>
      </x:c>
      <x:c r="B722" s="10" t="n">
        <x:v>7</x:v>
      </x:c>
      <x:c r="C722" s="10" t="str">
        <x:v>proteccion</x:v>
      </x:c>
      <x:c r="D722" s="10" t="n">
        <x:f>$H$708</x:f>
        <x:v>45</x:v>
      </x:c>
      <x:c r="E722" s="10" t="n">
        <x:f>0+0</x:f>
        <x:v>0</x:v>
      </x:c>
      <x:c r="F722" s="10" t="n">
        <x:f>0</x:f>
        <x:v>0</x:v>
      </x:c>
      <x:c r="G722" s="10" t="n">
        <x:f>MAX(-'00_Arquitectura'!$B$106,MIN('00_Arquitectura'!$B$106,E722+F722))</x:f>
        <x:v>0</x:v>
      </x:c>
      <x:c r="H722" s="10" t="n">
        <x:f>MAX(0,MIN(100,D722+G722))</x:f>
        <x:v>45</x:v>
      </x:c>
      <x:c r="I722" s="10" t="n">
        <x:f>0</x:f>
        <x:v>0</x:v>
      </x:c>
      <x:c r="J722" s="10" t="n">
        <x:f>MAX(-'00_Arquitectura'!$B$107,MIN('00_Arquitectura'!$B$107,$J$1589+$J$1593))</x:f>
        <x:v>0</x:v>
      </x:c>
      <x:c r="K722" s="10" t="n">
        <x:f>MAX(0,MIN(100,H722+I722+J722))</x:f>
        <x:v>45</x:v>
      </x:c>
      <x:c r="L722" s="10" t="str">
        <x:v>Pulsos y offsets: filtrar Instancias por escenario, turno y targetId. Base separada del nivel visible.</x:v>
      </x:c>
    </x:row>
    <x:row r="723" ht="34" customHeight="1">
      <x:c r="A723" s="5" t="str">
        <x:v>S5_SEGURIDAD</x:v>
      </x:c>
      <x:c r="B723" s="5" t="n">
        <x:v>7</x:v>
      </x:c>
      <x:c r="C723" s="5" t="str">
        <x:v>seguridad</x:v>
      </x:c>
      <x:c r="D723" s="5" t="n">
        <x:f>$H$709</x:f>
        <x:v>45</x:v>
      </x:c>
      <x:c r="E723" s="5" t="n">
        <x:f>0+0</x:f>
        <x:v>0</x:v>
      </x:c>
      <x:c r="F723" s="5" t="n">
        <x:f>0</x:f>
        <x:v>0</x:v>
      </x:c>
      <x:c r="G723" s="5" t="n">
        <x:f>MAX(-'00_Arquitectura'!$B$106,MIN('00_Arquitectura'!$B$106,E723+F723))</x:f>
        <x:v>0</x:v>
      </x:c>
      <x:c r="H723" s="5" t="n">
        <x:f>MAX(0,MIN(100,D723+G723))</x:f>
        <x:v>45</x:v>
      </x:c>
      <x:c r="I723" s="5" t="n">
        <x:f>0</x:f>
        <x:v>0</x:v>
      </x:c>
      <x:c r="J723" s="5" t="n">
        <x:f>MAX(-'00_Arquitectura'!$B$107,MIN('00_Arquitectura'!$B$107,0))</x:f>
        <x:v>0</x:v>
      </x:c>
      <x:c r="K723" s="5" t="n">
        <x:f>MAX(0,MIN(100,H723+I723+J723))</x:f>
        <x:v>45</x:v>
      </x:c>
      <x:c r="L723" s="5" t="str">
        <x:v>Pulsos y offsets: filtrar Instancias por escenario, turno y targetId. Base separada del nivel visible.</x:v>
      </x:c>
    </x:row>
    <x:row r="724" ht="34" customHeight="1">
      <x:c r="A724" s="10" t="str">
        <x:v>S5_SEGURIDAD</x:v>
      </x:c>
      <x:c r="B724" s="10" t="n">
        <x:v>7</x:v>
      </x:c>
      <x:c r="C724" s="10" t="str">
        <x:v>ciencia</x:v>
      </x:c>
      <x:c r="D724" s="10" t="n">
        <x:f>$H$710</x:f>
        <x:v>40</x:v>
      </x:c>
      <x:c r="E724" s="10" t="n">
        <x:f>0+0</x:f>
        <x:v>0</x:v>
      </x:c>
      <x:c r="F724" s="10" t="n">
        <x:f>0</x:f>
        <x:v>0</x:v>
      </x:c>
      <x:c r="G724" s="10" t="n">
        <x:f>MAX(-'00_Arquitectura'!$B$106,MIN('00_Arquitectura'!$B$106,E724+F724))</x:f>
        <x:v>0</x:v>
      </x:c>
      <x:c r="H724" s="10" t="n">
        <x:f>MAX(0,MIN(100,D724+G724))</x:f>
        <x:v>40</x:v>
      </x:c>
      <x:c r="I724" s="10" t="n">
        <x:f>0</x:f>
        <x:v>0</x:v>
      </x:c>
      <x:c r="J724" s="10" t="n">
        <x:f>MAX(-'00_Arquitectura'!$B$107,MIN('00_Arquitectura'!$B$107,$J$1592))</x:f>
        <x:v>0</x:v>
      </x:c>
      <x:c r="K724" s="10" t="n">
        <x:f>MAX(0,MIN(100,H724+I724+J724))</x:f>
        <x:v>40</x:v>
      </x:c>
      <x:c r="L724" s="10" t="str">
        <x:v>Pulsos y offsets: filtrar Instancias por escenario, turno y targetId. Base separada del nivel visible.</x:v>
      </x:c>
    </x:row>
    <x:row r="725" ht="34" customHeight="1">
      <x:c r="A725" s="5" t="str">
        <x:v>S5_SEGURIDAD</x:v>
      </x:c>
      <x:c r="B725" s="5" t="n">
        <x:v>7</x:v>
      </x:c>
      <x:c r="C725" s="5" t="str">
        <x:v>derechos</x:v>
      </x:c>
      <x:c r="D725" s="5" t="n">
        <x:f>$H$711</x:f>
        <x:v>19</x:v>
      </x:c>
      <x:c r="E725" s="5" t="n">
        <x:f>0+0</x:f>
        <x:v>0</x:v>
      </x:c>
      <x:c r="F725" s="5" t="n">
        <x:f>0</x:f>
        <x:v>0</x:v>
      </x:c>
      <x:c r="G725" s="5" t="n">
        <x:f>MAX(-'00_Arquitectura'!$B$106,MIN('00_Arquitectura'!$B$106,E725+F725))</x:f>
        <x:v>0</x:v>
      </x:c>
      <x:c r="H725" s="5" t="n">
        <x:f>MAX(0,MIN(100,D725+G725))</x:f>
        <x:v>19</x:v>
      </x:c>
      <x:c r="I725" s="5" t="n">
        <x:f>0</x:f>
        <x:v>0</x:v>
      </x:c>
      <x:c r="J725" s="5" t="n">
        <x:f>MAX(-'00_Arquitectura'!$B$107,MIN('00_Arquitectura'!$B$107,0))</x:f>
        <x:v>0</x:v>
      </x:c>
      <x:c r="K725" s="5" t="n">
        <x:f>MAX(0,MIN(100,H725+I725+J725))</x:f>
        <x:v>19</x:v>
      </x:c>
      <x:c r="L725" s="5" t="str">
        <x:v>Pulsos y offsets: filtrar Instancias por escenario, turno y targetId. Base separada del nivel visible.</x:v>
      </x:c>
    </x:row>
    <x:row r="726" ht="34" customHeight="1">
      <x:c r="A726" s="10" t="str">
        <x:v>S5_SEGURIDAD</x:v>
      </x:c>
      <x:c r="B726" s="10" t="n">
        <x:v>7</x:v>
      </x:c>
      <x:c r="C726" s="10" t="str">
        <x:v>ambiente</x:v>
      </x:c>
      <x:c r="D726" s="10" t="n">
        <x:f>$H$712</x:f>
        <x:v>50</x:v>
      </x:c>
      <x:c r="E726" s="10" t="n">
        <x:f>0+0</x:f>
        <x:v>0</x:v>
      </x:c>
      <x:c r="F726" s="10" t="n">
        <x:f>0</x:f>
        <x:v>0</x:v>
      </x:c>
      <x:c r="G726" s="10" t="n">
        <x:f>MAX(-'00_Arquitectura'!$B$106,MIN('00_Arquitectura'!$B$106,E726+F726))</x:f>
        <x:v>0</x:v>
      </x:c>
      <x:c r="H726" s="10" t="n">
        <x:f>MAX(0,MIN(100,D726+G726))</x:f>
        <x:v>50</x:v>
      </x:c>
      <x:c r="I726" s="10" t="n">
        <x:f>0</x:f>
        <x:v>0</x:v>
      </x:c>
      <x:c r="J726" s="10" t="n">
        <x:f>MAX(-'00_Arquitectura'!$B$107,MIN('00_Arquitectura'!$B$107,0))</x:f>
        <x:v>0</x:v>
      </x:c>
      <x:c r="K726" s="10" t="n">
        <x:f>MAX(0,MIN(100,H726+I726+J726))</x:f>
        <x:v>50</x:v>
      </x:c>
      <x:c r="L726" s="10" t="str">
        <x:v>Pulsos y offsets: filtrar Instancias por escenario, turno y targetId. Base separada del nivel visible.</x:v>
      </x:c>
    </x:row>
    <x:row r="727" ht="42" customHeight="1">
      <x:c r="A727" s="5" t="str">
        <x:v>S5_SEGURIDAD</x:v>
      </x:c>
      <x:c r="B727" s="5" t="n">
        <x:v>8</x:v>
      </x:c>
      <x:c r="C727" s="5" t="str">
        <x:v>inflacion</x:v>
      </x:c>
      <x:c r="D727" s="5" t="n">
        <x:f>$H$713</x:f>
        <x:v>40</x:v>
      </x:c>
      <x:c r="E727" s="5" t="n">
        <x:f>0+0</x:f>
        <x:v>0</x:v>
      </x:c>
      <x:c r="F727" s="5" t="n">
        <x:f>-'00_Arquitectura'!$B$96*($H$713-40)</x:f>
        <x:v>0</x:v>
      </x:c>
      <x:c r="G727" s="5" t="n">
        <x:f>MAX(-'00_Arquitectura'!$B$106,MIN('00_Arquitectura'!$B$106,E727+F727))</x:f>
        <x:v>0</x:v>
      </x:c>
      <x:c r="H727" s="5" t="n">
        <x:f>MAX(0,MIN(100,D727+G727))</x:f>
        <x:v>40</x:v>
      </x:c>
      <x:c r="I727" s="5" t="n">
        <x:f>0</x:f>
        <x:v>0</x:v>
      </x:c>
      <x:c r="J727" s="5" t="n">
        <x:f>MAX(-'00_Arquitectura'!$B$107,MIN('00_Arquitectura'!$B$107,0))</x:f>
        <x:v>0</x:v>
      </x:c>
      <x:c r="K727" s="5" t="n">
        <x:f>MAX(0,MIN(100,H727+I727+J727))</x:f>
        <x:v>40</x:v>
      </x:c>
      <x:c r="L727" s="5" t="str">
        <x:v>Aplica link L01. Pulsos y offsets: filtrar Instancias por escenario, turno y targetId. Base separada del nivel visible.</x:v>
      </x:c>
    </x:row>
    <x:row r="728" ht="42" customHeight="1">
      <x:c r="A728" s="10" t="str">
        <x:v>S5_SEGURIDAD</x:v>
      </x:c>
      <x:c r="B728" s="10" t="n">
        <x:v>8</x:v>
      </x:c>
      <x:c r="C728" s="10" t="str">
        <x:v>actividad</x:v>
      </x:c>
      <x:c r="D728" s="10" t="n">
        <x:f>$H$714</x:f>
        <x:v>49.992407463999996</x:v>
      </x:c>
      <x:c r="E728" s="10" t="n">
        <x:f>0+0</x:f>
        <x:v>0</x:v>
      </x:c>
      <x:c r="F728" s="10" t="n">
        <x:f>-'00_Arquitectura'!$B$97*($H$714-50)+'00_Arquitectura'!$B$98*($K$716-45)+'00_Arquitectura'!$B$99*($K$719-45)+'00_Arquitectura'!$B$100*($K$718-45)</x:f>
        <x:v>0.00012903720000053917</x:v>
      </x:c>
      <x:c r="G728" s="10" t="n">
        <x:f>MAX(-'00_Arquitectura'!$B$106,MIN('00_Arquitectura'!$B$106,E728+F728))</x:f>
        <x:v>0.00012903720000053917</x:v>
      </x:c>
      <x:c r="H728" s="10" t="n">
        <x:f>MAX(0,MIN(100,D728+G728))</x:f>
        <x:v>49.99253650119999</x:v>
      </x:c>
      <x:c r="I728" s="10" t="n">
        <x:f>0</x:f>
        <x:v>0</x:v>
      </x:c>
      <x:c r="J728" s="10" t="n">
        <x:f>MAX(-'00_Arquitectura'!$B$107,MIN('00_Arquitectura'!$B$107,$J$1601+$J$1604+$J$1605))</x:f>
        <x:v>0</x:v>
      </x:c>
      <x:c r="K728" s="10" t="n">
        <x:f>MAX(0,MIN(100,H728+I728+J728))</x:f>
        <x:v>49.99253650119999</x:v>
      </x:c>
      <x:c r="L728" s="10" t="str">
        <x:v>Aplica link L02. Pulsos y offsets: filtrar Instancias por escenario, turno y targetId. Base separada del nivel visible.</x:v>
      </x:c>
    </x:row>
    <x:row r="729" ht="42" customHeight="1">
      <x:c r="A729" s="5" t="str">
        <x:v>S5_SEGURIDAD</x:v>
      </x:c>
      <x:c r="B729" s="5" t="n">
        <x:v>8</x:v>
      </x:c>
      <x:c r="C729" s="5" t="str">
        <x:v>ingreso_real</x:v>
      </x:c>
      <x:c r="D729" s="5" t="n">
        <x:f>$H$715</x:f>
        <x:v>44.9985294</x:v>
      </x:c>
      <x:c r="E729" s="5" t="n">
        <x:f>0+0</x:f>
        <x:v>0</x:v>
      </x:c>
      <x:c r="F729" s="5" t="n">
        <x:f>'00_Arquitectura'!$B$101*($K$714-$K$700)+'00_Arquitectura'!$B$102*($K$713-$K$699)</x:f>
        <x:v>0.00033171959999975795</x:v>
      </x:c>
      <x:c r="G729" s="5" t="n">
        <x:f>MAX(-'00_Arquitectura'!$B$106,MIN('00_Arquitectura'!$B$106,E729+F729))</x:f>
        <x:v>0.00033171959999975795</x:v>
      </x:c>
      <x:c r="H729" s="5" t="n">
        <x:f>MAX(0,MIN(100,D729+G729))</x:f>
        <x:v>44.9988611196</x:v>
      </x:c>
      <x:c r="I729" s="5" t="n">
        <x:f>0</x:f>
        <x:v>0</x:v>
      </x:c>
      <x:c r="J729" s="5" t="n">
        <x:f>MAX(-'00_Arquitectura'!$B$107,MIN('00_Arquitectura'!$B$107,0))</x:f>
        <x:v>0</x:v>
      </x:c>
      <x:c r="K729" s="5" t="n">
        <x:f>MAX(0,MIN(100,H729+I729+J729))</x:f>
        <x:v>44.9988611196</x:v>
      </x:c>
      <x:c r="L729" s="5" t="str">
        <x:v>Aplica link L03. Pulsos y offsets: filtrar Instancias por escenario, turno y targetId. Base separada del nivel visible.</x:v>
      </x:c>
    </x:row>
    <x:row r="730" ht="42" customHeight="1">
      <x:c r="A730" s="10" t="str">
        <x:v>S5_SEGURIDAD</x:v>
      </x:c>
      <x:c r="B730" s="10" t="n">
        <x:v>8</x:v>
      </x:c>
      <x:c r="C730" s="10" t="str">
        <x:v>credito</x:v>
      </x:c>
      <x:c r="D730" s="10" t="n">
        <x:f>$H$716</x:f>
        <x:v>44.982631624999996</x:v>
      </x:c>
      <x:c r="E730" s="10" t="n">
        <x:f>0+0</x:f>
        <x:v>0</x:v>
      </x:c>
      <x:c r="F730" s="10" t="n">
        <x:f>-'00_Arquitectura'!$B$103*($H$716-45)+'00_Arquitectura'!$B$104*($K$713-$K$699)+'00_Arquitectura'!$B$105*($K$717-'00_Arquitectura'!$B$117)</x:f>
        <x:v>0.04256604025000058</x:v>
      </x:c>
      <x:c r="G730" s="10" t="n">
        <x:f>MAX(-'00_Arquitectura'!$B$106,MIN('00_Arquitectura'!$B$106,E730+F730))</x:f>
        <x:v>0.04256604025000058</x:v>
      </x:c>
      <x:c r="H730" s="10" t="n">
        <x:f>MAX(0,MIN(100,D730+G730))</x:f>
        <x:v>45.02519766525</x:v>
      </x:c>
      <x:c r="I730" s="10" t="n">
        <x:f>0</x:f>
        <x:v>0</x:v>
      </x:c>
      <x:c r="J730" s="10" t="n">
        <x:f>MAX(-'00_Arquitectura'!$B$107,MIN('00_Arquitectura'!$B$107,$J$1603))</x:f>
        <x:v>0</x:v>
      </x:c>
      <x:c r="K730" s="10" t="n">
        <x:f>MAX(0,MIN(100,H730+I730+J730))</x:f>
        <x:v>45.02519766525</x:v>
      </x:c>
      <x:c r="L730" s="10" t="str">
        <x:v>Aplica link L04. Pulsos y offsets: filtrar Instancias por escenario, turno y targetId. Base separada del nivel visible.</x:v>
      </x:c>
    </x:row>
    <x:row r="731" ht="34" customHeight="1">
      <x:c r="A731" s="5" t="str">
        <x:v>S5_SEGURIDAD</x:v>
      </x:c>
      <x:c r="B731" s="5" t="n">
        <x:v>8</x:v>
      </x:c>
      <x:c r="C731" s="5" t="str">
        <x:v>fiscal</x:v>
      </x:c>
      <x:c r="D731" s="5" t="n">
        <x:f>$H$717</x:f>
        <x:v>59.9980392</x:v>
      </x:c>
      <x:c r="E731" s="5" t="n">
        <x:f>0+0</x:f>
        <x:v>0</x:v>
      </x:c>
      <x:c r="F731" s="5" t="n">
        <x:f>0</x:f>
        <x:v>0</x:v>
      </x:c>
      <x:c r="G731" s="5" t="n">
        <x:f>MAX(-'00_Arquitectura'!$B$106,MIN('00_Arquitectura'!$B$106,E731+F731))</x:f>
        <x:v>0</x:v>
      </x:c>
      <x:c r="H731" s="5" t="n">
        <x:f>$O$62</x:f>
        <x:v>59.998481492799996</x:v>
      </x:c>
      <x:c r="I731" s="5" t="n">
        <x:f>0</x:f>
        <x:v>0</x:v>
      </x:c>
      <x:c r="J731" s="5" t="n">
        <x:f>MAX(-'00_Arquitectura'!$B$107,MIN('00_Arquitectura'!$B$107,0))</x:f>
        <x:v>0</x:v>
      </x:c>
      <x:c r="K731" s="5" t="n">
        <x:f>MAX(0,MIN(100,H731+I731+J731))</x:f>
        <x:v>59.998481492799996</x:v>
      </x:c>
      <x:c r="L731" s="5" t="str">
        <x:v>Derivado de caja: ingreso recurrente, gasto, intereses y deuda. Nunca SUM de efectos fiscales directos.</x:v>
      </x:c>
    </x:row>
    <x:row r="732" ht="34" customHeight="1">
      <x:c r="A732" s="10" t="str">
        <x:v>S5_SEGURIDAD</x:v>
      </x:c>
      <x:c r="B732" s="10" t="n">
        <x:v>8</x:v>
      </x:c>
      <x:c r="C732" s="10" t="str">
        <x:v>externo</x:v>
      </x:c>
      <x:c r="D732" s="10" t="n">
        <x:f>$H$718</x:f>
        <x:v>45</x:v>
      </x:c>
      <x:c r="E732" s="10" t="n">
        <x:f>0+0</x:f>
        <x:v>0</x:v>
      </x:c>
      <x:c r="F732" s="10" t="n">
        <x:f>0</x:f>
        <x:v>0</x:v>
      </x:c>
      <x:c r="G732" s="10" t="n">
        <x:f>MAX(-'00_Arquitectura'!$B$106,MIN('00_Arquitectura'!$B$106,E732+F732))</x:f>
        <x:v>0</x:v>
      </x:c>
      <x:c r="H732" s="10" t="n">
        <x:f>MAX(0,MIN(100,D732+G732))</x:f>
        <x:v>45</x:v>
      </x:c>
      <x:c r="I732" s="10" t="n">
        <x:f>0</x:f>
        <x:v>0</x:v>
      </x:c>
      <x:c r="J732" s="10" t="n">
        <x:f>MAX(-'00_Arquitectura'!$B$107,MIN('00_Arquitectura'!$B$107,$J$1602))</x:f>
        <x:v>0</x:v>
      </x:c>
      <x:c r="K732" s="10" t="n">
        <x:f>MAX(0,MIN(100,H732+I732+J732))</x:f>
        <x:v>45</x:v>
      </x:c>
      <x:c r="L732" s="10" t="str">
        <x:v>Pulsos y offsets: filtrar Instancias por escenario, turno y targetId. Base separada del nivel visible.</x:v>
      </x:c>
    </x:row>
    <x:row r="733" ht="34" customHeight="1">
      <x:c r="A733" s="5" t="str">
        <x:v>S5_SEGURIDAD</x:v>
      </x:c>
      <x:c r="B733" s="5" t="n">
        <x:v>8</x:v>
      </x:c>
      <x:c r="C733" s="5" t="str">
        <x:v>infraestructura</x:v>
      </x:c>
      <x:c r="D733" s="5" t="n">
        <x:f>$H$719</x:f>
        <x:v>45</x:v>
      </x:c>
      <x:c r="E733" s="5" t="n">
        <x:f>0+0</x:f>
        <x:v>0</x:v>
      </x:c>
      <x:c r="F733" s="5" t="n">
        <x:f>0</x:f>
        <x:v>0</x:v>
      </x:c>
      <x:c r="G733" s="5" t="n">
        <x:f>MAX(-'00_Arquitectura'!$B$106,MIN('00_Arquitectura'!$B$106,E733+F733))</x:f>
        <x:v>0</x:v>
      </x:c>
      <x:c r="H733" s="5" t="n">
        <x:f>MAX(0,MIN(100,D733+G733))</x:f>
        <x:v>45</x:v>
      </x:c>
      <x:c r="I733" s="5" t="n">
        <x:f>0</x:f>
        <x:v>0</x:v>
      </x:c>
      <x:c r="J733" s="5" t="n">
        <x:f>MAX(-'00_Arquitectura'!$B$107,MIN('00_Arquitectura'!$B$107,0))</x:f>
        <x:v>0</x:v>
      </x:c>
      <x:c r="K733" s="5" t="n">
        <x:f>MAX(0,MIN(100,H733+I733+J733))</x:f>
        <x:v>45</x:v>
      </x:c>
      <x:c r="L733" s="5" t="str">
        <x:v>Pulsos y offsets: filtrar Instancias por escenario, turno y targetId. Base separada del nivel visible.</x:v>
      </x:c>
    </x:row>
    <x:row r="734" ht="34" customHeight="1">
      <x:c r="A734" s="10" t="str">
        <x:v>S5_SEGURIDAD</x:v>
      </x:c>
      <x:c r="B734" s="10" t="n">
        <x:v>8</x:v>
      </x:c>
      <x:c r="C734" s="10" t="str">
        <x:v>educacion</x:v>
      </x:c>
      <x:c r="D734" s="10" t="n">
        <x:f>$H$720</x:f>
        <x:v>50</x:v>
      </x:c>
      <x:c r="E734" s="10" t="n">
        <x:f>0+0</x:f>
        <x:v>0</x:v>
      </x:c>
      <x:c r="F734" s="10" t="n">
        <x:f>0</x:f>
        <x:v>0</x:v>
      </x:c>
      <x:c r="G734" s="10" t="n">
        <x:f>MAX(-'00_Arquitectura'!$B$106,MIN('00_Arquitectura'!$B$106,E734+F734))</x:f>
        <x:v>0</x:v>
      </x:c>
      <x:c r="H734" s="10" t="n">
        <x:f>MAX(0,MIN(100,D734+G734))</x:f>
        <x:v>50</x:v>
      </x:c>
      <x:c r="I734" s="10" t="n">
        <x:f>0</x:f>
        <x:v>0</x:v>
      </x:c>
      <x:c r="J734" s="10" t="n">
        <x:f>MAX(-'00_Arquitectura'!$B$107,MIN('00_Arquitectura'!$B$107,$J$1609))</x:f>
        <x:v>0</x:v>
      </x:c>
      <x:c r="K734" s="10" t="n">
        <x:f>MAX(0,MIN(100,H734+I734+J734))</x:f>
        <x:v>50</x:v>
      </x:c>
      <x:c r="L734" s="10" t="str">
        <x:v>Pulsos y offsets: filtrar Instancias por escenario, turno y targetId. Base separada del nivel visible.</x:v>
      </x:c>
    </x:row>
    <x:row r="735" ht="34" customHeight="1">
      <x:c r="A735" s="5" t="str">
        <x:v>S5_SEGURIDAD</x:v>
      </x:c>
      <x:c r="B735" s="5" t="n">
        <x:v>8</x:v>
      </x:c>
      <x:c r="C735" s="5" t="str">
        <x:v>salud</x:v>
      </x:c>
      <x:c r="D735" s="5" t="n">
        <x:f>$H$721</x:f>
        <x:v>50</x:v>
      </x:c>
      <x:c r="E735" s="5" t="n">
        <x:f>0+0</x:f>
        <x:v>0</x:v>
      </x:c>
      <x:c r="F735" s="5" t="n">
        <x:f>0</x:f>
        <x:v>0</x:v>
      </x:c>
      <x:c r="G735" s="5" t="n">
        <x:f>MAX(-'00_Arquitectura'!$B$106,MIN('00_Arquitectura'!$B$106,E735+F735))</x:f>
        <x:v>0</x:v>
      </x:c>
      <x:c r="H735" s="5" t="n">
        <x:f>MAX(0,MIN(100,D735+G735))</x:f>
        <x:v>50</x:v>
      </x:c>
      <x:c r="I735" s="5" t="n">
        <x:f>0</x:f>
        <x:v>0</x:v>
      </x:c>
      <x:c r="J735" s="5" t="n">
        <x:f>MAX(-'00_Arquitectura'!$B$107,MIN('00_Arquitectura'!$B$107,0))</x:f>
        <x:v>0</x:v>
      </x:c>
      <x:c r="K735" s="5" t="n">
        <x:f>MAX(0,MIN(100,H735+I735+J735))</x:f>
        <x:v>50</x:v>
      </x:c>
      <x:c r="L735" s="5" t="str">
        <x:v>Pulsos y offsets: filtrar Instancias por escenario, turno y targetId. Base separada del nivel visible.</x:v>
      </x:c>
    </x:row>
    <x:row r="736" ht="34" customHeight="1">
      <x:c r="A736" s="10" t="str">
        <x:v>S5_SEGURIDAD</x:v>
      </x:c>
      <x:c r="B736" s="10" t="n">
        <x:v>8</x:v>
      </x:c>
      <x:c r="C736" s="10" t="str">
        <x:v>proteccion</x:v>
      </x:c>
      <x:c r="D736" s="10" t="n">
        <x:f>$H$722</x:f>
        <x:v>45</x:v>
      </x:c>
      <x:c r="E736" s="10" t="n">
        <x:f>0+0</x:f>
        <x:v>0</x:v>
      </x:c>
      <x:c r="F736" s="10" t="n">
        <x:f>0</x:f>
        <x:v>0</x:v>
      </x:c>
      <x:c r="G736" s="10" t="n">
        <x:f>MAX(-'00_Arquitectura'!$B$106,MIN('00_Arquitectura'!$B$106,E736+F736))</x:f>
        <x:v>0</x:v>
      </x:c>
      <x:c r="H736" s="10" t="n">
        <x:f>MAX(0,MIN(100,D736+G736))</x:f>
        <x:v>45</x:v>
      </x:c>
      <x:c r="I736" s="10" t="n">
        <x:f>0</x:f>
        <x:v>0</x:v>
      </x:c>
      <x:c r="J736" s="10" t="n">
        <x:f>MAX(-'00_Arquitectura'!$B$107,MIN('00_Arquitectura'!$B$107,$J$1607+$J$1611))</x:f>
        <x:v>0</x:v>
      </x:c>
      <x:c r="K736" s="10" t="n">
        <x:f>MAX(0,MIN(100,H736+I736+J736))</x:f>
        <x:v>45</x:v>
      </x:c>
      <x:c r="L736" s="10" t="str">
        <x:v>Pulsos y offsets: filtrar Instancias por escenario, turno y targetId. Base separada del nivel visible.</x:v>
      </x:c>
    </x:row>
    <x:row r="737" ht="34" customHeight="1">
      <x:c r="A737" s="5" t="str">
        <x:v>S5_SEGURIDAD</x:v>
      </x:c>
      <x:c r="B737" s="5" t="n">
        <x:v>8</x:v>
      </x:c>
      <x:c r="C737" s="5" t="str">
        <x:v>seguridad</x:v>
      </x:c>
      <x:c r="D737" s="5" t="n">
        <x:f>$H$723</x:f>
        <x:v>45</x:v>
      </x:c>
      <x:c r="E737" s="5" t="n">
        <x:f>0+0</x:f>
        <x:v>0</x:v>
      </x:c>
      <x:c r="F737" s="5" t="n">
        <x:f>0</x:f>
        <x:v>0</x:v>
      </x:c>
      <x:c r="G737" s="5" t="n">
        <x:f>MAX(-'00_Arquitectura'!$B$106,MIN('00_Arquitectura'!$B$106,E737+F737))</x:f>
        <x:v>0</x:v>
      </x:c>
      <x:c r="H737" s="5" t="n">
        <x:f>MAX(0,MIN(100,D737+G737))</x:f>
        <x:v>45</x:v>
      </x:c>
      <x:c r="I737" s="5" t="n">
        <x:f>0</x:f>
        <x:v>0</x:v>
      </x:c>
      <x:c r="J737" s="5" t="n">
        <x:f>MAX(-'00_Arquitectura'!$B$107,MIN('00_Arquitectura'!$B$107,0))</x:f>
        <x:v>0</x:v>
      </x:c>
      <x:c r="K737" s="5" t="n">
        <x:f>MAX(0,MIN(100,H737+I737+J737))</x:f>
        <x:v>45</x:v>
      </x:c>
      <x:c r="L737" s="5" t="str">
        <x:v>Pulsos y offsets: filtrar Instancias por escenario, turno y targetId. Base separada del nivel visible.</x:v>
      </x:c>
    </x:row>
    <x:row r="738" ht="34" customHeight="1">
      <x:c r="A738" s="10" t="str">
        <x:v>S5_SEGURIDAD</x:v>
      </x:c>
      <x:c r="B738" s="10" t="n">
        <x:v>8</x:v>
      </x:c>
      <x:c r="C738" s="10" t="str">
        <x:v>ciencia</x:v>
      </x:c>
      <x:c r="D738" s="10" t="n">
        <x:f>$H$724</x:f>
        <x:v>40</x:v>
      </x:c>
      <x:c r="E738" s="10" t="n">
        <x:f>0+0</x:f>
        <x:v>0</x:v>
      </x:c>
      <x:c r="F738" s="10" t="n">
        <x:f>0</x:f>
        <x:v>0</x:v>
      </x:c>
      <x:c r="G738" s="10" t="n">
        <x:f>MAX(-'00_Arquitectura'!$B$106,MIN('00_Arquitectura'!$B$106,E738+F738))</x:f>
        <x:v>0</x:v>
      </x:c>
      <x:c r="H738" s="10" t="n">
        <x:f>MAX(0,MIN(100,D738+G738))</x:f>
        <x:v>40</x:v>
      </x:c>
      <x:c r="I738" s="10" t="n">
        <x:f>0</x:f>
        <x:v>0</x:v>
      </x:c>
      <x:c r="J738" s="10" t="n">
        <x:f>MAX(-'00_Arquitectura'!$B$107,MIN('00_Arquitectura'!$B$107,$J$1610))</x:f>
        <x:v>0</x:v>
      </x:c>
      <x:c r="K738" s="10" t="n">
        <x:f>MAX(0,MIN(100,H738+I738+J738))</x:f>
        <x:v>40</x:v>
      </x:c>
      <x:c r="L738" s="10" t="str">
        <x:v>Pulsos y offsets: filtrar Instancias por escenario, turno y targetId. Base separada del nivel visible.</x:v>
      </x:c>
    </x:row>
    <x:row r="739" ht="34" customHeight="1">
      <x:c r="A739" s="5" t="str">
        <x:v>S5_SEGURIDAD</x:v>
      </x:c>
      <x:c r="B739" s="5" t="n">
        <x:v>8</x:v>
      </x:c>
      <x:c r="C739" s="5" t="str">
        <x:v>derechos</x:v>
      </x:c>
      <x:c r="D739" s="5" t="n">
        <x:f>$H$725</x:f>
        <x:v>19</x:v>
      </x:c>
      <x:c r="E739" s="5" t="n">
        <x:f>0+0</x:f>
        <x:v>0</x:v>
      </x:c>
      <x:c r="F739" s="5" t="n">
        <x:f>0</x:f>
        <x:v>0</x:v>
      </x:c>
      <x:c r="G739" s="5" t="n">
        <x:f>MAX(-'00_Arquitectura'!$B$106,MIN('00_Arquitectura'!$B$106,E739+F739))</x:f>
        <x:v>0</x:v>
      </x:c>
      <x:c r="H739" s="5" t="n">
        <x:f>MAX(0,MIN(100,D739+G739))</x:f>
        <x:v>19</x:v>
      </x:c>
      <x:c r="I739" s="5" t="n">
        <x:f>0</x:f>
        <x:v>0</x:v>
      </x:c>
      <x:c r="J739" s="5" t="n">
        <x:f>MAX(-'00_Arquitectura'!$B$107,MIN('00_Arquitectura'!$B$107,0))</x:f>
        <x:v>0</x:v>
      </x:c>
      <x:c r="K739" s="5" t="n">
        <x:f>MAX(0,MIN(100,H739+I739+J739))</x:f>
        <x:v>19</x:v>
      </x:c>
      <x:c r="L739" s="5" t="str">
        <x:v>Pulsos y offsets: filtrar Instancias por escenario, turno y targetId. Base separada del nivel visible.</x:v>
      </x:c>
    </x:row>
    <x:row r="740" ht="34" customHeight="1">
      <x:c r="A740" s="10" t="str">
        <x:v>S5_SEGURIDAD</x:v>
      </x:c>
      <x:c r="B740" s="10" t="n">
        <x:v>8</x:v>
      </x:c>
      <x:c r="C740" s="10" t="str">
        <x:v>ambiente</x:v>
      </x:c>
      <x:c r="D740" s="10" t="n">
        <x:f>$H$726</x:f>
        <x:v>50</x:v>
      </x:c>
      <x:c r="E740" s="10" t="n">
        <x:f>0+0</x:f>
        <x:v>0</x:v>
      </x:c>
      <x:c r="F740" s="10" t="n">
        <x:f>0</x:f>
        <x:v>0</x:v>
      </x:c>
      <x:c r="G740" s="10" t="n">
        <x:f>MAX(-'00_Arquitectura'!$B$106,MIN('00_Arquitectura'!$B$106,E740+F740))</x:f>
        <x:v>0</x:v>
      </x:c>
      <x:c r="H740" s="10" t="n">
        <x:f>MAX(0,MIN(100,D740+G740))</x:f>
        <x:v>50</x:v>
      </x:c>
      <x:c r="I740" s="10" t="n">
        <x:f>0</x:f>
        <x:v>0</x:v>
      </x:c>
      <x:c r="J740" s="10" t="n">
        <x:f>MAX(-'00_Arquitectura'!$B$107,MIN('00_Arquitectura'!$B$107,0))</x:f>
        <x:v>0</x:v>
      </x:c>
      <x:c r="K740" s="10" t="n">
        <x:f>MAX(0,MIN(100,H740+I740+J740))</x:f>
        <x:v>50</x:v>
      </x:c>
      <x:c r="L740" s="10" t="str">
        <x:v>Pulsos y offsets: filtrar Instancias por escenario, turno y targetId. Base separada del nivel visible.</x:v>
      </x:c>
    </x:row>
    <x:row r="741" ht="42" customHeight="1">
      <x:c r="A741" s="5" t="str">
        <x:v>S5_SEGURIDAD</x:v>
      </x:c>
      <x:c r="B741" s="5" t="n">
        <x:v>9</x:v>
      </x:c>
      <x:c r="C741" s="5" t="str">
        <x:v>inflacion</x:v>
      </x:c>
      <x:c r="D741" s="5" t="n">
        <x:f>$H$727</x:f>
        <x:v>40</x:v>
      </x:c>
      <x:c r="E741" s="5" t="n">
        <x:f>0+0</x:f>
        <x:v>0</x:v>
      </x:c>
      <x:c r="F741" s="5" t="n">
        <x:f>-'00_Arquitectura'!$B$96*($H$727-40)</x:f>
        <x:v>0</x:v>
      </x:c>
      <x:c r="G741" s="5" t="n">
        <x:f>MAX(-'00_Arquitectura'!$B$106,MIN('00_Arquitectura'!$B$106,E741+F741))</x:f>
        <x:v>0</x:v>
      </x:c>
      <x:c r="H741" s="5" t="n">
        <x:f>MAX(0,MIN(100,D741+G741))</x:f>
        <x:v>40</x:v>
      </x:c>
      <x:c r="I741" s="5" t="n">
        <x:f>0</x:f>
        <x:v>0</x:v>
      </x:c>
      <x:c r="J741" s="5" t="n">
        <x:f>MAX(-'00_Arquitectura'!$B$107,MIN('00_Arquitectura'!$B$107,0))</x:f>
        <x:v>0</x:v>
      </x:c>
      <x:c r="K741" s="5" t="n">
        <x:f>MAX(0,MIN(100,H741+I741+J741))</x:f>
        <x:v>40</x:v>
      </x:c>
      <x:c r="L741" s="5" t="str">
        <x:v>Aplica link L01. Pulsos y offsets: filtrar Instancias por escenario, turno y targetId. Base separada del nivel visible.</x:v>
      </x:c>
    </x:row>
    <x:row r="742" ht="42" customHeight="1">
      <x:c r="A742" s="10" t="str">
        <x:v>S5_SEGURIDAD</x:v>
      </x:c>
      <x:c r="B742" s="10" t="n">
        <x:v>9</x:v>
      </x:c>
      <x:c r="C742" s="10" t="str">
        <x:v>actividad</x:v>
      </x:c>
      <x:c r="D742" s="10" t="n">
        <x:f>$H$728</x:f>
        <x:v>49.99253650119999</x:v>
      </x:c>
      <x:c r="E742" s="10" t="n">
        <x:f>0+0</x:f>
        <x:v>0</x:v>
      </x:c>
      <x:c r="F742" s="10" t="n">
        <x:f>-'00_Arquitectura'!$B$97*($H$728-50)+'00_Arquitectura'!$B$98*($K$730-45)+'00_Arquitectura'!$B$99*($K$733-45)+'00_Arquitectura'!$B$100*($K$732-45)</x:f>
        <x:v>0.0035085129800012283</x:v>
      </x:c>
      <x:c r="G742" s="10" t="n">
        <x:f>MAX(-'00_Arquitectura'!$B$106,MIN('00_Arquitectura'!$B$106,E742+F742))</x:f>
        <x:v>0.0035085129800012283</x:v>
      </x:c>
      <x:c r="H742" s="10" t="n">
        <x:f>MAX(0,MIN(100,D742+G742))</x:f>
        <x:v>49.99604501417999</x:v>
      </x:c>
      <x:c r="I742" s="10" t="n">
        <x:f>0</x:f>
        <x:v>0</x:v>
      </x:c>
      <x:c r="J742" s="10" t="n">
        <x:f>MAX(-'00_Arquitectura'!$B$107,MIN('00_Arquitectura'!$B$107,$J$1619+$J$1622+$J$1623))</x:f>
        <x:v>0</x:v>
      </x:c>
      <x:c r="K742" s="10" t="n">
        <x:f>MAX(0,MIN(100,H742+I742+J742))</x:f>
        <x:v>49.99604501417999</x:v>
      </x:c>
      <x:c r="L742" s="10" t="str">
        <x:v>Aplica link L02. Pulsos y offsets: filtrar Instancias por escenario, turno y targetId. Base separada del nivel visible.</x:v>
      </x:c>
    </x:row>
    <x:row r="743" ht="42" customHeight="1">
      <x:c r="A743" s="5" t="str">
        <x:v>S5_SEGURIDAD</x:v>
      </x:c>
      <x:c r="B743" s="5" t="n">
        <x:v>9</x:v>
      </x:c>
      <x:c r="C743" s="5" t="str">
        <x:v>ingreso_real</x:v>
      </x:c>
      <x:c r="D743" s="5" t="n">
        <x:f>$H$729</x:f>
        <x:v>44.9988611196</x:v>
      </x:c>
      <x:c r="E743" s="5" t="n">
        <x:f>0+0</x:f>
        <x:v>0</x:v>
      </x:c>
      <x:c r="F743" s="5" t="n">
        <x:f>'00_Arquitectura'!$B$101*($K$728-$K$714)+'00_Arquitectura'!$B$102*($K$727-$K$713)</x:f>
        <x:v>0.00001935557999956927</x:v>
      </x:c>
      <x:c r="G743" s="5" t="n">
        <x:f>MAX(-'00_Arquitectura'!$B$106,MIN('00_Arquitectura'!$B$106,E743+F743))</x:f>
        <x:v>0.00001935557999956927</x:v>
      </x:c>
      <x:c r="H743" s="5" t="n">
        <x:f>MAX(0,MIN(100,D743+G743))</x:f>
        <x:v>44.99888047518</x:v>
      </x:c>
      <x:c r="I743" s="5" t="n">
        <x:f>0</x:f>
        <x:v>0</x:v>
      </x:c>
      <x:c r="J743" s="5" t="n">
        <x:f>MAX(-'00_Arquitectura'!$B$107,MIN('00_Arquitectura'!$B$107,0))</x:f>
        <x:v>0</x:v>
      </x:c>
      <x:c r="K743" s="5" t="n">
        <x:f>MAX(0,MIN(100,H743+I743+J743))</x:f>
        <x:v>44.99888047518</x:v>
      </x:c>
      <x:c r="L743" s="5" t="str">
        <x:v>Aplica link L03. Pulsos y offsets: filtrar Instancias por escenario, turno y targetId. Base separada del nivel visible.</x:v>
      </x:c>
    </x:row>
    <x:row r="744" ht="42" customHeight="1">
      <x:c r="A744" s="10" t="str">
        <x:v>S5_SEGURIDAD</x:v>
      </x:c>
      <x:c r="B744" s="10" t="n">
        <x:v>9</x:v>
      </x:c>
      <x:c r="C744" s="10" t="str">
        <x:v>credito</x:v>
      </x:c>
      <x:c r="D744" s="10" t="n">
        <x:f>$H$730</x:f>
        <x:v>45.02519766525</x:v>
      </x:c>
      <x:c r="E744" s="10" t="n">
        <x:f>0+0</x:f>
        <x:v>0</x:v>
      </x:c>
      <x:c r="F744" s="10" t="n">
        <x:f>-'00_Arquitectura'!$B$103*($H$730-45)+'00_Arquitectura'!$B$104*($K$727-$K$713)+'00_Arquitectura'!$B$105*($K$731-'00_Arquitectura'!$B$117)</x:f>
        <x:v>0.03618998006850028</x:v>
      </x:c>
      <x:c r="G744" s="10" t="n">
        <x:f>MAX(-'00_Arquitectura'!$B$106,MIN('00_Arquitectura'!$B$106,E744+F744))</x:f>
        <x:v>0.03618998006850028</x:v>
      </x:c>
      <x:c r="H744" s="10" t="n">
        <x:f>MAX(0,MIN(100,D744+G744))</x:f>
        <x:v>45.0613876453185</x:v>
      </x:c>
      <x:c r="I744" s="10" t="n">
        <x:f>0</x:f>
        <x:v>0</x:v>
      </x:c>
      <x:c r="J744" s="10" t="n">
        <x:f>MAX(-'00_Arquitectura'!$B$107,MIN('00_Arquitectura'!$B$107,$J$1621))</x:f>
        <x:v>0</x:v>
      </x:c>
      <x:c r="K744" s="10" t="n">
        <x:f>MAX(0,MIN(100,H744+I744+J744))</x:f>
        <x:v>45.0613876453185</x:v>
      </x:c>
      <x:c r="L744" s="10" t="str">
        <x:v>Aplica link L04. Pulsos y offsets: filtrar Instancias por escenario, turno y targetId. Base separada del nivel visible.</x:v>
      </x:c>
    </x:row>
    <x:row r="745" ht="34" customHeight="1">
      <x:c r="A745" s="5" t="str">
        <x:v>S5_SEGURIDAD</x:v>
      </x:c>
      <x:c r="B745" s="5" t="n">
        <x:v>9</x:v>
      </x:c>
      <x:c r="C745" s="5" t="str">
        <x:v>fiscal</x:v>
      </x:c>
      <x:c r="D745" s="5" t="n">
        <x:f>$H$731</x:f>
        <x:v>59.998481492799996</x:v>
      </x:c>
      <x:c r="E745" s="5" t="n">
        <x:f>0+0</x:f>
        <x:v>0</x:v>
      </x:c>
      <x:c r="F745" s="5" t="n">
        <x:f>0</x:f>
        <x:v>0</x:v>
      </x:c>
      <x:c r="G745" s="5" t="n">
        <x:f>MAX(-'00_Arquitectura'!$B$106,MIN('00_Arquitectura'!$B$106,E745+F745))</x:f>
        <x:v>0</x:v>
      </x:c>
      <x:c r="H745" s="5" t="n">
        <x:f>$O$63</x:f>
        <x:v>59.99850730024</x:v>
      </x:c>
      <x:c r="I745" s="5" t="n">
        <x:f>0</x:f>
        <x:v>0</x:v>
      </x:c>
      <x:c r="J745" s="5" t="n">
        <x:f>MAX(-'00_Arquitectura'!$B$107,MIN('00_Arquitectura'!$B$107,0))</x:f>
        <x:v>0</x:v>
      </x:c>
      <x:c r="K745" s="5" t="n">
        <x:f>MAX(0,MIN(100,H745+I745+J745))</x:f>
        <x:v>59.99850730024</x:v>
      </x:c>
      <x:c r="L745" s="5" t="str">
        <x:v>Derivado de caja: ingreso recurrente, gasto, intereses y deuda. Nunca SUM de efectos fiscales directos.</x:v>
      </x:c>
    </x:row>
    <x:row r="746" ht="34" customHeight="1">
      <x:c r="A746" s="10" t="str">
        <x:v>S5_SEGURIDAD</x:v>
      </x:c>
      <x:c r="B746" s="10" t="n">
        <x:v>9</x:v>
      </x:c>
      <x:c r="C746" s="10" t="str">
        <x:v>externo</x:v>
      </x:c>
      <x:c r="D746" s="10" t="n">
        <x:f>$H$732</x:f>
        <x:v>45</x:v>
      </x:c>
      <x:c r="E746" s="10" t="n">
        <x:f>0+0</x:f>
        <x:v>0</x:v>
      </x:c>
      <x:c r="F746" s="10" t="n">
        <x:f>0</x:f>
        <x:v>0</x:v>
      </x:c>
      <x:c r="G746" s="10" t="n">
        <x:f>MAX(-'00_Arquitectura'!$B$106,MIN('00_Arquitectura'!$B$106,E746+F746))</x:f>
        <x:v>0</x:v>
      </x:c>
      <x:c r="H746" s="10" t="n">
        <x:f>MAX(0,MIN(100,D746+G746))</x:f>
        <x:v>45</x:v>
      </x:c>
      <x:c r="I746" s="10" t="n">
        <x:f>0</x:f>
        <x:v>0</x:v>
      </x:c>
      <x:c r="J746" s="10" t="n">
        <x:f>MAX(-'00_Arquitectura'!$B$107,MIN('00_Arquitectura'!$B$107,$J$1620))</x:f>
        <x:v>0</x:v>
      </x:c>
      <x:c r="K746" s="10" t="n">
        <x:f>MAX(0,MIN(100,H746+I746+J746))</x:f>
        <x:v>45</x:v>
      </x:c>
      <x:c r="L746" s="10" t="str">
        <x:v>Pulsos y offsets: filtrar Instancias por escenario, turno y targetId. Base separada del nivel visible.</x:v>
      </x:c>
    </x:row>
    <x:row r="747" ht="34" customHeight="1">
      <x:c r="A747" s="5" t="str">
        <x:v>S5_SEGURIDAD</x:v>
      </x:c>
      <x:c r="B747" s="5" t="n">
        <x:v>9</x:v>
      </x:c>
      <x:c r="C747" s="5" t="str">
        <x:v>infraestructura</x:v>
      </x:c>
      <x:c r="D747" s="5" t="n">
        <x:f>$H$733</x:f>
        <x:v>45</x:v>
      </x:c>
      <x:c r="E747" s="5" t="n">
        <x:f>0+0</x:f>
        <x:v>0</x:v>
      </x:c>
      <x:c r="F747" s="5" t="n">
        <x:f>0</x:f>
        <x:v>0</x:v>
      </x:c>
      <x:c r="G747" s="5" t="n">
        <x:f>MAX(-'00_Arquitectura'!$B$106,MIN('00_Arquitectura'!$B$106,E747+F747))</x:f>
        <x:v>0</x:v>
      </x:c>
      <x:c r="H747" s="5" t="n">
        <x:f>MAX(0,MIN(100,D747+G747))</x:f>
        <x:v>45</x:v>
      </x:c>
      <x:c r="I747" s="5" t="n">
        <x:f>0</x:f>
        <x:v>0</x:v>
      </x:c>
      <x:c r="J747" s="5" t="n">
        <x:f>MAX(-'00_Arquitectura'!$B$107,MIN('00_Arquitectura'!$B$107,0))</x:f>
        <x:v>0</x:v>
      </x:c>
      <x:c r="K747" s="5" t="n">
        <x:f>MAX(0,MIN(100,H747+I747+J747))</x:f>
        <x:v>45</x:v>
      </x:c>
      <x:c r="L747" s="5" t="str">
        <x:v>Pulsos y offsets: filtrar Instancias por escenario, turno y targetId. Base separada del nivel visible.</x:v>
      </x:c>
    </x:row>
    <x:row r="748" ht="34" customHeight="1">
      <x:c r="A748" s="10" t="str">
        <x:v>S5_SEGURIDAD</x:v>
      </x:c>
      <x:c r="B748" s="10" t="n">
        <x:v>9</x:v>
      </x:c>
      <x:c r="C748" s="10" t="str">
        <x:v>educacion</x:v>
      </x:c>
      <x:c r="D748" s="10" t="n">
        <x:f>$H$734</x:f>
        <x:v>50</x:v>
      </x:c>
      <x:c r="E748" s="10" t="n">
        <x:f>0+0</x:f>
        <x:v>0</x:v>
      </x:c>
      <x:c r="F748" s="10" t="n">
        <x:f>0</x:f>
        <x:v>0</x:v>
      </x:c>
      <x:c r="G748" s="10" t="n">
        <x:f>MAX(-'00_Arquitectura'!$B$106,MIN('00_Arquitectura'!$B$106,E748+F748))</x:f>
        <x:v>0</x:v>
      </x:c>
      <x:c r="H748" s="10" t="n">
        <x:f>MAX(0,MIN(100,D748+G748))</x:f>
        <x:v>50</x:v>
      </x:c>
      <x:c r="I748" s="10" t="n">
        <x:f>0</x:f>
        <x:v>0</x:v>
      </x:c>
      <x:c r="J748" s="10" t="n">
        <x:f>MAX(-'00_Arquitectura'!$B$107,MIN('00_Arquitectura'!$B$107,$J$1627))</x:f>
        <x:v>0</x:v>
      </x:c>
      <x:c r="K748" s="10" t="n">
        <x:f>MAX(0,MIN(100,H748+I748+J748))</x:f>
        <x:v>50</x:v>
      </x:c>
      <x:c r="L748" s="10" t="str">
        <x:v>Pulsos y offsets: filtrar Instancias por escenario, turno y targetId. Base separada del nivel visible.</x:v>
      </x:c>
    </x:row>
    <x:row r="749" ht="34" customHeight="1">
      <x:c r="A749" s="5" t="str">
        <x:v>S5_SEGURIDAD</x:v>
      </x:c>
      <x:c r="B749" s="5" t="n">
        <x:v>9</x:v>
      </x:c>
      <x:c r="C749" s="5" t="str">
        <x:v>salud</x:v>
      </x:c>
      <x:c r="D749" s="5" t="n">
        <x:f>$H$735</x:f>
        <x:v>50</x:v>
      </x:c>
      <x:c r="E749" s="5" t="n">
        <x:f>0+0</x:f>
        <x:v>0</x:v>
      </x:c>
      <x:c r="F749" s="5" t="n">
        <x:f>0</x:f>
        <x:v>0</x:v>
      </x:c>
      <x:c r="G749" s="5" t="n">
        <x:f>MAX(-'00_Arquitectura'!$B$106,MIN('00_Arquitectura'!$B$106,E749+F749))</x:f>
        <x:v>0</x:v>
      </x:c>
      <x:c r="H749" s="5" t="n">
        <x:f>MAX(0,MIN(100,D749+G749))</x:f>
        <x:v>50</x:v>
      </x:c>
      <x:c r="I749" s="5" t="n">
        <x:f>0</x:f>
        <x:v>0</x:v>
      </x:c>
      <x:c r="J749" s="5" t="n">
        <x:f>MAX(-'00_Arquitectura'!$B$107,MIN('00_Arquitectura'!$B$107,0))</x:f>
        <x:v>0</x:v>
      </x:c>
      <x:c r="K749" s="5" t="n">
        <x:f>MAX(0,MIN(100,H749+I749+J749))</x:f>
        <x:v>50</x:v>
      </x:c>
      <x:c r="L749" s="5" t="str">
        <x:v>Pulsos y offsets: filtrar Instancias por escenario, turno y targetId. Base separada del nivel visible.</x:v>
      </x:c>
    </x:row>
    <x:row r="750" ht="34" customHeight="1">
      <x:c r="A750" s="10" t="str">
        <x:v>S5_SEGURIDAD</x:v>
      </x:c>
      <x:c r="B750" s="10" t="n">
        <x:v>9</x:v>
      </x:c>
      <x:c r="C750" s="10" t="str">
        <x:v>proteccion</x:v>
      </x:c>
      <x:c r="D750" s="10" t="n">
        <x:f>$H$736</x:f>
        <x:v>45</x:v>
      </x:c>
      <x:c r="E750" s="10" t="n">
        <x:f>0+0</x:f>
        <x:v>0</x:v>
      </x:c>
      <x:c r="F750" s="10" t="n">
        <x:f>0</x:f>
        <x:v>0</x:v>
      </x:c>
      <x:c r="G750" s="10" t="n">
        <x:f>MAX(-'00_Arquitectura'!$B$106,MIN('00_Arquitectura'!$B$106,E750+F750))</x:f>
        <x:v>0</x:v>
      </x:c>
      <x:c r="H750" s="10" t="n">
        <x:f>MAX(0,MIN(100,D750+G750))</x:f>
        <x:v>45</x:v>
      </x:c>
      <x:c r="I750" s="10" t="n">
        <x:f>0</x:f>
        <x:v>0</x:v>
      </x:c>
      <x:c r="J750" s="10" t="n">
        <x:f>MAX(-'00_Arquitectura'!$B$107,MIN('00_Arquitectura'!$B$107,$J$1625+$J$1629))</x:f>
        <x:v>0</x:v>
      </x:c>
      <x:c r="K750" s="10" t="n">
        <x:f>MAX(0,MIN(100,H750+I750+J750))</x:f>
        <x:v>45</x:v>
      </x:c>
      <x:c r="L750" s="10" t="str">
        <x:v>Pulsos y offsets: filtrar Instancias por escenario, turno y targetId. Base separada del nivel visible.</x:v>
      </x:c>
    </x:row>
    <x:row r="751" ht="34" customHeight="1">
      <x:c r="A751" s="5" t="str">
        <x:v>S5_SEGURIDAD</x:v>
      </x:c>
      <x:c r="B751" s="5" t="n">
        <x:v>9</x:v>
      </x:c>
      <x:c r="C751" s="5" t="str">
        <x:v>seguridad</x:v>
      </x:c>
      <x:c r="D751" s="5" t="n">
        <x:f>$H$737</x:f>
        <x:v>45</x:v>
      </x:c>
      <x:c r="E751" s="5" t="n">
        <x:f>0+0</x:f>
        <x:v>0</x:v>
      </x:c>
      <x:c r="F751" s="5" t="n">
        <x:f>0</x:f>
        <x:v>0</x:v>
      </x:c>
      <x:c r="G751" s="5" t="n">
        <x:f>MAX(-'00_Arquitectura'!$B$106,MIN('00_Arquitectura'!$B$106,E751+F751))</x:f>
        <x:v>0</x:v>
      </x:c>
      <x:c r="H751" s="5" t="n">
        <x:f>MAX(0,MIN(100,D751+G751))</x:f>
        <x:v>45</x:v>
      </x:c>
      <x:c r="I751" s="5" t="n">
        <x:f>0</x:f>
        <x:v>0</x:v>
      </x:c>
      <x:c r="J751" s="5" t="n">
        <x:f>MAX(-'00_Arquitectura'!$B$107,MIN('00_Arquitectura'!$B$107,0))</x:f>
        <x:v>0</x:v>
      </x:c>
      <x:c r="K751" s="5" t="n">
        <x:f>MAX(0,MIN(100,H751+I751+J751))</x:f>
        <x:v>45</x:v>
      </x:c>
      <x:c r="L751" s="5" t="str">
        <x:v>Pulsos y offsets: filtrar Instancias por escenario, turno y targetId. Base separada del nivel visible.</x:v>
      </x:c>
    </x:row>
    <x:row r="752" ht="34" customHeight="1">
      <x:c r="A752" s="10" t="str">
        <x:v>S5_SEGURIDAD</x:v>
      </x:c>
      <x:c r="B752" s="10" t="n">
        <x:v>9</x:v>
      </x:c>
      <x:c r="C752" s="10" t="str">
        <x:v>ciencia</x:v>
      </x:c>
      <x:c r="D752" s="10" t="n">
        <x:f>$H$738</x:f>
        <x:v>40</x:v>
      </x:c>
      <x:c r="E752" s="10" t="n">
        <x:f>0+0</x:f>
        <x:v>0</x:v>
      </x:c>
      <x:c r="F752" s="10" t="n">
        <x:f>0</x:f>
        <x:v>0</x:v>
      </x:c>
      <x:c r="G752" s="10" t="n">
        <x:f>MAX(-'00_Arquitectura'!$B$106,MIN('00_Arquitectura'!$B$106,E752+F752))</x:f>
        <x:v>0</x:v>
      </x:c>
      <x:c r="H752" s="10" t="n">
        <x:f>MAX(0,MIN(100,D752+G752))</x:f>
        <x:v>40</x:v>
      </x:c>
      <x:c r="I752" s="10" t="n">
        <x:f>0</x:f>
        <x:v>0</x:v>
      </x:c>
      <x:c r="J752" s="10" t="n">
        <x:f>MAX(-'00_Arquitectura'!$B$107,MIN('00_Arquitectura'!$B$107,$J$1628))</x:f>
        <x:v>0</x:v>
      </x:c>
      <x:c r="K752" s="10" t="n">
        <x:f>MAX(0,MIN(100,H752+I752+J752))</x:f>
        <x:v>40</x:v>
      </x:c>
      <x:c r="L752" s="10" t="str">
        <x:v>Pulsos y offsets: filtrar Instancias por escenario, turno y targetId. Base separada del nivel visible.</x:v>
      </x:c>
    </x:row>
    <x:row r="753" ht="34" customHeight="1">
      <x:c r="A753" s="5" t="str">
        <x:v>S5_SEGURIDAD</x:v>
      </x:c>
      <x:c r="B753" s="5" t="n">
        <x:v>9</x:v>
      </x:c>
      <x:c r="C753" s="5" t="str">
        <x:v>derechos</x:v>
      </x:c>
      <x:c r="D753" s="5" t="n">
        <x:f>$H$739</x:f>
        <x:v>19</x:v>
      </x:c>
      <x:c r="E753" s="5" t="n">
        <x:f>0+0</x:f>
        <x:v>0</x:v>
      </x:c>
      <x:c r="F753" s="5" t="n">
        <x:f>0</x:f>
        <x:v>0</x:v>
      </x:c>
      <x:c r="G753" s="5" t="n">
        <x:f>MAX(-'00_Arquitectura'!$B$106,MIN('00_Arquitectura'!$B$106,E753+F753))</x:f>
        <x:v>0</x:v>
      </x:c>
      <x:c r="H753" s="5" t="n">
        <x:f>MAX(0,MIN(100,D753+G753))</x:f>
        <x:v>19</x:v>
      </x:c>
      <x:c r="I753" s="5" t="n">
        <x:f>0</x:f>
        <x:v>0</x:v>
      </x:c>
      <x:c r="J753" s="5" t="n">
        <x:f>MAX(-'00_Arquitectura'!$B$107,MIN('00_Arquitectura'!$B$107,0))</x:f>
        <x:v>0</x:v>
      </x:c>
      <x:c r="K753" s="5" t="n">
        <x:f>MAX(0,MIN(100,H753+I753+J753))</x:f>
        <x:v>19</x:v>
      </x:c>
      <x:c r="L753" s="5" t="str">
        <x:v>Pulsos y offsets: filtrar Instancias por escenario, turno y targetId. Base separada del nivel visible.</x:v>
      </x:c>
    </x:row>
    <x:row r="754" ht="34" customHeight="1">
      <x:c r="A754" s="10" t="str">
        <x:v>S5_SEGURIDAD</x:v>
      </x:c>
      <x:c r="B754" s="10" t="n">
        <x:v>9</x:v>
      </x:c>
      <x:c r="C754" s="10" t="str">
        <x:v>ambiente</x:v>
      </x:c>
      <x:c r="D754" s="10" t="n">
        <x:f>$H$740</x:f>
        <x:v>50</x:v>
      </x:c>
      <x:c r="E754" s="10" t="n">
        <x:f>0+0</x:f>
        <x:v>0</x:v>
      </x:c>
      <x:c r="F754" s="10" t="n">
        <x:f>0</x:f>
        <x:v>0</x:v>
      </x:c>
      <x:c r="G754" s="10" t="n">
        <x:f>MAX(-'00_Arquitectura'!$B$106,MIN('00_Arquitectura'!$B$106,E754+F754))</x:f>
        <x:v>0</x:v>
      </x:c>
      <x:c r="H754" s="10" t="n">
        <x:f>MAX(0,MIN(100,D754+G754))</x:f>
        <x:v>50</x:v>
      </x:c>
      <x:c r="I754" s="10" t="n">
        <x:f>0</x:f>
        <x:v>0</x:v>
      </x:c>
      <x:c r="J754" s="10" t="n">
        <x:f>MAX(-'00_Arquitectura'!$B$107,MIN('00_Arquitectura'!$B$107,0))</x:f>
        <x:v>0</x:v>
      </x:c>
      <x:c r="K754" s="10" t="n">
        <x:f>MAX(0,MIN(100,H754+I754+J754))</x:f>
        <x:v>50</x:v>
      </x:c>
      <x:c r="L754" s="10" t="str">
        <x:v>Pulsos y offsets: filtrar Instancias por escenario, turno y targetId. Base separada del nivel visible.</x:v>
      </x:c>
    </x:row>
    <x:row r="755" ht="42" customHeight="1">
      <x:c r="A755" s="5" t="str">
        <x:v>S5_SEGURIDAD</x:v>
      </x:c>
      <x:c r="B755" s="5" t="n">
        <x:v>10</x:v>
      </x:c>
      <x:c r="C755" s="5" t="str">
        <x:v>inflacion</x:v>
      </x:c>
      <x:c r="D755" s="5" t="n">
        <x:f>$H$741</x:f>
        <x:v>40</x:v>
      </x:c>
      <x:c r="E755" s="5" t="n">
        <x:f>0+0</x:f>
        <x:v>0</x:v>
      </x:c>
      <x:c r="F755" s="5" t="n">
        <x:f>-'00_Arquitectura'!$B$96*($H$741-40)</x:f>
        <x:v>0</x:v>
      </x:c>
      <x:c r="G755" s="5" t="n">
        <x:f>MAX(-'00_Arquitectura'!$B$106,MIN('00_Arquitectura'!$B$106,E755+F755))</x:f>
        <x:v>0</x:v>
      </x:c>
      <x:c r="H755" s="5" t="n">
        <x:f>MAX(0,MIN(100,D755+G755))</x:f>
        <x:v>40</x:v>
      </x:c>
      <x:c r="I755" s="5" t="n">
        <x:f>0</x:f>
        <x:v>0</x:v>
      </x:c>
      <x:c r="J755" s="5" t="n">
        <x:f>MAX(-'00_Arquitectura'!$B$107,MIN('00_Arquitectura'!$B$107,0))</x:f>
        <x:v>0</x:v>
      </x:c>
      <x:c r="K755" s="5" t="n">
        <x:f>MAX(0,MIN(100,H755+I755+J755))</x:f>
        <x:v>40</x:v>
      </x:c>
      <x:c r="L755" s="5" t="str">
        <x:v>Aplica link L01. Pulsos y offsets: filtrar Instancias por escenario, turno y targetId. Base separada del nivel visible.</x:v>
      </x:c>
    </x:row>
    <x:row r="756" ht="42" customHeight="1">
      <x:c r="A756" s="10" t="str">
        <x:v>S5_SEGURIDAD</x:v>
      </x:c>
      <x:c r="B756" s="10" t="n">
        <x:v>10</x:v>
      </x:c>
      <x:c r="C756" s="10" t="str">
        <x:v>actividad</x:v>
      </x:c>
      <x:c r="D756" s="10" t="n">
        <x:f>$H$742</x:f>
        <x:v>49.99604501417999</x:v>
      </x:c>
      <x:c r="E756" s="10" t="n">
        <x:f>0+0</x:f>
        <x:v>0</x:v>
      </x:c>
      <x:c r="F756" s="10" t="n">
        <x:f>-'00_Arquitectura'!$B$97*($H$742-50)+'00_Arquitectura'!$B$98*($K$744-45)+'00_Arquitectura'!$B$99*($K$747-45)+'00_Arquitectura'!$B$100*($K$746-45)</x:f>
        <x:v>0.0057020087894815675</x:v>
      </x:c>
      <x:c r="G756" s="10" t="n">
        <x:f>MAX(-'00_Arquitectura'!$B$106,MIN('00_Arquitectura'!$B$106,E756+F756))</x:f>
        <x:v>0.0057020087894815675</x:v>
      </x:c>
      <x:c r="H756" s="10" t="n">
        <x:f>MAX(0,MIN(100,D756+G756))</x:f>
        <x:v>50.001747022969475</x:v>
      </x:c>
      <x:c r="I756" s="10" t="n">
        <x:f>0</x:f>
        <x:v>0</x:v>
      </x:c>
      <x:c r="J756" s="10" t="n">
        <x:f>MAX(-'00_Arquitectura'!$B$107,MIN('00_Arquitectura'!$B$107,$J$1637+$J$1640+$J$1641))</x:f>
        <x:v>0</x:v>
      </x:c>
      <x:c r="K756" s="10" t="n">
        <x:f>MAX(0,MIN(100,H756+I756+J756))</x:f>
        <x:v>50.001747022969475</x:v>
      </x:c>
      <x:c r="L756" s="10" t="str">
        <x:v>Aplica link L02. Pulsos y offsets: filtrar Instancias por escenario, turno y targetId. Base separada del nivel visible.</x:v>
      </x:c>
    </x:row>
    <x:row r="757" ht="42" customHeight="1">
      <x:c r="A757" s="5" t="str">
        <x:v>S5_SEGURIDAD</x:v>
      </x:c>
      <x:c r="B757" s="5" t="n">
        <x:v>10</x:v>
      </x:c>
      <x:c r="C757" s="5" t="str">
        <x:v>ingreso_real</x:v>
      </x:c>
      <x:c r="D757" s="5" t="n">
        <x:f>$H$743</x:f>
        <x:v>44.99888047518</x:v>
      </x:c>
      <x:c r="E757" s="5" t="n">
        <x:f>0+0</x:f>
        <x:v>0</x:v>
      </x:c>
      <x:c r="F757" s="5" t="n">
        <x:f>'00_Arquitectura'!$B$101*($K$742-$K$728)+'00_Arquitectura'!$B$102*($K$741-$K$727)</x:f>
        <x:v>0.0005262769469997153</x:v>
      </x:c>
      <x:c r="G757" s="5" t="n">
        <x:f>MAX(-'00_Arquitectura'!$B$106,MIN('00_Arquitectura'!$B$106,E757+F757))</x:f>
        <x:v>0.0005262769469997153</x:v>
      </x:c>
      <x:c r="H757" s="5" t="n">
        <x:f>MAX(0,MIN(100,D757+G757))</x:f>
        <x:v>44.999406752127</x:v>
      </x:c>
      <x:c r="I757" s="5" t="n">
        <x:f>0</x:f>
        <x:v>0</x:v>
      </x:c>
      <x:c r="J757" s="5" t="n">
        <x:f>MAX(-'00_Arquitectura'!$B$107,MIN('00_Arquitectura'!$B$107,0))</x:f>
        <x:v>0</x:v>
      </x:c>
      <x:c r="K757" s="5" t="n">
        <x:f>MAX(0,MIN(100,H757+I757+J757))</x:f>
        <x:v>44.999406752127</x:v>
      </x:c>
      <x:c r="L757" s="5" t="str">
        <x:v>Aplica link L03. Pulsos y offsets: filtrar Instancias por escenario, turno y targetId. Base separada del nivel visible.</x:v>
      </x:c>
    </x:row>
    <x:row r="758" ht="42" customHeight="1">
      <x:c r="A758" s="10" t="str">
        <x:v>S5_SEGURIDAD</x:v>
      </x:c>
      <x:c r="B758" s="10" t="n">
        <x:v>10</x:v>
      </x:c>
      <x:c r="C758" s="10" t="str">
        <x:v>credito</x:v>
      </x:c>
      <x:c r="D758" s="10" t="n">
        <x:f>$H$744</x:f>
        <x:v>45.0613876453185</x:v>
      </x:c>
      <x:c r="E758" s="10" t="n">
        <x:f>0+0</x:f>
        <x:v>0</x:v>
      </x:c>
      <x:c r="F758" s="10" t="n">
        <x:f>-'00_Arquitectura'!$B$103*($H$744-45)+'00_Arquitectura'!$B$104*($K$741-$K$727)+'00_Arquitectura'!$B$105*($K$745-'00_Arquitectura'!$B$117)</x:f>
        <x:v>0.030761999207025423</x:v>
      </x:c>
      <x:c r="G758" s="10" t="n">
        <x:f>MAX(-'00_Arquitectura'!$B$106,MIN('00_Arquitectura'!$B$106,E758+F758))</x:f>
        <x:v>0.030761999207025423</x:v>
      </x:c>
      <x:c r="H758" s="10" t="n">
        <x:f>MAX(0,MIN(100,D758+G758))</x:f>
        <x:v>45.09214964452552</x:v>
      </x:c>
      <x:c r="I758" s="10" t="n">
        <x:f>0</x:f>
        <x:v>0</x:v>
      </x:c>
      <x:c r="J758" s="10" t="n">
        <x:f>MAX(-'00_Arquitectura'!$B$107,MIN('00_Arquitectura'!$B$107,$J$1639))</x:f>
        <x:v>0</x:v>
      </x:c>
      <x:c r="K758" s="10" t="n">
        <x:f>MAX(0,MIN(100,H758+I758+J758))</x:f>
        <x:v>45.09214964452552</x:v>
      </x:c>
      <x:c r="L758" s="10" t="str">
        <x:v>Aplica link L04. Pulsos y offsets: filtrar Instancias por escenario, turno y targetId. Base separada del nivel visible.</x:v>
      </x:c>
    </x:row>
    <x:row r="759" ht="34" customHeight="1">
      <x:c r="A759" s="5" t="str">
        <x:v>S5_SEGURIDAD</x:v>
      </x:c>
      <x:c r="B759" s="5" t="n">
        <x:v>10</x:v>
      </x:c>
      <x:c r="C759" s="5" t="str">
        <x:v>fiscal</x:v>
      </x:c>
      <x:c r="D759" s="5" t="n">
        <x:f>$H$745</x:f>
        <x:v>59.99850730024</x:v>
      </x:c>
      <x:c r="E759" s="5" t="n">
        <x:f>0+0</x:f>
        <x:v>0</x:v>
      </x:c>
      <x:c r="F759" s="5" t="n">
        <x:f>0</x:f>
        <x:v>0</x:v>
      </x:c>
      <x:c r="G759" s="5" t="n">
        <x:f>MAX(-'00_Arquitectura'!$B$106,MIN('00_Arquitectura'!$B$106,E759+F759))</x:f>
        <x:v>0</x:v>
      </x:c>
      <x:c r="H759" s="5" t="n">
        <x:f>$O$64</x:f>
        <x:v>59.999209002836</x:v>
      </x:c>
      <x:c r="I759" s="5" t="n">
        <x:f>0</x:f>
        <x:v>0</x:v>
      </x:c>
      <x:c r="J759" s="5" t="n">
        <x:f>MAX(-'00_Arquitectura'!$B$107,MIN('00_Arquitectura'!$B$107,0))</x:f>
        <x:v>0</x:v>
      </x:c>
      <x:c r="K759" s="5" t="n">
        <x:f>MAX(0,MIN(100,H759+I759+J759))</x:f>
        <x:v>59.999209002836</x:v>
      </x:c>
      <x:c r="L759" s="5" t="str">
        <x:v>Derivado de caja: ingreso recurrente, gasto, intereses y deuda. Nunca SUM de efectos fiscales directos.</x:v>
      </x:c>
    </x:row>
    <x:row r="760" ht="34" customHeight="1">
      <x:c r="A760" s="10" t="str">
        <x:v>S5_SEGURIDAD</x:v>
      </x:c>
      <x:c r="B760" s="10" t="n">
        <x:v>10</x:v>
      </x:c>
      <x:c r="C760" s="10" t="str">
        <x:v>externo</x:v>
      </x:c>
      <x:c r="D760" s="10" t="n">
        <x:f>$H$746</x:f>
        <x:v>45</x:v>
      </x:c>
      <x:c r="E760" s="10" t="n">
        <x:f>0+0</x:f>
        <x:v>0</x:v>
      </x:c>
      <x:c r="F760" s="10" t="n">
        <x:f>0</x:f>
        <x:v>0</x:v>
      </x:c>
      <x:c r="G760" s="10" t="n">
        <x:f>MAX(-'00_Arquitectura'!$B$106,MIN('00_Arquitectura'!$B$106,E760+F760))</x:f>
        <x:v>0</x:v>
      </x:c>
      <x:c r="H760" s="10" t="n">
        <x:f>MAX(0,MIN(100,D760+G760))</x:f>
        <x:v>45</x:v>
      </x:c>
      <x:c r="I760" s="10" t="n">
        <x:f>0</x:f>
        <x:v>0</x:v>
      </x:c>
      <x:c r="J760" s="10" t="n">
        <x:f>MAX(-'00_Arquitectura'!$B$107,MIN('00_Arquitectura'!$B$107,$J$1638))</x:f>
        <x:v>0</x:v>
      </x:c>
      <x:c r="K760" s="10" t="n">
        <x:f>MAX(0,MIN(100,H760+I760+J760))</x:f>
        <x:v>45</x:v>
      </x:c>
      <x:c r="L760" s="10" t="str">
        <x:v>Pulsos y offsets: filtrar Instancias por escenario, turno y targetId. Base separada del nivel visible.</x:v>
      </x:c>
    </x:row>
    <x:row r="761" ht="34" customHeight="1">
      <x:c r="A761" s="5" t="str">
        <x:v>S5_SEGURIDAD</x:v>
      </x:c>
      <x:c r="B761" s="5" t="n">
        <x:v>10</x:v>
      </x:c>
      <x:c r="C761" s="5" t="str">
        <x:v>infraestructura</x:v>
      </x:c>
      <x:c r="D761" s="5" t="n">
        <x:f>$H$747</x:f>
        <x:v>45</x:v>
      </x:c>
      <x:c r="E761" s="5" t="n">
        <x:f>0+0</x:f>
        <x:v>0</x:v>
      </x:c>
      <x:c r="F761" s="5" t="n">
        <x:f>0</x:f>
        <x:v>0</x:v>
      </x:c>
      <x:c r="G761" s="5" t="n">
        <x:f>MAX(-'00_Arquitectura'!$B$106,MIN('00_Arquitectura'!$B$106,E761+F761))</x:f>
        <x:v>0</x:v>
      </x:c>
      <x:c r="H761" s="5" t="n">
        <x:f>MAX(0,MIN(100,D761+G761))</x:f>
        <x:v>45</x:v>
      </x:c>
      <x:c r="I761" s="5" t="n">
        <x:f>0</x:f>
        <x:v>0</x:v>
      </x:c>
      <x:c r="J761" s="5" t="n">
        <x:f>MAX(-'00_Arquitectura'!$B$107,MIN('00_Arquitectura'!$B$107,0))</x:f>
        <x:v>0</x:v>
      </x:c>
      <x:c r="K761" s="5" t="n">
        <x:f>MAX(0,MIN(100,H761+I761+J761))</x:f>
        <x:v>45</x:v>
      </x:c>
      <x:c r="L761" s="5" t="str">
        <x:v>Pulsos y offsets: filtrar Instancias por escenario, turno y targetId. Base separada del nivel visible.</x:v>
      </x:c>
    </x:row>
    <x:row r="762" ht="34" customHeight="1">
      <x:c r="A762" s="10" t="str">
        <x:v>S5_SEGURIDAD</x:v>
      </x:c>
      <x:c r="B762" s="10" t="n">
        <x:v>10</x:v>
      </x:c>
      <x:c r="C762" s="10" t="str">
        <x:v>educacion</x:v>
      </x:c>
      <x:c r="D762" s="10" t="n">
        <x:f>$H$748</x:f>
        <x:v>50</x:v>
      </x:c>
      <x:c r="E762" s="10" t="n">
        <x:f>0+0</x:f>
        <x:v>0</x:v>
      </x:c>
      <x:c r="F762" s="10" t="n">
        <x:f>0</x:f>
        <x:v>0</x:v>
      </x:c>
      <x:c r="G762" s="10" t="n">
        <x:f>MAX(-'00_Arquitectura'!$B$106,MIN('00_Arquitectura'!$B$106,E762+F762))</x:f>
        <x:v>0</x:v>
      </x:c>
      <x:c r="H762" s="10" t="n">
        <x:f>MAX(0,MIN(100,D762+G762))</x:f>
        <x:v>50</x:v>
      </x:c>
      <x:c r="I762" s="10" t="n">
        <x:f>0</x:f>
        <x:v>0</x:v>
      </x:c>
      <x:c r="J762" s="10" t="n">
        <x:f>MAX(-'00_Arquitectura'!$B$107,MIN('00_Arquitectura'!$B$107,$J$1645))</x:f>
        <x:v>0</x:v>
      </x:c>
      <x:c r="K762" s="10" t="n">
        <x:f>MAX(0,MIN(100,H762+I762+J762))</x:f>
        <x:v>50</x:v>
      </x:c>
      <x:c r="L762" s="10" t="str">
        <x:v>Pulsos y offsets: filtrar Instancias por escenario, turno y targetId. Base separada del nivel visible.</x:v>
      </x:c>
    </x:row>
    <x:row r="763" ht="34" customHeight="1">
      <x:c r="A763" s="5" t="str">
        <x:v>S5_SEGURIDAD</x:v>
      </x:c>
      <x:c r="B763" s="5" t="n">
        <x:v>10</x:v>
      </x:c>
      <x:c r="C763" s="5" t="str">
        <x:v>salud</x:v>
      </x:c>
      <x:c r="D763" s="5" t="n">
        <x:f>$H$749</x:f>
        <x:v>50</x:v>
      </x:c>
      <x:c r="E763" s="5" t="n">
        <x:f>0+0</x:f>
        <x:v>0</x:v>
      </x:c>
      <x:c r="F763" s="5" t="n">
        <x:f>0</x:f>
        <x:v>0</x:v>
      </x:c>
      <x:c r="G763" s="5" t="n">
        <x:f>MAX(-'00_Arquitectura'!$B$106,MIN('00_Arquitectura'!$B$106,E763+F763))</x:f>
        <x:v>0</x:v>
      </x:c>
      <x:c r="H763" s="5" t="n">
        <x:f>MAX(0,MIN(100,D763+G763))</x:f>
        <x:v>50</x:v>
      </x:c>
      <x:c r="I763" s="5" t="n">
        <x:f>0</x:f>
        <x:v>0</x:v>
      </x:c>
      <x:c r="J763" s="5" t="n">
        <x:f>MAX(-'00_Arquitectura'!$B$107,MIN('00_Arquitectura'!$B$107,0))</x:f>
        <x:v>0</x:v>
      </x:c>
      <x:c r="K763" s="5" t="n">
        <x:f>MAX(0,MIN(100,H763+I763+J763))</x:f>
        <x:v>50</x:v>
      </x:c>
      <x:c r="L763" s="5" t="str">
        <x:v>Pulsos y offsets: filtrar Instancias por escenario, turno y targetId. Base separada del nivel visible.</x:v>
      </x:c>
    </x:row>
    <x:row r="764" ht="34" customHeight="1">
      <x:c r="A764" s="10" t="str">
        <x:v>S5_SEGURIDAD</x:v>
      </x:c>
      <x:c r="B764" s="10" t="n">
        <x:v>10</x:v>
      </x:c>
      <x:c r="C764" s="10" t="str">
        <x:v>proteccion</x:v>
      </x:c>
      <x:c r="D764" s="10" t="n">
        <x:f>$H$750</x:f>
        <x:v>45</x:v>
      </x:c>
      <x:c r="E764" s="10" t="n">
        <x:f>0+0</x:f>
        <x:v>0</x:v>
      </x:c>
      <x:c r="F764" s="10" t="n">
        <x:f>0</x:f>
        <x:v>0</x:v>
      </x:c>
      <x:c r="G764" s="10" t="n">
        <x:f>MAX(-'00_Arquitectura'!$B$106,MIN('00_Arquitectura'!$B$106,E764+F764))</x:f>
        <x:v>0</x:v>
      </x:c>
      <x:c r="H764" s="10" t="n">
        <x:f>MAX(0,MIN(100,D764+G764))</x:f>
        <x:v>45</x:v>
      </x:c>
      <x:c r="I764" s="10" t="n">
        <x:f>0</x:f>
        <x:v>0</x:v>
      </x:c>
      <x:c r="J764" s="10" t="n">
        <x:f>MAX(-'00_Arquitectura'!$B$107,MIN('00_Arquitectura'!$B$107,$J$1643+$J$1647))</x:f>
        <x:v>0</x:v>
      </x:c>
      <x:c r="K764" s="10" t="n">
        <x:f>MAX(0,MIN(100,H764+I764+J764))</x:f>
        <x:v>45</x:v>
      </x:c>
      <x:c r="L764" s="10" t="str">
        <x:v>Pulsos y offsets: filtrar Instancias por escenario, turno y targetId. Base separada del nivel visible.</x:v>
      </x:c>
    </x:row>
    <x:row r="765" ht="34" customHeight="1">
      <x:c r="A765" s="5" t="str">
        <x:v>S5_SEGURIDAD</x:v>
      </x:c>
      <x:c r="B765" s="5" t="n">
        <x:v>10</x:v>
      </x:c>
      <x:c r="C765" s="5" t="str">
        <x:v>seguridad</x:v>
      </x:c>
      <x:c r="D765" s="5" t="n">
        <x:f>$H$751</x:f>
        <x:v>45</x:v>
      </x:c>
      <x:c r="E765" s="5" t="n">
        <x:f>0+0</x:f>
        <x:v>0</x:v>
      </x:c>
      <x:c r="F765" s="5" t="n">
        <x:f>0</x:f>
        <x:v>0</x:v>
      </x:c>
      <x:c r="G765" s="5" t="n">
        <x:f>MAX(-'00_Arquitectura'!$B$106,MIN('00_Arquitectura'!$B$106,E765+F765))</x:f>
        <x:v>0</x:v>
      </x:c>
      <x:c r="H765" s="5" t="n">
        <x:f>MAX(0,MIN(100,D765+G765))</x:f>
        <x:v>45</x:v>
      </x:c>
      <x:c r="I765" s="5" t="n">
        <x:f>0</x:f>
        <x:v>0</x:v>
      </x:c>
      <x:c r="J765" s="5" t="n">
        <x:f>MAX(-'00_Arquitectura'!$B$107,MIN('00_Arquitectura'!$B$107,0))</x:f>
        <x:v>0</x:v>
      </x:c>
      <x:c r="K765" s="5" t="n">
        <x:f>MAX(0,MIN(100,H765+I765+J765))</x:f>
        <x:v>45</x:v>
      </x:c>
      <x:c r="L765" s="5" t="str">
        <x:v>Pulsos y offsets: filtrar Instancias por escenario, turno y targetId. Base separada del nivel visible.</x:v>
      </x:c>
    </x:row>
    <x:row r="766" ht="34" customHeight="1">
      <x:c r="A766" s="10" t="str">
        <x:v>S5_SEGURIDAD</x:v>
      </x:c>
      <x:c r="B766" s="10" t="n">
        <x:v>10</x:v>
      </x:c>
      <x:c r="C766" s="10" t="str">
        <x:v>ciencia</x:v>
      </x:c>
      <x:c r="D766" s="10" t="n">
        <x:f>$H$752</x:f>
        <x:v>40</x:v>
      </x:c>
      <x:c r="E766" s="10" t="n">
        <x:f>0+0</x:f>
        <x:v>0</x:v>
      </x:c>
      <x:c r="F766" s="10" t="n">
        <x:f>0</x:f>
        <x:v>0</x:v>
      </x:c>
      <x:c r="G766" s="10" t="n">
        <x:f>MAX(-'00_Arquitectura'!$B$106,MIN('00_Arquitectura'!$B$106,E766+F766))</x:f>
        <x:v>0</x:v>
      </x:c>
      <x:c r="H766" s="10" t="n">
        <x:f>MAX(0,MIN(100,D766+G766))</x:f>
        <x:v>40</x:v>
      </x:c>
      <x:c r="I766" s="10" t="n">
        <x:f>0</x:f>
        <x:v>0</x:v>
      </x:c>
      <x:c r="J766" s="10" t="n">
        <x:f>MAX(-'00_Arquitectura'!$B$107,MIN('00_Arquitectura'!$B$107,$J$1646))</x:f>
        <x:v>0</x:v>
      </x:c>
      <x:c r="K766" s="10" t="n">
        <x:f>MAX(0,MIN(100,H766+I766+J766))</x:f>
        <x:v>40</x:v>
      </x:c>
      <x:c r="L766" s="10" t="str">
        <x:v>Pulsos y offsets: filtrar Instancias por escenario, turno y targetId. Base separada del nivel visible.</x:v>
      </x:c>
    </x:row>
    <x:row r="767" ht="34" customHeight="1">
      <x:c r="A767" s="5" t="str">
        <x:v>S5_SEGURIDAD</x:v>
      </x:c>
      <x:c r="B767" s="5" t="n">
        <x:v>10</x:v>
      </x:c>
      <x:c r="C767" s="5" t="str">
        <x:v>derechos</x:v>
      </x:c>
      <x:c r="D767" s="5" t="n">
        <x:f>$H$753</x:f>
        <x:v>19</x:v>
      </x:c>
      <x:c r="E767" s="5" t="n">
        <x:f>0+0</x:f>
        <x:v>0</x:v>
      </x:c>
      <x:c r="F767" s="5" t="n">
        <x:f>0</x:f>
        <x:v>0</x:v>
      </x:c>
      <x:c r="G767" s="5" t="n">
        <x:f>MAX(-'00_Arquitectura'!$B$106,MIN('00_Arquitectura'!$B$106,E767+F767))</x:f>
        <x:v>0</x:v>
      </x:c>
      <x:c r="H767" s="5" t="n">
        <x:f>MAX(0,MIN(100,D767+G767))</x:f>
        <x:v>19</x:v>
      </x:c>
      <x:c r="I767" s="5" t="n">
        <x:f>0</x:f>
        <x:v>0</x:v>
      </x:c>
      <x:c r="J767" s="5" t="n">
        <x:f>MAX(-'00_Arquitectura'!$B$107,MIN('00_Arquitectura'!$B$107,0))</x:f>
        <x:v>0</x:v>
      </x:c>
      <x:c r="K767" s="5" t="n">
        <x:f>MAX(0,MIN(100,H767+I767+J767))</x:f>
        <x:v>19</x:v>
      </x:c>
      <x:c r="L767" s="5" t="str">
        <x:v>Pulsos y offsets: filtrar Instancias por escenario, turno y targetId. Base separada del nivel visible.</x:v>
      </x:c>
    </x:row>
    <x:row r="768" ht="34" customHeight="1">
      <x:c r="A768" s="10" t="str">
        <x:v>S5_SEGURIDAD</x:v>
      </x:c>
      <x:c r="B768" s="10" t="n">
        <x:v>10</x:v>
      </x:c>
      <x:c r="C768" s="10" t="str">
        <x:v>ambiente</x:v>
      </x:c>
      <x:c r="D768" s="10" t="n">
        <x:f>$H$754</x:f>
        <x:v>50</x:v>
      </x:c>
      <x:c r="E768" s="10" t="n">
        <x:f>0+0</x:f>
        <x:v>0</x:v>
      </x:c>
      <x:c r="F768" s="10" t="n">
        <x:f>0</x:f>
        <x:v>0</x:v>
      </x:c>
      <x:c r="G768" s="10" t="n">
        <x:f>MAX(-'00_Arquitectura'!$B$106,MIN('00_Arquitectura'!$B$106,E768+F768))</x:f>
        <x:v>0</x:v>
      </x:c>
      <x:c r="H768" s="10" t="n">
        <x:f>MAX(0,MIN(100,D768+G768))</x:f>
        <x:v>50</x:v>
      </x:c>
      <x:c r="I768" s="10" t="n">
        <x:f>0</x:f>
        <x:v>0</x:v>
      </x:c>
      <x:c r="J768" s="10" t="n">
        <x:f>MAX(-'00_Arquitectura'!$B$107,MIN('00_Arquitectura'!$B$107,0))</x:f>
        <x:v>0</x:v>
      </x:c>
      <x:c r="K768" s="10" t="n">
        <x:f>MAX(0,MIN(100,H768+I768+J768))</x:f>
        <x:v>50</x:v>
      </x:c>
      <x:c r="L768" s="10" t="str">
        <x:v>Pulsos y offsets: filtrar Instancias por escenario, turno y targetId. Base separada del nivel visible.</x:v>
      </x:c>
    </x:row>
    <x:row r="772" ht="42" customHeight="1">
      <x:c r="A772" s="9" t="str">
        <x:v>scenarioId</x:v>
      </x:c>
      <x:c r="B772" s="9" t="str">
        <x:v>Turno</x:v>
      </x:c>
      <x:c r="C772" s="9" t="str">
        <x:v>actorId</x:v>
      </x:c>
      <x:c r="D772" s="9" t="str">
        <x:v>S anterior</x:v>
      </x:c>
      <x:c r="E772" s="9" t="str">
        <x:v>S objetivo</x:v>
      </x:c>
      <x:c r="F772" s="9" t="str">
        <x:v>S nueva</x:v>
      </x:c>
      <x:c r="G772" s="9" t="str">
        <x:v>Relación</x:v>
      </x:c>
      <x:c r="H772" s="9" t="str">
        <x:v>Bajo umbral hoy</x:v>
      </x:c>
      <x:c r="I772" s="9" t="str">
        <x:v>Conflicto activo</x:v>
      </x:c>
      <x:c r="J772" s="9" t="str">
        <x:v>Canal para t+1</x:v>
      </x:c>
      <x:c r="K772" s="9" t="str">
        <x:v>E social cierre</x:v>
      </x:c>
      <x:c r="L772" s="9" t="str">
        <x:v>Lectura causal</x:v>
      </x:c>
    </x:row>
    <x:row r="773" ht="34" customHeight="1">
      <x:c r="A773" s="5" t="str">
        <x:v>S1_EMISION</x:v>
      </x:c>
      <x:c r="B773" s="5" t="n">
        <x:v>1</x:v>
      </x:c>
      <x:c r="C773" s="5" t="str">
        <x:v>industria</x:v>
      </x:c>
      <x:c r="D773" s="5"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E773" s="5" t="n">
        <x:f>(ABS('03_Sensibilidades'!$C$6)*IF('03_Sensibilidades'!$C$6&lt;0,100-$K$72,$K$72)+ABS('03_Sensibilidades'!$C$7)*IF('03_Sensibilidades'!$C$7&lt;0,100-$K$70,$K$70)+ABS('03_Sensibilidades'!$C$8)*IF('03_Sensibilidades'!$C$8&lt;0,100-$K$75,$K$75)+ABS('03_Sensibilidades'!$C$9)*IF('03_Sensibilidades'!$C$9&lt;0,100-$K$74,$K$74))/(ABS('03_Sensibilidades'!$C$6)+ABS('03_Sensibilidades'!$C$7)+ABS('03_Sensibilidades'!$C$8)+ABS('03_Sensibilidades'!$C$9))</x:f>
        <x:v>47.074074074074076</x:v>
      </x:c>
      <x:c r="F773" s="5" t="n">
        <x:f>(1-'00_Arquitectura'!$B$95)*D773+'00_Arquitectura'!$B$95*E773</x:f>
        <x:v>46.68888888888888</x:v>
      </x:c>
      <x:c r="G773" s="5" t="n">
        <x:f>'02_Actores'!$I$6</x:f>
        <x:v>45</x:v>
      </x:c>
      <x:c r="H773" s="5" t="n">
        <x:f>IF(OR(AND(F773&lt;'00_Arquitectura'!$B$118,G773&lt;'00_Arquitectura'!$B$119),F773&lt;'00_Arquitectura'!$B$120),1,0)</x:f>
        <x:v>0</x:v>
      </x:c>
      <x:c r="I773" s="5" t="n">
        <x:f>0</x:f>
        <x:v>0</x:v>
      </x:c>
      <x:c r="J773" s="5" t="n">
        <x:f>-I773*2*'02_Actores'!$E$6/10</x:f>
        <x:v>0</x:v>
      </x:c>
      <x:c r="K773" s="5" t="n">
        <x:f>($F$773*'02_Actores'!$F$6+$F$774*'02_Actores'!$F$7+$F$775*'02_Actores'!$F$8+$F$776*'02_Actores'!$F$9+$F$777*'02_Actores'!$F$10+$F$778*'02_Actores'!$F$11+$F$779*'02_Actores'!$F$12+$F$780*'02_Actores'!$F$13+$F$781*'02_Actores'!$F$14+$F$782*'02_Actores'!$F$15+$F$783*'02_Actores'!$F$16+$F$784*'02_Actores'!$F$17+$F$785*'02_Actores'!$F$18+$F$786*'02_Actores'!$F$19)/('02_Actores'!$F$6+'02_Actores'!$F$7+'02_Actores'!$F$8+'02_Actores'!$F$9+'02_Actores'!$F$10+'02_Actores'!$F$11+'02_Actores'!$F$12+'02_Actores'!$F$13+'02_Actores'!$F$14+'02_Actores'!$F$15+'02_Actores'!$F$16+'02_Actores'!$F$17+'02_Actores'!$F$18+'02_Actores'!$F$19)</x:f>
        <x:v>48.84115969057228</x:v>
      </x:c>
      <x:c r="L773" s="5" t="str">
        <x:v>J programa offset para t+1; efecto sustituible y acotado, sin voto adicional.</x:v>
      </x:c>
    </x:row>
    <x:row r="774" ht="34" customHeight="1">
      <x:c r="A774" s="10" t="str">
        <x:v>S1_EMISION</x:v>
      </x:c>
      <x:c r="B774" s="10" t="n">
        <x:v>1</x:v>
      </x:c>
      <x:c r="C774" s="10" t="str">
        <x:v>agro</x:v>
      </x:c>
      <x:c r="D774" s="10"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E774" s="10" t="n">
        <x:f>(ABS('03_Sensibilidades'!$C$10)*IF('03_Sensibilidades'!$C$10&lt;0,100-$K$74,$K$74)+ABS('03_Sensibilidades'!$C$11)*IF('03_Sensibilidades'!$C$11&lt;0,100-$K$75,$K$75)+ABS('03_Sensibilidades'!$C$12)*IF('03_Sensibilidades'!$C$12&lt;0,100-$K$82,$K$82)+ABS('03_Sensibilidades'!$C$13)*IF('03_Sensibilidades'!$C$13&lt;0,100-$K$72,$K$72))/(ABS('03_Sensibilidades'!$C$10)+ABS('03_Sensibilidades'!$C$11)+ABS('03_Sensibilidades'!$C$12)+ABS('03_Sensibilidades'!$C$13))</x:f>
        <x:v>45.892857142857146</x:v>
      </x:c>
      <x:c r="F774" s="10" t="n">
        <x:f>(1-'00_Arquitectura'!$B$95)*D774+'00_Arquitectura'!$B$95*E774</x:f>
        <x:v>45.892857142857146</x:v>
      </x:c>
      <x:c r="G774" s="10" t="n">
        <x:f>'02_Actores'!$I$7</x:f>
        <x:v>45</x:v>
      </x:c>
      <x:c r="H774" s="10" t="n">
        <x:f>IF(OR(AND(F774&lt;'00_Arquitectura'!$B$118,G774&lt;'00_Arquitectura'!$B$119),F774&lt;'00_Arquitectura'!$B$120),1,0)</x:f>
        <x:v>0</x:v>
      </x:c>
      <x:c r="I774" s="10" t="n">
        <x:f>0</x:f>
        <x:v>0</x:v>
      </x:c>
      <x:c r="J774" s="10" t="n">
        <x:f>-I774*2*'02_Actores'!$E$7/10</x:f>
        <x:v>0</x:v>
      </x:c>
      <x:c r="K774" s="10" t="n">
        <x:f>$K$773</x:f>
        <x:v>48.84115969057228</x:v>
      </x:c>
      <x:c r="L774" s="10" t="str">
        <x:v>J programa offset para t+1; efecto sustituible y acotado, sin voto adicional.</x:v>
      </x:c>
    </x:row>
    <x:row r="775" ht="34" customHeight="1">
      <x:c r="A775" s="5" t="str">
        <x:v>S1_EMISION</x:v>
      </x:c>
      <x:c r="B775" s="5" t="n">
        <x:v>1</x:v>
      </x:c>
      <x:c r="C775" s="5" t="str">
        <x:v>financiero</x:v>
      </x:c>
      <x:c r="D775" s="5"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01_Indicadores'!$H$18,'01_Indicadores'!$H$18))/(ABS('03_Sensibilidades'!$C$14)+ABS('03_Sensibilidades'!$C$15)+ABS('03_Sensibilidades'!$C$16)+ABS('03_Sensibilidades'!$C$17))</x:f>
        <x:v>55</x:v>
      </x:c>
      <x:c r="E775" s="5" t="n">
        <x:f>(ABS('03_Sensibilidades'!$C$14)*IF('03_Sensibilidades'!$C$14&lt;0,100-$K$73,$K$73)+ABS('03_Sensibilidades'!$C$15)*IF('03_Sensibilidades'!$C$15&lt;0,100-$K$69,$K$69)+ABS('03_Sensibilidades'!$C$16)*IF('03_Sensibilidades'!$C$16&lt;0,100-$K$72,$K$72)+ABS('03_Sensibilidades'!$C$17)*IF('03_Sensibilidades'!$C$17&lt;0,100-$K$81,$K$81))/(ABS('03_Sensibilidades'!$C$14)+ABS('03_Sensibilidades'!$C$15)+ABS('03_Sensibilidades'!$C$16)+ABS('03_Sensibilidades'!$C$17))</x:f>
        <x:v>55</x:v>
      </x:c>
      <x:c r="F775" s="5" t="n">
        <x:f>(1-'00_Arquitectura'!$B$95)*D775+'00_Arquitectura'!$B$95*E775</x:f>
        <x:v>55</x:v>
      </x:c>
      <x:c r="G775" s="5" t="n">
        <x:f>'02_Actores'!$I$8</x:f>
        <x:v>45</x:v>
      </x:c>
      <x:c r="H775" s="5" t="n">
        <x:f>IF(OR(AND(F775&lt;'00_Arquitectura'!$B$118,G775&lt;'00_Arquitectura'!$B$119),F775&lt;'00_Arquitectura'!$B$120),1,0)</x:f>
        <x:v>0</x:v>
      </x:c>
      <x:c r="I775" s="5" t="n">
        <x:f>0</x:f>
        <x:v>0</x:v>
      </x:c>
      <x:c r="J775" s="5" t="n">
        <x:f>-I775*2*'02_Actores'!$E$8/10</x:f>
        <x:v>0</x:v>
      </x:c>
      <x:c r="K775" s="5" t="n">
        <x:f>$K$773</x:f>
        <x:v>48.84115969057228</x:v>
      </x:c>
      <x:c r="L775" s="5" t="str">
        <x:v>J programa offset para t+1; efecto sustituible y acotado, sin voto adicional.</x:v>
      </x:c>
    </x:row>
    <x:row r="776" ht="34" customHeight="1">
      <x:c r="A776" s="10" t="str">
        <x:v>S1_EMISION</x:v>
      </x:c>
      <x:c r="B776" s="10" t="n">
        <x:v>1</x:v>
      </x:c>
      <x:c r="C776" s="10" t="str">
        <x:v>sindicatos</x:v>
      </x:c>
      <x:c r="D776" s="10"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01_Indicadores'!$H$18,'01_Indicadores'!$H$18))/(ABS('03_Sensibilidades'!$C$18)+ABS('03_Sensibilidades'!$C$19)+ABS('03_Sensibilidades'!$C$20)+ABS('03_Sensibilidades'!$C$21))</x:f>
        <x:v>47.93103448275862</x:v>
      </x:c>
      <x:c r="E776" s="10" t="n">
        <x:f>(ABS('03_Sensibilidades'!$C$18)*IF('03_Sensibilidades'!$C$18&lt;0,100-$K$71,$K$71)+ABS('03_Sensibilidades'!$C$19)*IF('03_Sensibilidades'!$C$19&lt;0,100-$K$70,$K$70)+ABS('03_Sensibilidades'!$C$20)*IF('03_Sensibilidades'!$C$20&lt;0,100-$K$78,$K$78)+ABS('03_Sensibilidades'!$C$21)*IF('03_Sensibilidades'!$C$21&lt;0,100-$K$81,$K$81))/(ABS('03_Sensibilidades'!$C$18)+ABS('03_Sensibilidades'!$C$19)+ABS('03_Sensibilidades'!$C$20)+ABS('03_Sensibilidades'!$C$21))</x:f>
        <x:v>48.55172413793103</x:v>
      </x:c>
      <x:c r="F776" s="10" t="n">
        <x:f>(1-'00_Arquitectura'!$B$95)*D776+'00_Arquitectura'!$B$95*E776</x:f>
        <x:v>48.148275862068964</x:v>
      </x:c>
      <x:c r="G776" s="10" t="n">
        <x:f>'02_Actores'!$I$9</x:f>
        <x:v>45</x:v>
      </x:c>
      <x:c r="H776" s="10" t="n">
        <x:f>IF(OR(AND(F776&lt;'00_Arquitectura'!$B$118,G776&lt;'00_Arquitectura'!$B$119),F776&lt;'00_Arquitectura'!$B$120),1,0)</x:f>
        <x:v>0</x:v>
      </x:c>
      <x:c r="I776" s="10" t="n">
        <x:f>0</x:f>
        <x:v>0</x:v>
      </x:c>
      <x:c r="J776" s="10" t="n">
        <x:f>-I776*2*'02_Actores'!$E$9/10</x:f>
        <x:v>0</x:v>
      </x:c>
      <x:c r="K776" s="10" t="n">
        <x:f>$K$773</x:f>
        <x:v>48.84115969057228</x:v>
      </x:c>
      <x:c r="L776" s="10" t="str">
        <x:v>J programa offset para t+1; efecto sustituible y acotado, sin voto adicional.</x:v>
      </x:c>
    </x:row>
    <x:row r="777" ht="34" customHeight="1">
      <x:c r="A777" s="5" t="str">
        <x:v>S1_EMISION</x:v>
      </x:c>
      <x:c r="B777" s="5" t="n">
        <x:v>1</x:v>
      </x:c>
      <x:c r="C777" s="5" t="str">
        <x:v>pymes</x:v>
      </x:c>
      <x:c r="D777" s="5"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E777" s="5" t="n">
        <x:f>(ABS('03_Sensibilidades'!$C$22)*IF('03_Sensibilidades'!$C$22&lt;0,100-$K$72,$K$72)+ABS('03_Sensibilidades'!$C$23)*IF('03_Sensibilidades'!$C$23&lt;0,100-$K$70,$K$70)+ABS('03_Sensibilidades'!$C$24)*IF('03_Sensibilidades'!$C$24&lt;0,100-$K$75,$K$75)+ABS('03_Sensibilidades'!$C$25)*IF('03_Sensibilidades'!$C$25&lt;0,100-$K$69,$K$69))/(ABS('03_Sensibilidades'!$C$22)+ABS('03_Sensibilidades'!$C$23)+ABS('03_Sensibilidades'!$C$24)+ABS('03_Sensibilidades'!$C$25))</x:f>
        <x:v>49.758620689655174</x:v>
      </x:c>
      <x:c r="F777" s="5" t="n">
        <x:f>(1-'00_Arquitectura'!$B$95)*D777+'00_Arquitectura'!$B$95*E777</x:f>
        <x:v>49.355172413793106</x:v>
      </x:c>
      <x:c r="G777" s="5" t="n">
        <x:f>'02_Actores'!$I$10</x:f>
        <x:v>45</x:v>
      </x:c>
      <x:c r="H777" s="5" t="n">
        <x:f>IF(OR(AND(F777&lt;'00_Arquitectura'!$B$118,G777&lt;'00_Arquitectura'!$B$119),F777&lt;'00_Arquitectura'!$B$120),1,0)</x:f>
        <x:v>0</x:v>
      </x:c>
      <x:c r="I777" s="5" t="n">
        <x:f>0</x:f>
        <x:v>0</x:v>
      </x:c>
      <x:c r="J777" s="5" t="n">
        <x:f>-I777*2*'02_Actores'!$E$10/10</x:f>
        <x:v>0</x:v>
      </x:c>
      <x:c r="K777" s="5" t="n">
        <x:f>$K$773</x:f>
        <x:v>48.84115969057228</x:v>
      </x:c>
      <x:c r="L777" s="5" t="str">
        <x:v>J programa offset para t+1; efecto sustituible y acotado, sin voto adicional.</x:v>
      </x:c>
    </x:row>
    <x:row r="778" ht="34" customHeight="1">
      <x:c r="A778" s="10" t="str">
        <x:v>S1_EMISION</x:v>
      </x:c>
      <x:c r="B778" s="10" t="n">
        <x:v>1</x:v>
      </x:c>
      <x:c r="C778" s="10" t="str">
        <x:v>clase_media</x:v>
      </x:c>
      <x:c r="D778" s="10"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E778" s="10" t="n">
        <x:f>(ABS('03_Sensibilidades'!$C$26)*IF('03_Sensibilidades'!$C$26&lt;0,100-$K$71,$K$71)+ABS('03_Sensibilidades'!$C$27)*IF('03_Sensibilidades'!$C$27&lt;0,100-$K$79,$K$79)+ABS('03_Sensibilidades'!$C$28)*IF('03_Sensibilidades'!$C$28&lt;0,100-$K$76,$K$76)+ABS('03_Sensibilidades'!$C$29)*IF('03_Sensibilidades'!$C$29&lt;0,100-$K$69,$K$69))/(ABS('03_Sensibilidades'!$C$26)+ABS('03_Sensibilidades'!$C$27)+ABS('03_Sensibilidades'!$C$28)+ABS('03_Sensibilidades'!$C$29))</x:f>
        <x:v>48.333333333333336</x:v>
      </x:c>
      <x:c r="F778" s="10" t="n">
        <x:f>(1-'00_Arquitectura'!$B$95)*D778+'00_Arquitectura'!$B$95*E778</x:f>
        <x:v>48.333333333333336</x:v>
      </x:c>
      <x:c r="G778" s="10" t="n">
        <x:f>'02_Actores'!$I$11</x:f>
        <x:v>45</x:v>
      </x:c>
      <x:c r="H778" s="10" t="n">
        <x:f>IF(OR(AND(F778&lt;'00_Arquitectura'!$B$118,G778&lt;'00_Arquitectura'!$B$119),F778&lt;'00_Arquitectura'!$B$120),1,0)</x:f>
        <x:v>0</x:v>
      </x:c>
      <x:c r="I778" s="10" t="n">
        <x:f>0</x:f>
        <x:v>0</x:v>
      </x:c>
      <x:c r="J778" s="10" t="n">
        <x:f>0</x:f>
        <x:v>0</x:v>
      </x:c>
      <x:c r="K778" s="10" t="n">
        <x:f>$K$773</x:f>
        <x:v>48.84115969057228</x:v>
      </x:c>
      <x:c r="L778" s="10" t="str">
        <x:v>Canal directo sólo al índice social; sin bono de popularidad.</x:v>
      </x:c>
    </x:row>
    <x:row r="779" ht="34" customHeight="1">
      <x:c r="A779" s="5" t="str">
        <x:v>S1_EMISION</x:v>
      </x:c>
      <x:c r="B779" s="5" t="n">
        <x:v>1</x:v>
      </x:c>
      <x:c r="C779" s="5" t="str">
        <x:v>cooperativas</x:v>
      </x:c>
      <x:c r="D779" s="5"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01_Indicadores'!$H$18,'01_Indicadores'!$H$18))/(ABS('03_Sensibilidades'!$C$30)+ABS('03_Sensibilidades'!$C$31)+ABS('03_Sensibilidades'!$C$32)+ABS('03_Sensibilidades'!$C$33))</x:f>
        <x:v>47.77777777777778</x:v>
      </x:c>
      <x:c r="E779" s="5" t="n">
        <x:f>(ABS('03_Sensibilidades'!$C$30)*IF('03_Sensibilidades'!$C$30&lt;0,100-$K$72,$K$72)+ABS('03_Sensibilidades'!$C$31)*IF('03_Sensibilidades'!$C$31&lt;0,100-$K$70,$K$70)+ABS('03_Sensibilidades'!$C$32)*IF('03_Sensibilidades'!$C$32&lt;0,100-$K$78,$K$78)+ABS('03_Sensibilidades'!$C$33)*IF('03_Sensibilidades'!$C$33&lt;0,100-$K$81,$K$81))/(ABS('03_Sensibilidades'!$C$30)+ABS('03_Sensibilidades'!$C$31)+ABS('03_Sensibilidades'!$C$32)+ABS('03_Sensibilidades'!$C$33))</x:f>
        <x:v>48.2962962962963</x:v>
      </x:c>
      <x:c r="F779" s="5" t="n">
        <x:f>(1-'00_Arquitectura'!$B$95)*D779+'00_Arquitectura'!$B$95*E779</x:f>
        <x:v>47.959259259259255</x:v>
      </x:c>
      <x:c r="G779" s="5" t="n">
        <x:f>'02_Actores'!$I$12</x:f>
        <x:v>45</x:v>
      </x:c>
      <x:c r="H779" s="5" t="n">
        <x:f>IF(OR(AND(F779&lt;'00_Arquitectura'!$B$118,G779&lt;'00_Arquitectura'!$B$119),F779&lt;'00_Arquitectura'!$B$120),1,0)</x:f>
        <x:v>0</x:v>
      </x:c>
      <x:c r="I779" s="5" t="n">
        <x:f>0</x:f>
        <x:v>0</x:v>
      </x:c>
      <x:c r="J779" s="5" t="n">
        <x:f>-I779*1.5*'02_Actores'!$E$12/10</x:f>
        <x:v>0</x:v>
      </x:c>
      <x:c r="K779" s="5" t="n">
        <x:f>$K$773</x:f>
        <x:v>48.84115969057228</x:v>
      </x:c>
      <x:c r="L779" s="5" t="str">
        <x:v>J programa offset para t+1; efecto sustituible y acotado, sin voto adicional.</x:v>
      </x:c>
    </x:row>
    <x:row r="780" ht="42" customHeight="1">
      <x:c r="A780" s="10" t="str">
        <x:v>S1_EMISION</x:v>
      </x:c>
      <x:c r="B780" s="10" t="n">
        <x:v>1</x:v>
      </x:c>
      <x:c r="C780" s="10" t="str">
        <x:v>estudiantes</x:v>
      </x:c>
      <x:c r="D780" s="10" t="n">
        <x:f>(ABS('03_Sensibilidades'!$C$34)*IF('03_Sensibilidades'!$C$34&lt;0,100-'01_Indicadores'!$H$13,'01_Indicadores'!$H$13)+ABS('03_Sensibilidades'!$C$35)*IF('03_Sensibilidades'!$C$35&lt;0,100-'01_Indicadores'!$H$8,'01_Indicadores'!$H$8)+ABS('03_Sensibilidades'!$C$36)*IF('03_Sensibilidades'!$C$36&lt;0,100-'01_Indicadores'!$H$18,'01_Indicadores'!$H$18)+ABS('03_Sensibilidades'!$C$37)*IF('03_Sensibilidades'!$C$37&lt;0,100-'01_Indicadores'!$H$17,'01_Indicadores'!$H$17))/(ABS('03_Sensibilidades'!$C$34)+ABS('03_Sensibilidades'!$C$35)+ABS('03_Sensibilidades'!$C$36)+ABS('03_Sensibilidades'!$C$37))</x:f>
        <x:v>49.2</x:v>
      </x:c>
      <x:c r="E780" s="10" t="n">
        <x:f>(ABS('03_Sensibilidades'!$C$34)*IF('03_Sensibilidades'!$C$34&lt;0,100-$K$76,$K$76)+ABS('03_Sensibilidades'!$C$35)*IF('03_Sensibilidades'!$C$35&lt;0,100-$K$71,$K$71)+ABS('03_Sensibilidades'!$C$36)*IF('03_Sensibilidades'!$C$36&lt;0,100-$K$81,$K$81)+ABS('03_Sensibilidades'!$C$37)*IF('03_Sensibilidades'!$C$37&lt;0,100-$K$80,$K$80))/(ABS('03_Sensibilidades'!$C$34)+ABS('03_Sensibilidades'!$C$35)+ABS('03_Sensibilidades'!$C$36)+ABS('03_Sensibilidades'!$C$37))</x:f>
        <x:v>49.2</x:v>
      </x:c>
      <x:c r="F780" s="10" t="n">
        <x:f>(1-'00_Arquitectura'!$B$95)*D780+'00_Arquitectura'!$B$95*E780</x:f>
        <x:v>49.2</x:v>
      </x:c>
      <x:c r="G780" s="10" t="n">
        <x:f>'02_Actores'!$I$13</x:f>
        <x:v>45</x:v>
      </x:c>
      <x:c r="H780" s="10" t="n">
        <x:f>IF(OR(AND(F780&lt;'00_Arquitectura'!$B$118,G780&lt;'00_Arquitectura'!$B$119),F780&lt;'00_Arquitectura'!$B$120),1,0)</x:f>
        <x:v>0</x:v>
      </x:c>
      <x:c r="I780" s="10" t="n">
        <x:f>0</x:f>
        <x:v>0</x:v>
      </x:c>
      <x:c r="J780" s="10" t="n">
        <x:f>0</x:f>
        <x:v>0</x:v>
      </x:c>
      <x:c r="K780" s="10" t="n">
        <x:f>$K$773</x:f>
        <x:v>48.84115969057228</x:v>
      </x:c>
      <x:c r="L780" s="10" t="str">
        <x:v>Conflicto activo captura menor eficacia en políticas ejecutadas en t+1. Magnitud0 en J: no es un offset directo de indicador.</x:v>
      </x:c>
    </x:row>
    <x:row r="781" ht="34" customHeight="1">
      <x:c r="A781" s="5" t="str">
        <x:v>S1_EMISION</x:v>
      </x:c>
      <x:c r="B781" s="5" t="n">
        <x:v>1</x:v>
      </x:c>
      <x:c r="C781" s="5" t="str">
        <x:v>docentes</x:v>
      </x:c>
      <x:c r="D781" s="5" t="n">
        <x:f>(ABS('03_Sensibilidades'!$C$38)*IF('03_Sensibilidades'!$C$38&lt;0,100-'01_Indicadores'!$H$13,'01_Indicadores'!$H$13)+ABS('03_Sensibilidades'!$C$39)*IF('03_Sensibilidades'!$C$39&lt;0,100-'01_Indicadores'!$H$8,'01_Indicadores'!$H$8)+ABS('03_Sensibilidades'!$C$40)*IF('03_Sensibilidades'!$C$40&lt;0,100-'01_Indicadores'!$H$18,'01_Indicadores'!$H$18))/(ABS('03_Sensibilidades'!$C$38)+ABS('03_Sensibilidades'!$C$39)+ABS('03_Sensibilidades'!$C$40))</x:f>
        <x:v>48.91304347826087</x:v>
      </x:c>
      <x:c r="E781" s="5" t="n">
        <x:f>(ABS('03_Sensibilidades'!$C$38)*IF('03_Sensibilidades'!$C$38&lt;0,100-$K$76,$K$76)+ABS('03_Sensibilidades'!$C$39)*IF('03_Sensibilidades'!$C$39&lt;0,100-$K$71,$K$71)+ABS('03_Sensibilidades'!$C$40)*IF('03_Sensibilidades'!$C$40&lt;0,100-$K$81,$K$81))/(ABS('03_Sensibilidades'!$C$38)+ABS('03_Sensibilidades'!$C$39)+ABS('03_Sensibilidades'!$C$40))</x:f>
        <x:v>48.91304347826087</x:v>
      </x:c>
      <x:c r="F781" s="5" t="n">
        <x:f>(1-'00_Arquitectura'!$B$95)*D781+'00_Arquitectura'!$B$95*E781</x:f>
        <x:v>48.91304347826087</x:v>
      </x:c>
      <x:c r="G781" s="5" t="n">
        <x:f>'02_Actores'!$I$14</x:f>
        <x:v>45</x:v>
      </x:c>
      <x:c r="H781" s="5" t="n">
        <x:f>IF(OR(AND(F781&lt;'00_Arquitectura'!$B$118,G781&lt;'00_Arquitectura'!$B$119),F781&lt;'00_Arquitectura'!$B$120),1,0)</x:f>
        <x:v>0</x:v>
      </x:c>
      <x:c r="I781" s="5" t="n">
        <x:f>0</x:f>
        <x:v>0</x:v>
      </x:c>
      <x:c r="J781" s="5" t="n">
        <x:f>-I781*1.5*'02_Actores'!$E$14/10</x:f>
        <x:v>0</x:v>
      </x:c>
      <x:c r="K781" s="5" t="n">
        <x:f>$K$773</x:f>
        <x:v>48.84115969057228</x:v>
      </x:c>
      <x:c r="L781" s="5" t="str">
        <x:v>J programa offset para t+1; efecto sustituible y acotado, sin voto adicional.</x:v>
      </x:c>
    </x:row>
    <x:row r="782" ht="34" customHeight="1">
      <x:c r="A782" s="10" t="str">
        <x:v>S1_EMISION</x:v>
      </x:c>
      <x:c r="B782" s="10" t="n">
        <x:v>1</x:v>
      </x:c>
      <x:c r="C782" s="10" t="str">
        <x:v>cientificos</x:v>
      </x:c>
      <x:c r="D782" s="10" t="n">
        <x:f>(ABS('03_Sensibilidades'!$C$41)*IF('03_Sensibilidades'!$C$41&lt;0,100-'01_Indicadores'!$H$17,'01_Indicadores'!$H$17)+ABS('03_Sensibilidades'!$C$42)*IF('03_Sensibilidades'!$C$42&lt;0,100-'01_Indicadores'!$H$13,'01_Indicadores'!$H$13)+ABS('03_Sensibilidades'!$C$43)*IF('03_Sensibilidades'!$C$43&lt;0,100-'01_Indicadores'!$H$18,'01_Indicadores'!$H$18))/(ABS('03_Sensibilidades'!$C$41)+ABS('03_Sensibilidades'!$C$42)+ABS('03_Sensibilidades'!$C$43))</x:f>
        <x:v>46.59090909090909</x:v>
      </x:c>
      <x:c r="E782" s="10" t="n">
        <x:f>(ABS('03_Sensibilidades'!$C$41)*IF('03_Sensibilidades'!$C$41&lt;0,100-$K$80,$K$80)+ABS('03_Sensibilidades'!$C$42)*IF('03_Sensibilidades'!$C$42&lt;0,100-$K$76,$K$76)+ABS('03_Sensibilidades'!$C$43)*IF('03_Sensibilidades'!$C$43&lt;0,100-$K$81,$K$81))/(ABS('03_Sensibilidades'!$C$41)+ABS('03_Sensibilidades'!$C$42)+ABS('03_Sensibilidades'!$C$43))</x:f>
        <x:v>46.59090909090909</x:v>
      </x:c>
      <x:c r="F782" s="10" t="n">
        <x:f>(1-'00_Arquitectura'!$B$95)*D782+'00_Arquitectura'!$B$95*E782</x:f>
        <x:v>46.59090909090909</x:v>
      </x:c>
      <x:c r="G782" s="10" t="n">
        <x:f>'02_Actores'!$I$15</x:f>
        <x:v>45</x:v>
      </x:c>
      <x:c r="H782" s="10" t="n">
        <x:f>IF(OR(AND(F782&lt;'00_Arquitectura'!$B$118,G782&lt;'00_Arquitectura'!$B$119),F782&lt;'00_Arquitectura'!$B$120),1,0)</x:f>
        <x:v>0</x:v>
      </x:c>
      <x:c r="I782" s="10" t="n">
        <x:f>0</x:f>
        <x:v>0</x:v>
      </x:c>
      <x:c r="J782" s="10" t="n">
        <x:f>-I782*1.5*'02_Actores'!$E$15/10</x:f>
        <x:v>0</x:v>
      </x:c>
      <x:c r="K782" s="10" t="n">
        <x:f>$K$773</x:f>
        <x:v>48.84115969057228</x:v>
      </x:c>
      <x:c r="L782" s="10" t="str">
        <x:v>J programa offset para t+1; efecto sustituible y acotado, sin voto adicional.</x:v>
      </x:c>
    </x:row>
    <x:row r="783" ht="34" customHeight="1">
      <x:c r="A783" s="5" t="str">
        <x:v>S1_EMISION</x:v>
      </x:c>
      <x:c r="B783" s="5" t="n">
        <x:v>1</x:v>
      </x:c>
      <x:c r="C783" s="5" t="str">
        <x:v>organizaciones</x:v>
      </x:c>
      <x:c r="D783" s="5"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01_Indicadores'!$H$18,'01_Indicadores'!$H$18))/(ABS('03_Sensibilidades'!$C$44)+ABS('03_Sensibilidades'!$C$45)+ABS('03_Sensibilidades'!$C$46)+ABS('03_Sensibilidades'!$C$47))</x:f>
        <x:v>49.107142857142854</x:v>
      </x:c>
      <x:c r="E783" s="5" t="n">
        <x:f>(ABS('03_Sensibilidades'!$C$44)*IF('03_Sensibilidades'!$C$44&lt;0,100-$K$78,$K$78)+ABS('03_Sensibilidades'!$C$45)*IF('03_Sensibilidades'!$C$45&lt;0,100-$K$77,$K$77)+ABS('03_Sensibilidades'!$C$46)*IF('03_Sensibilidades'!$C$46&lt;0,100-$K$70,$K$70)+ABS('03_Sensibilidades'!$C$47)*IF('03_Sensibilidades'!$C$47&lt;0,100-$K$81,$K$81))/(ABS('03_Sensibilidades'!$C$44)+ABS('03_Sensibilidades'!$C$45)+ABS('03_Sensibilidades'!$C$46)+ABS('03_Sensibilidades'!$C$47))</x:f>
        <x:v>49.535714285714285</x:v>
      </x:c>
      <x:c r="F783" s="5" t="n">
        <x:f>(1-'00_Arquitectura'!$B$95)*D783+'00_Arquitectura'!$B$95*E783</x:f>
        <x:v>49.25714285714285</x:v>
      </x:c>
      <x:c r="G783" s="5" t="n">
        <x:f>'02_Actores'!$I$16</x:f>
        <x:v>45</x:v>
      </x:c>
      <x:c r="H783" s="5" t="n">
        <x:f>IF(OR(AND(F783&lt;'00_Arquitectura'!$B$118,G783&lt;'00_Arquitectura'!$B$119),F783&lt;'00_Arquitectura'!$B$120),1,0)</x:f>
        <x:v>0</x:v>
      </x:c>
      <x:c r="I783" s="5" t="n">
        <x:f>0</x:f>
        <x:v>0</x:v>
      </x:c>
      <x:c r="J783" s="5" t="n">
        <x:f>-I783*1.5*'02_Actores'!$E$16/10</x:f>
        <x:v>0</x:v>
      </x:c>
      <x:c r="K783" s="5" t="n">
        <x:f>$K$773</x:f>
        <x:v>48.84115969057228</x:v>
      </x:c>
      <x:c r="L783" s="5" t="str">
        <x:v>J programa offset para t+1; efecto sustituible y acotado, sin voto adicional.</x:v>
      </x:c>
    </x:row>
    <x:row r="784" ht="42" customHeight="1">
      <x:c r="A784" s="10" t="str">
        <x:v>S1_EMISION</x:v>
      </x:c>
      <x:c r="B784" s="10" t="n">
        <x:v>1</x:v>
      </x:c>
      <x:c r="C784" s="10" t="str">
        <x:v>ddhh</x:v>
      </x:c>
      <x:c r="D784" s="10" t="n">
        <x:f>(ABS('03_Sensibilidades'!$C$48)*IF('03_Sensibilidades'!$C$48&lt;0,100-'01_Indicadores'!$H$18,'01_Indicadores'!$H$18)+ABS('03_Sensibilidades'!$C$49)*IF('03_Sensibilidades'!$C$49&lt;0,100-'01_Indicadores'!$H$16,'01_Indicadores'!$H$16)+ABS('03_Sensibilidades'!$C$50)*IF('03_Sensibilidades'!$C$50&lt;0,100-'01_Indicadores'!$H$15,'01_Indicadores'!$H$15))/(ABS('03_Sensibilidades'!$C$48)+ABS('03_Sensibilidades'!$C$49)+ABS('03_Sensibilidades'!$C$50))</x:f>
        <x:v>50.88235294117647</x:v>
      </x:c>
      <x:c r="E784" s="10" t="n">
        <x:f>(ABS('03_Sensibilidades'!$C$48)*IF('03_Sensibilidades'!$C$48&lt;0,100-$K$81,$K$81)+ABS('03_Sensibilidades'!$C$49)*IF('03_Sensibilidades'!$C$49&lt;0,100-$K$79,$K$79)+ABS('03_Sensibilidades'!$C$50)*IF('03_Sensibilidades'!$C$50&lt;0,100-$K$78,$K$78))/(ABS('03_Sensibilidades'!$C$48)+ABS('03_Sensibilidades'!$C$49)+ABS('03_Sensibilidades'!$C$50))</x:f>
        <x:v>50.88235294117647</x:v>
      </x:c>
      <x:c r="F784" s="10" t="n">
        <x:f>(1-'00_Arquitectura'!$B$95)*D784+'00_Arquitectura'!$B$95*E784</x:f>
        <x:v>50.88235294117648</x:v>
      </x:c>
      <x:c r="G784" s="10" t="n">
        <x:f>'02_Actores'!$I$17</x:f>
        <x:v>45</x:v>
      </x:c>
      <x:c r="H784" s="10" t="n">
        <x:f>IF(OR(AND(F784&lt;'00_Arquitectura'!$B$118,G784&lt;'00_Arquitectura'!$B$119),F784&lt;'00_Arquitectura'!$B$120),1,0)</x:f>
        <x:v>0</x:v>
      </x:c>
      <x:c r="I784" s="10" t="n">
        <x:f>0</x:f>
        <x:v>0</x:v>
      </x:c>
      <x:c r="J784" s="10" t="n">
        <x:f>0</x:f>
        <x:v>0</x:v>
      </x:c>
      <x:c r="K784" s="10" t="n">
        <x:f>$K$773</x:f>
        <x:v>48.84115969057228</x:v>
      </x:c>
      <x:c r="L784" s="10" t="str">
        <x:v>Conflicto activo captura menor eficacia en políticas ejecutadas en t+1. Magnitud0 en J: no es un offset directo de indicador.</x:v>
      </x:c>
    </x:row>
    <x:row r="785" ht="42" customHeight="1">
      <x:c r="A785" s="5" t="str">
        <x:v>S1_EMISION</x:v>
      </x:c>
      <x:c r="B785" s="5" t="n">
        <x:v>1</x:v>
      </x:c>
      <x:c r="C785" s="5" t="str">
        <x:v>ambientalistas</x:v>
      </x:c>
      <x:c r="D785" s="5" t="n">
        <x:f>(ABS('03_Sensibilidades'!$C$51)*IF('03_Sensibilidades'!$C$51&lt;0,100-'01_Indicadores'!$H$19,'01_Indicadores'!$H$19)+ABS('03_Sensibilidades'!$C$52)*IF('03_Sensibilidades'!$C$52&lt;0,100-'01_Indicadores'!$H$18,'01_Indicadores'!$H$18)+ABS('03_Sensibilidades'!$C$53)*IF('03_Sensibilidades'!$C$53&lt;0,100-'01_Indicadores'!$H$14,'01_Indicadores'!$H$14))/(ABS('03_Sensibilidades'!$C$51)+ABS('03_Sensibilidades'!$C$52)+ABS('03_Sensibilidades'!$C$53))</x:f>
        <x:v>51.388888888888886</x:v>
      </x:c>
      <x:c r="E785" s="5" t="n">
        <x:f>(ABS('03_Sensibilidades'!$C$51)*IF('03_Sensibilidades'!$C$51&lt;0,100-$K$82,$K$82)+ABS('03_Sensibilidades'!$C$52)*IF('03_Sensibilidades'!$C$52&lt;0,100-$K$81,$K$81)+ABS('03_Sensibilidades'!$C$53)*IF('03_Sensibilidades'!$C$53&lt;0,100-$K$77,$K$77))/(ABS('03_Sensibilidades'!$C$51)+ABS('03_Sensibilidades'!$C$52)+ABS('03_Sensibilidades'!$C$53))</x:f>
        <x:v>51.388888888888886</x:v>
      </x:c>
      <x:c r="F785" s="5" t="n">
        <x:f>(1-'00_Arquitectura'!$B$95)*D785+'00_Arquitectura'!$B$95*E785</x:f>
        <x:v>51.388888888888886</x:v>
      </x:c>
      <x:c r="G785" s="5" t="n">
        <x:f>'02_Actores'!$I$18</x:f>
        <x:v>45</x:v>
      </x:c>
      <x:c r="H785" s="5" t="n">
        <x:f>IF(OR(AND(F785&lt;'00_Arquitectura'!$B$118,G785&lt;'00_Arquitectura'!$B$119),F785&lt;'00_Arquitectura'!$B$120),1,0)</x:f>
        <x:v>0</x:v>
      </x:c>
      <x:c r="I785" s="5" t="n">
        <x:f>0</x:f>
        <x:v>0</x:v>
      </x:c>
      <x:c r="J785" s="5" t="n">
        <x:f>0</x:f>
        <x:v>0</x:v>
      </x:c>
      <x:c r="K785" s="5" t="n">
        <x:f>$K$773</x:f>
        <x:v>48.84115969057228</x:v>
      </x:c>
      <x:c r="L785" s="5" t="str">
        <x:v>Conflicto activo captura menor eficacia en políticas ejecutadas en t+1. Magnitud0 en J: no es un offset directo de indicador.</x:v>
      </x:c>
    </x:row>
    <x:row r="786" ht="34" customHeight="1">
      <x:c r="A786" s="10" t="str">
        <x:v>S1_EMISION</x:v>
      </x:c>
      <x:c r="B786" s="10" t="n">
        <x:v>1</x:v>
      </x:c>
      <x:c r="C786" s="10" t="str">
        <x:v>cultura</x:v>
      </x:c>
      <x:c r="D786" s="10" t="n">
        <x:f>(ABS('03_Sensibilidades'!$C$54)*IF('03_Sensibilidades'!$C$54&lt;0,100-'01_Indicadores'!$H$18,'01_Indicadores'!$H$18)+ABS('03_Sensibilidades'!$C$55)*IF('03_Sensibilidades'!$C$55&lt;0,100-'01_Indicadores'!$H$13,'01_Indicadores'!$H$13)+ABS('03_Sensibilidades'!$C$56)*IF('03_Sensibilidades'!$C$56&lt;0,100-'01_Indicadores'!$H$8,'01_Indicadores'!$H$8))/(ABS('03_Sensibilidades'!$C$54)+ABS('03_Sensibilidades'!$C$55)+ABS('03_Sensibilidades'!$C$56))</x:f>
        <x:v>50.78947368421053</x:v>
      </x:c>
      <x:c r="E786" s="10" t="n">
        <x:f>(ABS('03_Sensibilidades'!$C$54)*IF('03_Sensibilidades'!$C$54&lt;0,100-$K$81,$K$81)+ABS('03_Sensibilidades'!$C$55)*IF('03_Sensibilidades'!$C$55&lt;0,100-$K$76,$K$76)+ABS('03_Sensibilidades'!$C$56)*IF('03_Sensibilidades'!$C$56&lt;0,100-$K$71,$K$71))/(ABS('03_Sensibilidades'!$C$54)+ABS('03_Sensibilidades'!$C$55)+ABS('03_Sensibilidades'!$C$56))</x:f>
        <x:v>50.78947368421053</x:v>
      </x:c>
      <x:c r="F786" s="10" t="n">
        <x:f>(1-'00_Arquitectura'!$B$95)*D786+'00_Arquitectura'!$B$95*E786</x:f>
        <x:v>50.78947368421053</x:v>
      </x:c>
      <x:c r="G786" s="10" t="n">
        <x:f>'02_Actores'!$I$19</x:f>
        <x:v>45</x:v>
      </x:c>
      <x:c r="H786" s="10" t="n">
        <x:f>IF(OR(AND(F786&lt;'00_Arquitectura'!$B$118,G786&lt;'00_Arquitectura'!$B$119),F786&lt;'00_Arquitectura'!$B$120),1,0)</x:f>
        <x:v>0</x:v>
      </x:c>
      <x:c r="I786" s="10" t="n">
        <x:f>0</x:f>
        <x:v>0</x:v>
      </x:c>
      <x:c r="J786" s="10" t="n">
        <x:f>0</x:f>
        <x:v>0</x:v>
      </x:c>
      <x:c r="K786" s="10" t="n">
        <x:f>$K$773</x:f>
        <x:v>48.84115969057228</x:v>
      </x:c>
      <x:c r="L786" s="10" t="str">
        <x:v>Conflicto activo encarece agenda del turno siguiente; sin castigo electoral adicional.</x:v>
      </x:c>
    </x:row>
    <x:row r="787" ht="34" customHeight="1">
      <x:c r="A787" s="5" t="str">
        <x:v>S1_EMISION</x:v>
      </x:c>
      <x:c r="B787" s="5" t="n">
        <x:v>1</x:v>
      </x:c>
      <x:c r="C787" s="5" t="str">
        <x:v>oficialismo</x:v>
      </x:c>
      <x:c r="D787" s="5" t="n">
        <x:f>(ABS('03_Sensibilidades'!$C$57)*IF('03_Sensibilidades'!$C$57&lt;0,100-'01_Indicadores'!$H$18,'01_Indicadores'!$H$18)+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52.12</x:v>
      </x:c>
      <x:c r="E787" s="5" t="n">
        <x:f>(ABS('03_Sensibilidades'!$C$57)*IF('03_Sensibilidades'!$C$57&lt;0,100-$K$81,$K$81)+ABS('03_Sensibilidades'!$C$58)*IF('03_Sensibilidades'!$C$58&lt;0,100-$K$70,$K$70)+ABS('03_Sensibilidades'!$C$59)*IF('03_Sensibilidades'!$C$59&lt;0,100-$K$73,$K$73)+ABS('03_Sensibilidades'!$C$60)*IF('03_Sensibilidades'!$C$60&lt;0,100-$K$78,$K$78))/(ABS('03_Sensibilidades'!$C$57)+ABS('03_Sensibilidades'!$C$58)+ABS('03_Sensibilidades'!$C$59)+ABS('03_Sensibilidades'!$C$60))</x:f>
        <x:v>52.76</x:v>
      </x:c>
      <x:c r="F787" s="5" t="n">
        <x:f>(1-'00_Arquitectura'!$B$95)*D787+'00_Arquitectura'!$B$95*E787</x:f>
        <x:v>52.343999999999994</x:v>
      </x:c>
      <x:c r="G787" s="5" t="n">
        <x:f>'02_Actores'!$I$20</x:f>
        <x:v>60</x:v>
      </x:c>
      <x:c r="H787" s="5" t="n">
        <x:f>IF(OR(AND(F787&lt;'00_Arquitectura'!$B$118,G787&lt;'00_Arquitectura'!$B$119),F787&lt;'00_Arquitectura'!$B$120),1,0)</x:f>
        <x:v>0</x:v>
      </x:c>
      <x:c r="I787" s="5" t="n">
        <x:f>0</x:f>
        <x:v>0</x:v>
      </x:c>
      <x:c r="J787" s="5" t="n">
        <x:f>0</x:f>
        <x:v>0</x:v>
      </x:c>
      <x:c r="K787" s="5" t="n">
        <x:f>$K$773</x:f>
        <x:v>48.84115969057228</x:v>
      </x:c>
      <x:c r="L787" s="5" t="str">
        <x:v>No aporta E_social; S y R alimentan disposición a leyes según07.</x:v>
      </x:c>
    </x:row>
    <x:row r="788" ht="34" customHeight="1">
      <x:c r="A788" s="10" t="str">
        <x:v>S1_EMISION</x:v>
      </x:c>
      <x:c r="B788" s="10" t="n">
        <x:v>1</x:v>
      </x:c>
      <x:c r="C788" s="10" t="str">
        <x:v>aliados</x:v>
      </x:c>
      <x:c r="D788" s="10" t="n">
        <x:f>(ABS('03_Sensibilidades'!$C$61)*IF('03_Sensibilidades'!$C$61&lt;0,100-'01_Indicadores'!$H$18,'01_Indicadores'!$H$18)+ABS('03_Sensibilidades'!$C$62)*IF('03_Sensibilidades'!$C$62&lt;0,100-'01_Indicadores'!$H$10,'01_Indicadores'!$H$10)+ABS('03_Sensibilidades'!$C$63)*IF('03_Sensibilidades'!$C$63&lt;0,100-'01_Indicadores'!$H$12,'01_Indicadores'!$H$12))/(ABS('03_Sensibilidades'!$C$61)+ABS('03_Sensibilidades'!$C$62)+ABS('03_Sensibilidades'!$C$63))</x:f>
        <x:v>53.142857142857146</x:v>
      </x:c>
      <x:c r="E788" s="10" t="n">
        <x:f>(ABS('03_Sensibilidades'!$C$61)*IF('03_Sensibilidades'!$C$61&lt;0,100-$K$81,$K$81)+ABS('03_Sensibilidades'!$C$62)*IF('03_Sensibilidades'!$C$62&lt;0,100-$K$73,$K$73)+ABS('03_Sensibilidades'!$C$63)*IF('03_Sensibilidades'!$C$63&lt;0,100-$K$75,$K$75))/(ABS('03_Sensibilidades'!$C$61)+ABS('03_Sensibilidades'!$C$62)+ABS('03_Sensibilidades'!$C$63))</x:f>
        <x:v>53.142857142857146</x:v>
      </x:c>
      <x:c r="F788" s="10" t="n">
        <x:f>(1-'00_Arquitectura'!$B$95)*D788+'00_Arquitectura'!$B$95*E788</x:f>
        <x:v>53.142857142857146</x:v>
      </x:c>
      <x:c r="G788" s="10" t="n">
        <x:f>'02_Actores'!$I$21</x:f>
        <x:v>45</x:v>
      </x:c>
      <x:c r="H788" s="10" t="n">
        <x:f>IF(OR(AND(F788&lt;'00_Arquitectura'!$B$118,G788&lt;'00_Arquitectura'!$B$119),F788&lt;'00_Arquitectura'!$B$120),1,0)</x:f>
        <x:v>0</x:v>
      </x:c>
      <x:c r="I788" s="10" t="n">
        <x:f>0</x:f>
        <x:v>0</x:v>
      </x:c>
      <x:c r="J788" s="10" t="n">
        <x:f>0</x:f>
        <x:v>0</x:v>
      </x:c>
      <x:c r="K788" s="10" t="n">
        <x:f>$K$773</x:f>
        <x:v>48.84115969057228</x:v>
      </x:c>
      <x:c r="L788" s="10" t="str">
        <x:v>No aporta E_social; S y R alimentan disposición a leyes según07.</x:v>
      </x:c>
    </x:row>
    <x:row r="789" ht="34" customHeight="1">
      <x:c r="A789" s="5" t="str">
        <x:v>S1_EMISION</x:v>
      </x:c>
      <x:c r="B789" s="5" t="n">
        <x:v>1</x:v>
      </x:c>
      <x:c r="C789" s="5" t="str">
        <x:v>oposicion</x:v>
      </x:c>
      <x:c r="D789" s="5" t="n">
        <x:f>(ABS('03_Sensibilidades'!$C$64)*IF('03_Sensibilidades'!$C$64&lt;0,100-'01_Indicadores'!$H$18,'01_Indicadores'!$H$18)+ABS('03_Sensibilidades'!$C$65)*IF('03_Sensibilidades'!$C$65&lt;0,100-'01_Indicadores'!$H$10,'01_Indicadores'!$H$10)+ABS('03_Sensibilidades'!$C$66)*IF('03_Sensibilidades'!$C$66&lt;0,100-'01_Indicadores'!$H$16,'01_Indicadores'!$H$16))/(ABS('03_Sensibilidades'!$C$64)+ABS('03_Sensibilidades'!$C$65)+ABS('03_Sensibilidades'!$C$66))</x:f>
        <x:v>53.9</x:v>
      </x:c>
      <x:c r="E789" s="5" t="n">
        <x:f>(ABS('03_Sensibilidades'!$C$64)*IF('03_Sensibilidades'!$C$64&lt;0,100-$K$81,$K$81)+ABS('03_Sensibilidades'!$C$65)*IF('03_Sensibilidades'!$C$65&lt;0,100-$K$73,$K$73)+ABS('03_Sensibilidades'!$C$66)*IF('03_Sensibilidades'!$C$66&lt;0,100-$K$79,$K$79))/(ABS('03_Sensibilidades'!$C$64)+ABS('03_Sensibilidades'!$C$65)+ABS('03_Sensibilidades'!$C$66))</x:f>
        <x:v>53.9</x:v>
      </x:c>
      <x:c r="F789" s="5" t="n">
        <x:f>(1-'00_Arquitectura'!$B$95)*D789+'00_Arquitectura'!$B$95*E789</x:f>
        <x:v>53.900000000000006</x:v>
      </x:c>
      <x:c r="G789" s="5" t="n">
        <x:f>'02_Actores'!$I$22</x:f>
        <x:v>30</x:v>
      </x:c>
      <x:c r="H789" s="5" t="n">
        <x:f>IF(OR(AND(F789&lt;'00_Arquitectura'!$B$118,G789&lt;'00_Arquitectura'!$B$119),F789&lt;'00_Arquitectura'!$B$120),1,0)</x:f>
        <x:v>0</x:v>
      </x:c>
      <x:c r="I789" s="5" t="n">
        <x:f>0</x:f>
        <x:v>0</x:v>
      </x:c>
      <x:c r="J789" s="5" t="n">
        <x:f>0</x:f>
        <x:v>0</x:v>
      </x:c>
      <x:c r="K789" s="5" t="n">
        <x:f>$K$773</x:f>
        <x:v>48.84115969057228</x:v>
      </x:c>
      <x:c r="L789" s="5" t="str">
        <x:v>No aporta E_social; S y R alimentan disposición a leyes según07.</x:v>
      </x:c>
    </x:row>
    <x:row r="790" ht="42" customHeight="1">
      <x:c r="A790" s="10" t="str">
        <x:v>S1_EMISION</x:v>
      </x:c>
      <x:c r="B790" s="10" t="n">
        <x:v>1</x:v>
      </x:c>
      <x:c r="C790" s="10" t="str">
        <x:v>gobernadores</x:v>
      </x:c>
      <x:c r="D790" s="10"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E790" s="10" t="n">
        <x:f>(ABS('03_Sensibilidades'!$C$67)*IF('03_Sensibilidades'!$C$67&lt;0,100-$K$75,$K$75)+ABS('03_Sensibilidades'!$C$68)*IF('03_Sensibilidades'!$C$68&lt;0,100-$K$77,$K$77)+ABS('03_Sensibilidades'!$C$69)*IF('03_Sensibilidades'!$C$69&lt;0,100-$K$76,$K$76)+ABS('03_Sensibilidades'!$C$70)*IF('03_Sensibilidades'!$C$70&lt;0,100-$K$73,$K$73))/(ABS('03_Sensibilidades'!$C$67)+ABS('03_Sensibilidades'!$C$68)+ABS('03_Sensibilidades'!$C$69)+ABS('03_Sensibilidades'!$C$70))</x:f>
        <x:v>50.10344827586207</x:v>
      </x:c>
      <x:c r="F790" s="10" t="n">
        <x:f>(1-'00_Arquitectura'!$B$95)*D790+'00_Arquitectura'!$B$95*E790</x:f>
        <x:v>50.10344827586207</x:v>
      </x:c>
      <x:c r="G790" s="10" t="n">
        <x:f>'02_Actores'!$I$23</x:f>
        <x:v>45</x:v>
      </x:c>
      <x:c r="H790" s="10" t="n">
        <x:f>IF(OR(AND(F790&lt;'00_Arquitectura'!$B$118,G790&lt;'00_Arquitectura'!$B$119),F790&lt;'00_Arquitectura'!$B$120),1,0)</x:f>
        <x:v>0</x:v>
      </x:c>
      <x:c r="I790" s="10" t="n">
        <x:f>0</x:f>
        <x:v>0</x:v>
      </x:c>
      <x:c r="J790" s="10" t="n">
        <x:f>0</x:f>
        <x:v>0</x:v>
      </x:c>
      <x:c r="K790" s="10" t="n">
        <x:f>$K$773</x:f>
        <x:v>48.84115969057228</x:v>
      </x:c>
      <x:c r="L790" s="10" t="str">
        <x:v>Conflicto activo captura menor eficacia en políticas ejecutadas en t+1. Magnitud0 en J: no es un offset directo de indicador.</x:v>
      </x:c>
    </x:row>
    <x:row r="791" ht="34" customHeight="1">
      <x:c r="A791" s="5" t="str">
        <x:v>S1_EMISION</x:v>
      </x:c>
      <x:c r="B791" s="5" t="n">
        <x:v>2</x:v>
      </x:c>
      <x:c r="C791" s="5" t="str">
        <x:v>industria</x:v>
      </x:c>
      <x:c r="D791" s="5" t="n">
        <x:f>$F$773</x:f>
        <x:v>46.68888888888888</x:v>
      </x:c>
      <x:c r="E791" s="5" t="n">
        <x:f>(ABS('03_Sensibilidades'!$C$6)*IF('03_Sensibilidades'!$C$6&lt;0,100-$K$86,$K$86)+ABS('03_Sensibilidades'!$C$7)*IF('03_Sensibilidades'!$C$7&lt;0,100-$K$84,$K$84)+ABS('03_Sensibilidades'!$C$8)*IF('03_Sensibilidades'!$C$8&lt;0,100-$K$89,$K$89)+ABS('03_Sensibilidades'!$C$9)*IF('03_Sensibilidades'!$C$9&lt;0,100-$K$88,$K$88))/(ABS('03_Sensibilidades'!$C$6)+ABS('03_Sensibilidades'!$C$7)+ABS('03_Sensibilidades'!$C$8)+ABS('03_Sensibilidades'!$C$9))</x:f>
        <x:v>47.074074074074076</x:v>
      </x:c>
      <x:c r="F791" s="5" t="n">
        <x:f>(1-'00_Arquitectura'!$B$95)*D791+'00_Arquitectura'!$B$95*E791</x:f>
        <x:v>46.8237037037037</x:v>
      </x:c>
      <x:c r="G791" s="5" t="n">
        <x:f>'02_Actores'!$I$6</x:f>
        <x:v>45</x:v>
      </x:c>
      <x:c r="H791" s="5" t="n">
        <x:f>IF(OR(AND(F791&lt;'00_Arquitectura'!$B$118,G791&lt;'00_Arquitectura'!$B$119),F791&lt;'00_Arquitectura'!$B$120),1,0)</x:f>
        <x:v>0</x:v>
      </x:c>
      <x:c r="I791" s="5" t="n">
        <x:f>IF($I$773=1,IF(OR(AND(F791&lt;'00_Arquitectura'!$B$121,G791&lt;'00_Arquitectura'!$B$122),F791&lt;'00_Arquitectura'!$B$123),1,0),IF(AND(H791=1,$H$773=1),1,0))</x:f>
        <x:v>0</x:v>
      </x:c>
      <x:c r="J791" s="5" t="n">
        <x:f>-I791*2*'02_Actores'!$E$6/10</x:f>
        <x:v>0</x:v>
      </x:c>
      <x:c r="K791" s="5" t="n">
        <x:f>($F$791*'02_Actores'!$F$6+$F$792*'02_Actores'!$F$7+$F$793*'02_Actores'!$F$8+$F$794*'02_Actores'!$F$9+$F$795*'02_Actores'!$F$10+$F$796*'02_Actores'!$F$11+$F$797*'02_Actores'!$F$12+$F$798*'02_Actores'!$F$13+$F$799*'02_Actores'!$F$14+$F$800*'02_Actores'!$F$15+$F$801*'02_Actores'!$F$16+$F$802*'02_Actores'!$F$17+$F$803*'02_Actores'!$F$18+$F$804*'02_Actores'!$F$19)/('02_Actores'!$F$6+'02_Actores'!$F$7+'02_Actores'!$F$8+'02_Actores'!$F$9+'02_Actores'!$F$10+'02_Actores'!$F$11+'02_Actores'!$F$12+'02_Actores'!$F$13+'02_Actores'!$F$14+'02_Actores'!$F$15+'02_Actores'!$F$16+'02_Actores'!$F$17+'02_Actores'!$F$18+'02_Actores'!$F$19)</x:f>
        <x:v>48.893999922294356</x:v>
      </x:c>
      <x:c r="L791" s="5" t="str">
        <x:v>J programa offset para t+1; efecto sustituible y acotado, sin voto adicional.</x:v>
      </x:c>
    </x:row>
    <x:row r="792" ht="34" customHeight="1">
      <x:c r="A792" s="10" t="str">
        <x:v>S1_EMISION</x:v>
      </x:c>
      <x:c r="B792" s="10" t="n">
        <x:v>2</x:v>
      </x:c>
      <x:c r="C792" s="10" t="str">
        <x:v>agro</x:v>
      </x:c>
      <x:c r="D792" s="10" t="n">
        <x:f>$F$774</x:f>
        <x:v>45.892857142857146</x:v>
      </x:c>
      <x:c r="E792" s="10" t="n">
        <x:f>(ABS('03_Sensibilidades'!$C$10)*IF('03_Sensibilidades'!$C$10&lt;0,100-$K$88,$K$88)+ABS('03_Sensibilidades'!$C$11)*IF('03_Sensibilidades'!$C$11&lt;0,100-$K$89,$K$89)+ABS('03_Sensibilidades'!$C$12)*IF('03_Sensibilidades'!$C$12&lt;0,100-$K$96,$K$96)+ABS('03_Sensibilidades'!$C$13)*IF('03_Sensibilidades'!$C$13&lt;0,100-$K$86,$K$86))/(ABS('03_Sensibilidades'!$C$10)+ABS('03_Sensibilidades'!$C$11)+ABS('03_Sensibilidades'!$C$12)+ABS('03_Sensibilidades'!$C$13))</x:f>
        <x:v>45.892857142857146</x:v>
      </x:c>
      <x:c r="F792" s="10" t="n">
        <x:f>(1-'00_Arquitectura'!$B$95)*D792+'00_Arquitectura'!$B$95*E792</x:f>
        <x:v>45.892857142857146</x:v>
      </x:c>
      <x:c r="G792" s="10" t="n">
        <x:f>'02_Actores'!$I$7</x:f>
        <x:v>45</x:v>
      </x:c>
      <x:c r="H792" s="10" t="n">
        <x:f>IF(OR(AND(F792&lt;'00_Arquitectura'!$B$118,G792&lt;'00_Arquitectura'!$B$119),F792&lt;'00_Arquitectura'!$B$120),1,0)</x:f>
        <x:v>0</x:v>
      </x:c>
      <x:c r="I792" s="10" t="n">
        <x:f>IF($I$774=1,IF(OR(AND(F792&lt;'00_Arquitectura'!$B$121,G792&lt;'00_Arquitectura'!$B$122),F792&lt;'00_Arquitectura'!$B$123),1,0),IF(AND(H792=1,$H$774=1),1,0))</x:f>
        <x:v>0</x:v>
      </x:c>
      <x:c r="J792" s="10" t="n">
        <x:f>-I792*2*'02_Actores'!$E$7/10</x:f>
        <x:v>0</x:v>
      </x:c>
      <x:c r="K792" s="10" t="n">
        <x:f>$K$791</x:f>
        <x:v>48.893999922294356</x:v>
      </x:c>
      <x:c r="L792" s="10" t="str">
        <x:v>J programa offset para t+1; efecto sustituible y acotado, sin voto adicional.</x:v>
      </x:c>
    </x:row>
    <x:row r="793" ht="34" customHeight="1">
      <x:c r="A793" s="5" t="str">
        <x:v>S1_EMISION</x:v>
      </x:c>
      <x:c r="B793" s="5" t="n">
        <x:v>2</x:v>
      </x:c>
      <x:c r="C793" s="5" t="str">
        <x:v>financiero</x:v>
      </x:c>
      <x:c r="D793" s="5" t="n">
        <x:f>$F$775</x:f>
        <x:v>55</x:v>
      </x:c>
      <x:c r="E793" s="5" t="n">
        <x:f>(ABS('03_Sensibilidades'!$C$14)*IF('03_Sensibilidades'!$C$14&lt;0,100-$K$87,$K$87)+ABS('03_Sensibilidades'!$C$15)*IF('03_Sensibilidades'!$C$15&lt;0,100-$K$83,$K$83)+ABS('03_Sensibilidades'!$C$16)*IF('03_Sensibilidades'!$C$16&lt;0,100-$K$86,$K$86)+ABS('03_Sensibilidades'!$C$17)*IF('03_Sensibilidades'!$C$17&lt;0,100-$K$95,$K$95))/(ABS('03_Sensibilidades'!$C$14)+ABS('03_Sensibilidades'!$C$15)+ABS('03_Sensibilidades'!$C$16)+ABS('03_Sensibilidades'!$C$17))</x:f>
        <x:v>54.86206896551724</x:v>
      </x:c>
      <x:c r="F793" s="5" t="n">
        <x:f>(1-'00_Arquitectura'!$B$95)*D793+'00_Arquitectura'!$B$95*E793</x:f>
        <x:v>54.95172413793103</x:v>
      </x:c>
      <x:c r="G793" s="5" t="n">
        <x:f>'02_Actores'!$I$8</x:f>
        <x:v>45</x:v>
      </x:c>
      <x:c r="H793" s="5" t="n">
        <x:f>IF(OR(AND(F793&lt;'00_Arquitectura'!$B$118,G793&lt;'00_Arquitectura'!$B$119),F793&lt;'00_Arquitectura'!$B$120),1,0)</x:f>
        <x:v>0</x:v>
      </x:c>
      <x:c r="I793" s="5" t="n">
        <x:f>IF($I$775=1,IF(OR(AND(F793&lt;'00_Arquitectura'!$B$121,G793&lt;'00_Arquitectura'!$B$122),F793&lt;'00_Arquitectura'!$B$123),1,0),IF(AND(H793=1,$H$775=1),1,0))</x:f>
        <x:v>0</x:v>
      </x:c>
      <x:c r="J793" s="5" t="n">
        <x:f>-I793*2*'02_Actores'!$E$8/10</x:f>
        <x:v>0</x:v>
      </x:c>
      <x:c r="K793" s="5" t="n">
        <x:f>$K$791</x:f>
        <x:v>48.893999922294356</x:v>
      </x:c>
      <x:c r="L793" s="5" t="str">
        <x:v>J programa offset para t+1; efecto sustituible y acotado, sin voto adicional.</x:v>
      </x:c>
    </x:row>
    <x:row r="794" ht="34" customHeight="1">
      <x:c r="A794" s="10" t="str">
        <x:v>S1_EMISION</x:v>
      </x:c>
      <x:c r="B794" s="10" t="n">
        <x:v>2</x:v>
      </x:c>
      <x:c r="C794" s="10" t="str">
        <x:v>sindicatos</x:v>
      </x:c>
      <x:c r="D794" s="10" t="n">
        <x:f>$F$776</x:f>
        <x:v>48.148275862068964</x:v>
      </x:c>
      <x:c r="E794" s="10" t="n">
        <x:f>(ABS('03_Sensibilidades'!$C$18)*IF('03_Sensibilidades'!$C$18&lt;0,100-$K$85,$K$85)+ABS('03_Sensibilidades'!$C$19)*IF('03_Sensibilidades'!$C$19&lt;0,100-$K$84,$K$84)+ABS('03_Sensibilidades'!$C$20)*IF('03_Sensibilidades'!$C$20&lt;0,100-$K$92,$K$92)+ABS('03_Sensibilidades'!$C$21)*IF('03_Sensibilidades'!$C$21&lt;0,100-$K$95,$K$95))/(ABS('03_Sensibilidades'!$C$18)+ABS('03_Sensibilidades'!$C$19)+ABS('03_Sensibilidades'!$C$20)+ABS('03_Sensibilidades'!$C$21))</x:f>
        <x:v>48.6551724137931</x:v>
      </x:c>
      <x:c r="F794" s="10" t="n">
        <x:f>(1-'00_Arquitectura'!$B$95)*D794+'00_Arquitectura'!$B$95*E794</x:f>
        <x:v>48.32568965517241</x:v>
      </x:c>
      <x:c r="G794" s="10" t="n">
        <x:f>'02_Actores'!$I$9</x:f>
        <x:v>45</x:v>
      </x:c>
      <x:c r="H794" s="10" t="n">
        <x:f>IF(OR(AND(F794&lt;'00_Arquitectura'!$B$118,G794&lt;'00_Arquitectura'!$B$119),F794&lt;'00_Arquitectura'!$B$120),1,0)</x:f>
        <x:v>0</x:v>
      </x:c>
      <x:c r="I794" s="10" t="n">
        <x:f>IF($I$776=1,IF(OR(AND(F794&lt;'00_Arquitectura'!$B$121,G794&lt;'00_Arquitectura'!$B$122),F794&lt;'00_Arquitectura'!$B$123),1,0),IF(AND(H794=1,$H$776=1),1,0))</x:f>
        <x:v>0</x:v>
      </x:c>
      <x:c r="J794" s="10" t="n">
        <x:f>-I794*2*'02_Actores'!$E$9/10</x:f>
        <x:v>0</x:v>
      </x:c>
      <x:c r="K794" s="10" t="n">
        <x:f>$K$791</x:f>
        <x:v>48.893999922294356</x:v>
      </x:c>
      <x:c r="L794" s="10" t="str">
        <x:v>J programa offset para t+1; efecto sustituible y acotado, sin voto adicional.</x:v>
      </x:c>
    </x:row>
    <x:row r="795" ht="34" customHeight="1">
      <x:c r="A795" s="5" t="str">
        <x:v>S1_EMISION</x:v>
      </x:c>
      <x:c r="B795" s="5" t="n">
        <x:v>2</x:v>
      </x:c>
      <x:c r="C795" s="5" t="str">
        <x:v>pymes</x:v>
      </x:c>
      <x:c r="D795" s="5" t="n">
        <x:f>$F$777</x:f>
        <x:v>49.355172413793106</x:v>
      </x:c>
      <x:c r="E795" s="5" t="n">
        <x:f>(ABS('03_Sensibilidades'!$C$22)*IF('03_Sensibilidades'!$C$22&lt;0,100-$K$86,$K$86)+ABS('03_Sensibilidades'!$C$23)*IF('03_Sensibilidades'!$C$23&lt;0,100-$K$84,$K$84)+ABS('03_Sensibilidades'!$C$24)*IF('03_Sensibilidades'!$C$24&lt;0,100-$K$89,$K$89)+ABS('03_Sensibilidades'!$C$25)*IF('03_Sensibilidades'!$C$25&lt;0,100-$K$83,$K$83))/(ABS('03_Sensibilidades'!$C$22)+ABS('03_Sensibilidades'!$C$23)+ABS('03_Sensibilidades'!$C$24)+ABS('03_Sensibilidades'!$C$25))</x:f>
        <x:v>49.58620689655172</x:v>
      </x:c>
      <x:c r="F795" s="5" t="n">
        <x:f>(1-'00_Arquitectura'!$B$95)*D795+'00_Arquitectura'!$B$95*E795</x:f>
        <x:v>49.43603448275863</x:v>
      </x:c>
      <x:c r="G795" s="5" t="n">
        <x:f>'02_Actores'!$I$10</x:f>
        <x:v>45</x:v>
      </x:c>
      <x:c r="H795" s="5" t="n">
        <x:f>IF(OR(AND(F795&lt;'00_Arquitectura'!$B$118,G795&lt;'00_Arquitectura'!$B$119),F795&lt;'00_Arquitectura'!$B$120),1,0)</x:f>
        <x:v>0</x:v>
      </x:c>
      <x:c r="I795" s="5" t="n">
        <x:f>IF($I$777=1,IF(OR(AND(F795&lt;'00_Arquitectura'!$B$121,G795&lt;'00_Arquitectura'!$B$122),F795&lt;'00_Arquitectura'!$B$123),1,0),IF(AND(H795=1,$H$777=1),1,0))</x:f>
        <x:v>0</x:v>
      </x:c>
      <x:c r="J795" s="5" t="n">
        <x:f>-I795*2*'02_Actores'!$E$10/10</x:f>
        <x:v>0</x:v>
      </x:c>
      <x:c r="K795" s="5" t="n">
        <x:f>$K$791</x:f>
        <x:v>48.893999922294356</x:v>
      </x:c>
      <x:c r="L795" s="5" t="str">
        <x:v>J programa offset para t+1; efecto sustituible y acotado, sin voto adicional.</x:v>
      </x:c>
    </x:row>
    <x:row r="796" ht="34" customHeight="1">
      <x:c r="A796" s="10" t="str">
        <x:v>S1_EMISION</x:v>
      </x:c>
      <x:c r="B796" s="10" t="n">
        <x:v>2</x:v>
      </x:c>
      <x:c r="C796" s="10" t="str">
        <x:v>clase_media</x:v>
      </x:c>
      <x:c r="D796" s="10" t="n">
        <x:f>$F$778</x:f>
        <x:v>48.333333333333336</x:v>
      </x:c>
      <x:c r="E796" s="10" t="n">
        <x:f>(ABS('03_Sensibilidades'!$C$26)*IF('03_Sensibilidades'!$C$26&lt;0,100-$K$85,$K$85)+ABS('03_Sensibilidades'!$C$27)*IF('03_Sensibilidades'!$C$27&lt;0,100-$K$93,$K$93)+ABS('03_Sensibilidades'!$C$28)*IF('03_Sensibilidades'!$C$28&lt;0,100-$K$90,$K$90)+ABS('03_Sensibilidades'!$C$29)*IF('03_Sensibilidades'!$C$29&lt;0,100-$K$83,$K$83))/(ABS('03_Sensibilidades'!$C$26)+ABS('03_Sensibilidades'!$C$27)+ABS('03_Sensibilidades'!$C$28)+ABS('03_Sensibilidades'!$C$29))</x:f>
        <x:v>48.2962962962963</x:v>
      </x:c>
      <x:c r="F796" s="10" t="n">
        <x:f>(1-'00_Arquitectura'!$B$95)*D796+'00_Arquitectura'!$B$95*E796</x:f>
        <x:v>48.32037037037037</x:v>
      </x:c>
      <x:c r="G796" s="10" t="n">
        <x:f>'02_Actores'!$I$11</x:f>
        <x:v>45</x:v>
      </x:c>
      <x:c r="H796" s="10" t="n">
        <x:f>IF(OR(AND(F796&lt;'00_Arquitectura'!$B$118,G796&lt;'00_Arquitectura'!$B$119),F796&lt;'00_Arquitectura'!$B$120),1,0)</x:f>
        <x:v>0</x:v>
      </x:c>
      <x:c r="I796" s="10" t="n">
        <x:f>IF($I$778=1,IF(OR(AND(F796&lt;'00_Arquitectura'!$B$121,G796&lt;'00_Arquitectura'!$B$122),F796&lt;'00_Arquitectura'!$B$123),1,0),IF(AND(H796=1,$H$778=1),1,0))</x:f>
        <x:v>0</x:v>
      </x:c>
      <x:c r="J796" s="10" t="n">
        <x:f>0</x:f>
        <x:v>0</x:v>
      </x:c>
      <x:c r="K796" s="10" t="n">
        <x:f>$K$791</x:f>
        <x:v>48.893999922294356</x:v>
      </x:c>
      <x:c r="L796" s="10" t="str">
        <x:v>Canal directo sólo al índice social; sin bono de popularidad.</x:v>
      </x:c>
    </x:row>
    <x:row r="797" ht="34" customHeight="1">
      <x:c r="A797" s="5" t="str">
        <x:v>S1_EMISION</x:v>
      </x:c>
      <x:c r="B797" s="5" t="n">
        <x:v>2</x:v>
      </x:c>
      <x:c r="C797" s="5" t="str">
        <x:v>cooperativas</x:v>
      </x:c>
      <x:c r="D797" s="5" t="n">
        <x:f>$F$779</x:f>
        <x:v>47.959259259259255</x:v>
      </x:c>
      <x:c r="E797" s="5" t="n">
        <x:f>(ABS('03_Sensibilidades'!$C$30)*IF('03_Sensibilidades'!$C$30&lt;0,100-$K$86,$K$86)+ABS('03_Sensibilidades'!$C$31)*IF('03_Sensibilidades'!$C$31&lt;0,100-$K$84,$K$84)+ABS('03_Sensibilidades'!$C$32)*IF('03_Sensibilidades'!$C$32&lt;0,100-$K$92,$K$92)+ABS('03_Sensibilidades'!$C$33)*IF('03_Sensibilidades'!$C$33&lt;0,100-$K$95,$K$95))/(ABS('03_Sensibilidades'!$C$30)+ABS('03_Sensibilidades'!$C$31)+ABS('03_Sensibilidades'!$C$32)+ABS('03_Sensibilidades'!$C$33))</x:f>
        <x:v>48.2962962962963</x:v>
      </x:c>
      <x:c r="F797" s="5" t="n">
        <x:f>(1-'00_Arquitectura'!$B$95)*D797+'00_Arquitectura'!$B$95*E797</x:f>
        <x:v>48.07722222222222</x:v>
      </x:c>
      <x:c r="G797" s="5" t="n">
        <x:f>'02_Actores'!$I$12</x:f>
        <x:v>45</x:v>
      </x:c>
      <x:c r="H797" s="5" t="n">
        <x:f>IF(OR(AND(F797&lt;'00_Arquitectura'!$B$118,G797&lt;'00_Arquitectura'!$B$119),F797&lt;'00_Arquitectura'!$B$120),1,0)</x:f>
        <x:v>0</x:v>
      </x:c>
      <x:c r="I797" s="5" t="n">
        <x:f>IF($I$779=1,IF(OR(AND(F797&lt;'00_Arquitectura'!$B$121,G797&lt;'00_Arquitectura'!$B$122),F797&lt;'00_Arquitectura'!$B$123),1,0),IF(AND(H797=1,$H$779=1),1,0))</x:f>
        <x:v>0</x:v>
      </x:c>
      <x:c r="J797" s="5" t="n">
        <x:f>-I797*1.5*'02_Actores'!$E$12/10</x:f>
        <x:v>0</x:v>
      </x:c>
      <x:c r="K797" s="5" t="n">
        <x:f>$K$791</x:f>
        <x:v>48.893999922294356</x:v>
      </x:c>
      <x:c r="L797" s="5" t="str">
        <x:v>J programa offset para t+1; efecto sustituible y acotado, sin voto adicional.</x:v>
      </x:c>
    </x:row>
    <x:row r="798" ht="42" customHeight="1">
      <x:c r="A798" s="10" t="str">
        <x:v>S1_EMISION</x:v>
      </x:c>
      <x:c r="B798" s="10" t="n">
        <x:v>2</x:v>
      </x:c>
      <x:c r="C798" s="10" t="str">
        <x:v>estudiantes</x:v>
      </x:c>
      <x:c r="D798" s="10" t="n">
        <x:f>$F$780</x:f>
        <x:v>49.2</x:v>
      </x:c>
      <x:c r="E798" s="10" t="n">
        <x:f>(ABS('03_Sensibilidades'!$C$34)*IF('03_Sensibilidades'!$C$34&lt;0,100-$K$90,$K$90)+ABS('03_Sensibilidades'!$C$35)*IF('03_Sensibilidades'!$C$35&lt;0,100-$K$85,$K$85)+ABS('03_Sensibilidades'!$C$36)*IF('03_Sensibilidades'!$C$36&lt;0,100-$K$95,$K$95)+ABS('03_Sensibilidades'!$C$37)*IF('03_Sensibilidades'!$C$37&lt;0,100-$K$94,$K$94))/(ABS('03_Sensibilidades'!$C$34)+ABS('03_Sensibilidades'!$C$35)+ABS('03_Sensibilidades'!$C$36)+ABS('03_Sensibilidades'!$C$37))</x:f>
        <x:v>49.26</x:v>
      </x:c>
      <x:c r="F798" s="10" t="n">
        <x:f>(1-'00_Arquitectura'!$B$95)*D798+'00_Arquitectura'!$B$95*E798</x:f>
        <x:v>49.221000000000004</x:v>
      </x:c>
      <x:c r="G798" s="10" t="n">
        <x:f>'02_Actores'!$I$13</x:f>
        <x:v>45</x:v>
      </x:c>
      <x:c r="H798" s="10" t="n">
        <x:f>IF(OR(AND(F798&lt;'00_Arquitectura'!$B$118,G798&lt;'00_Arquitectura'!$B$119),F798&lt;'00_Arquitectura'!$B$120),1,0)</x:f>
        <x:v>0</x:v>
      </x:c>
      <x:c r="I798" s="10" t="n">
        <x:f>IF($I$780=1,IF(OR(AND(F798&lt;'00_Arquitectura'!$B$121,G798&lt;'00_Arquitectura'!$B$122),F798&lt;'00_Arquitectura'!$B$123),1,0),IF(AND(H798=1,$H$780=1),1,0))</x:f>
        <x:v>0</x:v>
      </x:c>
      <x:c r="J798" s="10" t="n">
        <x:f>0</x:f>
        <x:v>0</x:v>
      </x:c>
      <x:c r="K798" s="10" t="n">
        <x:f>$K$791</x:f>
        <x:v>48.893999922294356</x:v>
      </x:c>
      <x:c r="L798" s="10" t="str">
        <x:v>Conflicto activo captura menor eficacia en políticas ejecutadas en t+1. Magnitud0 en J: no es un offset directo de indicador.</x:v>
      </x:c>
    </x:row>
    <x:row r="799" ht="34" customHeight="1">
      <x:c r="A799" s="5" t="str">
        <x:v>S1_EMISION</x:v>
      </x:c>
      <x:c r="B799" s="5" t="n">
        <x:v>2</x:v>
      </x:c>
      <x:c r="C799" s="5" t="str">
        <x:v>docentes</x:v>
      </x:c>
      <x:c r="D799" s="5" t="n">
        <x:f>$F$781</x:f>
        <x:v>48.91304347826087</x:v>
      </x:c>
      <x:c r="E799" s="5" t="n">
        <x:f>(ABS('03_Sensibilidades'!$C$38)*IF('03_Sensibilidades'!$C$38&lt;0,100-$K$90,$K$90)+ABS('03_Sensibilidades'!$C$39)*IF('03_Sensibilidades'!$C$39&lt;0,100-$K$85,$K$85)+ABS('03_Sensibilidades'!$C$40)*IF('03_Sensibilidades'!$C$40&lt;0,100-$K$95,$K$95))/(ABS('03_Sensibilidades'!$C$38)+ABS('03_Sensibilidades'!$C$39)+ABS('03_Sensibilidades'!$C$40))</x:f>
        <x:v>49.0304347826087</x:v>
      </x:c>
      <x:c r="F799" s="5" t="n">
        <x:f>(1-'00_Arquitectura'!$B$95)*D799+'00_Arquitectura'!$B$95*E799</x:f>
        <x:v>48.95413043478261</x:v>
      </x:c>
      <x:c r="G799" s="5" t="n">
        <x:f>'02_Actores'!$I$14</x:f>
        <x:v>45</x:v>
      </x:c>
      <x:c r="H799" s="5" t="n">
        <x:f>IF(OR(AND(F799&lt;'00_Arquitectura'!$B$118,G799&lt;'00_Arquitectura'!$B$119),F799&lt;'00_Arquitectura'!$B$120),1,0)</x:f>
        <x:v>0</x:v>
      </x:c>
      <x:c r="I799" s="5" t="n">
        <x:f>IF($I$781=1,IF(OR(AND(F799&lt;'00_Arquitectura'!$B$121,G799&lt;'00_Arquitectura'!$B$122),F799&lt;'00_Arquitectura'!$B$123),1,0),IF(AND(H799=1,$H$781=1),1,0))</x:f>
        <x:v>0</x:v>
      </x:c>
      <x:c r="J799" s="5" t="n">
        <x:f>-I799*1.5*'02_Actores'!$E$14/10</x:f>
        <x:v>0</x:v>
      </x:c>
      <x:c r="K799" s="5" t="n">
        <x:f>$K$791</x:f>
        <x:v>48.893999922294356</x:v>
      </x:c>
      <x:c r="L799" s="5" t="str">
        <x:v>J programa offset para t+1; efecto sustituible y acotado, sin voto adicional.</x:v>
      </x:c>
    </x:row>
    <x:row r="800" ht="34" customHeight="1">
      <x:c r="A800" s="10" t="str">
        <x:v>S1_EMISION</x:v>
      </x:c>
      <x:c r="B800" s="10" t="n">
        <x:v>2</x:v>
      </x:c>
      <x:c r="C800" s="10" t="str">
        <x:v>cientificos</x:v>
      </x:c>
      <x:c r="D800" s="10" t="n">
        <x:f>$F$782</x:f>
        <x:v>46.59090909090909</x:v>
      </x:c>
      <x:c r="E800" s="10" t="n">
        <x:f>(ABS('03_Sensibilidades'!$C$41)*IF('03_Sensibilidades'!$C$41&lt;0,100-$K$94,$K$94)+ABS('03_Sensibilidades'!$C$42)*IF('03_Sensibilidades'!$C$42&lt;0,100-$K$90,$K$90)+ABS('03_Sensibilidades'!$C$43)*IF('03_Sensibilidades'!$C$43&lt;0,100-$K$95,$K$95))/(ABS('03_Sensibilidades'!$C$41)+ABS('03_Sensibilidades'!$C$42)+ABS('03_Sensibilidades'!$C$43))</x:f>
        <x:v>46.59090909090909</x:v>
      </x:c>
      <x:c r="F800" s="10" t="n">
        <x:f>(1-'00_Arquitectura'!$B$95)*D800+'00_Arquitectura'!$B$95*E800</x:f>
        <x:v>46.59090909090909</x:v>
      </x:c>
      <x:c r="G800" s="10" t="n">
        <x:f>'02_Actores'!$I$15</x:f>
        <x:v>45</x:v>
      </x:c>
      <x:c r="H800" s="10" t="n">
        <x:f>IF(OR(AND(F800&lt;'00_Arquitectura'!$B$118,G800&lt;'00_Arquitectura'!$B$119),F800&lt;'00_Arquitectura'!$B$120),1,0)</x:f>
        <x:v>0</x:v>
      </x:c>
      <x:c r="I800" s="10" t="n">
        <x:f>IF($I$782=1,IF(OR(AND(F800&lt;'00_Arquitectura'!$B$121,G800&lt;'00_Arquitectura'!$B$122),F800&lt;'00_Arquitectura'!$B$123),1,0),IF(AND(H800=1,$H$782=1),1,0))</x:f>
        <x:v>0</x:v>
      </x:c>
      <x:c r="J800" s="10" t="n">
        <x:f>-I800*1.5*'02_Actores'!$E$15/10</x:f>
        <x:v>0</x:v>
      </x:c>
      <x:c r="K800" s="10" t="n">
        <x:f>$K$791</x:f>
        <x:v>48.893999922294356</x:v>
      </x:c>
      <x:c r="L800" s="10" t="str">
        <x:v>J programa offset para t+1; efecto sustituible y acotado, sin voto adicional.</x:v>
      </x:c>
    </x:row>
    <x:row r="801" ht="34" customHeight="1">
      <x:c r="A801" s="5" t="str">
        <x:v>S1_EMISION</x:v>
      </x:c>
      <x:c r="B801" s="5" t="n">
        <x:v>2</x:v>
      </x:c>
      <x:c r="C801" s="5" t="str">
        <x:v>organizaciones</x:v>
      </x:c>
      <x:c r="D801" s="5" t="n">
        <x:f>$F$783</x:f>
        <x:v>49.25714285714285</x:v>
      </x:c>
      <x:c r="E801" s="5" t="n">
        <x:f>(ABS('03_Sensibilidades'!$C$44)*IF('03_Sensibilidades'!$C$44&lt;0,100-$K$92,$K$92)+ABS('03_Sensibilidades'!$C$45)*IF('03_Sensibilidades'!$C$45&lt;0,100-$K$91,$K$91)+ABS('03_Sensibilidades'!$C$46)*IF('03_Sensibilidades'!$C$46&lt;0,100-$K$84,$K$84)+ABS('03_Sensibilidades'!$C$47)*IF('03_Sensibilidades'!$C$47&lt;0,100-$K$95,$K$95))/(ABS('03_Sensibilidades'!$C$44)+ABS('03_Sensibilidades'!$C$45)+ABS('03_Sensibilidades'!$C$46)+ABS('03_Sensibilidades'!$C$47))</x:f>
        <x:v>49.535714285714285</x:v>
      </x:c>
      <x:c r="F801" s="5" t="n">
        <x:f>(1-'00_Arquitectura'!$B$95)*D801+'00_Arquitectura'!$B$95*E801</x:f>
        <x:v>49.354642857142856</x:v>
      </x:c>
      <x:c r="G801" s="5" t="n">
        <x:f>'02_Actores'!$I$16</x:f>
        <x:v>45</x:v>
      </x:c>
      <x:c r="H801" s="5" t="n">
        <x:f>IF(OR(AND(F801&lt;'00_Arquitectura'!$B$118,G801&lt;'00_Arquitectura'!$B$119),F801&lt;'00_Arquitectura'!$B$120),1,0)</x:f>
        <x:v>0</x:v>
      </x:c>
      <x:c r="I801" s="5" t="n">
        <x:f>IF($I$783=1,IF(OR(AND(F801&lt;'00_Arquitectura'!$B$121,G801&lt;'00_Arquitectura'!$B$122),F801&lt;'00_Arquitectura'!$B$123),1,0),IF(AND(H801=1,$H$783=1),1,0))</x:f>
        <x:v>0</x:v>
      </x:c>
      <x:c r="J801" s="5" t="n">
        <x:f>-I801*1.5*'02_Actores'!$E$16/10</x:f>
        <x:v>0</x:v>
      </x:c>
      <x:c r="K801" s="5" t="n">
        <x:f>$K$791</x:f>
        <x:v>48.893999922294356</x:v>
      </x:c>
      <x:c r="L801" s="5" t="str">
        <x:v>J programa offset para t+1; efecto sustituible y acotado, sin voto adicional.</x:v>
      </x:c>
    </x:row>
    <x:row r="802" ht="42" customHeight="1">
      <x:c r="A802" s="10" t="str">
        <x:v>S1_EMISION</x:v>
      </x:c>
      <x:c r="B802" s="10" t="n">
        <x:v>2</x:v>
      </x:c>
      <x:c r="C802" s="10" t="str">
        <x:v>ddhh</x:v>
      </x:c>
      <x:c r="D802" s="10" t="n">
        <x:f>$F$784</x:f>
        <x:v>50.88235294117648</x:v>
      </x:c>
      <x:c r="E802" s="10" t="n">
        <x:f>(ABS('03_Sensibilidades'!$C$48)*IF('03_Sensibilidades'!$C$48&lt;0,100-$K$95,$K$95)+ABS('03_Sensibilidades'!$C$49)*IF('03_Sensibilidades'!$C$49&lt;0,100-$K$93,$K$93)+ABS('03_Sensibilidades'!$C$50)*IF('03_Sensibilidades'!$C$50&lt;0,100-$K$92,$K$92))/(ABS('03_Sensibilidades'!$C$48)+ABS('03_Sensibilidades'!$C$49)+ABS('03_Sensibilidades'!$C$50))</x:f>
        <x:v>50.88235294117647</x:v>
      </x:c>
      <x:c r="F802" s="10" t="n">
        <x:f>(1-'00_Arquitectura'!$B$95)*D802+'00_Arquitectura'!$B$95*E802</x:f>
        <x:v>50.88235294117648</x:v>
      </x:c>
      <x:c r="G802" s="10" t="n">
        <x:f>'02_Actores'!$I$17</x:f>
        <x:v>45</x:v>
      </x:c>
      <x:c r="H802" s="10" t="n">
        <x:f>IF(OR(AND(F802&lt;'00_Arquitectura'!$B$118,G802&lt;'00_Arquitectura'!$B$119),F802&lt;'00_Arquitectura'!$B$120),1,0)</x:f>
        <x:v>0</x:v>
      </x:c>
      <x:c r="I802" s="10" t="n">
        <x:f>IF($I$784=1,IF(OR(AND(F802&lt;'00_Arquitectura'!$B$121,G802&lt;'00_Arquitectura'!$B$122),F802&lt;'00_Arquitectura'!$B$123),1,0),IF(AND(H802=1,$H$784=1),1,0))</x:f>
        <x:v>0</x:v>
      </x:c>
      <x:c r="J802" s="10" t="n">
        <x:f>0</x:f>
        <x:v>0</x:v>
      </x:c>
      <x:c r="K802" s="10" t="n">
        <x:f>$K$791</x:f>
        <x:v>48.893999922294356</x:v>
      </x:c>
      <x:c r="L802" s="10" t="str">
        <x:v>Conflicto activo captura menor eficacia en políticas ejecutadas en t+1. Magnitud0 en J: no es un offset directo de indicador.</x:v>
      </x:c>
    </x:row>
    <x:row r="803" ht="42" customHeight="1">
      <x:c r="A803" s="5" t="str">
        <x:v>S1_EMISION</x:v>
      </x:c>
      <x:c r="B803" s="5" t="n">
        <x:v>2</x:v>
      </x:c>
      <x:c r="C803" s="5" t="str">
        <x:v>ambientalistas</x:v>
      </x:c>
      <x:c r="D803" s="5" t="n">
        <x:f>$F$785</x:f>
        <x:v>51.388888888888886</x:v>
      </x:c>
      <x:c r="E803" s="5" t="n">
        <x:f>(ABS('03_Sensibilidades'!$C$51)*IF('03_Sensibilidades'!$C$51&lt;0,100-$K$96,$K$96)+ABS('03_Sensibilidades'!$C$52)*IF('03_Sensibilidades'!$C$52&lt;0,100-$K$95,$K$95)+ABS('03_Sensibilidades'!$C$53)*IF('03_Sensibilidades'!$C$53&lt;0,100-$K$91,$K$91))/(ABS('03_Sensibilidades'!$C$51)+ABS('03_Sensibilidades'!$C$52)+ABS('03_Sensibilidades'!$C$53))</x:f>
        <x:v>51.388888888888886</x:v>
      </x:c>
      <x:c r="F803" s="5" t="n">
        <x:f>(1-'00_Arquitectura'!$B$95)*D803+'00_Arquitectura'!$B$95*E803</x:f>
        <x:v>51.388888888888886</x:v>
      </x:c>
      <x:c r="G803" s="5" t="n">
        <x:f>'02_Actores'!$I$18</x:f>
        <x:v>45</x:v>
      </x:c>
      <x:c r="H803" s="5" t="n">
        <x:f>IF(OR(AND(F803&lt;'00_Arquitectura'!$B$118,G803&lt;'00_Arquitectura'!$B$119),F803&lt;'00_Arquitectura'!$B$120),1,0)</x:f>
        <x:v>0</x:v>
      </x:c>
      <x:c r="I803" s="5" t="n">
        <x:f>IF($I$785=1,IF(OR(AND(F803&lt;'00_Arquitectura'!$B$121,G803&lt;'00_Arquitectura'!$B$122),F803&lt;'00_Arquitectura'!$B$123),1,0),IF(AND(H803=1,$H$785=1),1,0))</x:f>
        <x:v>0</x:v>
      </x:c>
      <x:c r="J803" s="5" t="n">
        <x:f>0</x:f>
        <x:v>0</x:v>
      </x:c>
      <x:c r="K803" s="5" t="n">
        <x:f>$K$791</x:f>
        <x:v>48.893999922294356</x:v>
      </x:c>
      <x:c r="L803" s="5" t="str">
        <x:v>Conflicto activo captura menor eficacia en políticas ejecutadas en t+1. Magnitud0 en J: no es un offset directo de indicador.</x:v>
      </x:c>
    </x:row>
    <x:row r="804" ht="34" customHeight="1">
      <x:c r="A804" s="10" t="str">
        <x:v>S1_EMISION</x:v>
      </x:c>
      <x:c r="B804" s="10" t="n">
        <x:v>2</x:v>
      </x:c>
      <x:c r="C804" s="10" t="str">
        <x:v>cultura</x:v>
      </x:c>
      <x:c r="D804" s="10" t="n">
        <x:f>$F$786</x:f>
        <x:v>50.78947368421053</x:v>
      </x:c>
      <x:c r="E804" s="10" t="n">
        <x:f>(ABS('03_Sensibilidades'!$C$54)*IF('03_Sensibilidades'!$C$54&lt;0,100-$K$95,$K$95)+ABS('03_Sensibilidades'!$C$55)*IF('03_Sensibilidades'!$C$55&lt;0,100-$K$90,$K$90)+ABS('03_Sensibilidades'!$C$56)*IF('03_Sensibilidades'!$C$56&lt;0,100-$K$85,$K$85))/(ABS('03_Sensibilidades'!$C$54)+ABS('03_Sensibilidades'!$C$55)+ABS('03_Sensibilidades'!$C$56))</x:f>
        <x:v>50.86842105263158</x:v>
      </x:c>
      <x:c r="F804" s="10" t="n">
        <x:f>(1-'00_Arquitectura'!$B$95)*D804+'00_Arquitectura'!$B$95*E804</x:f>
        <x:v>50.8171052631579</x:v>
      </x:c>
      <x:c r="G804" s="10" t="n">
        <x:f>'02_Actores'!$I$19</x:f>
        <x:v>45</x:v>
      </x:c>
      <x:c r="H804" s="10" t="n">
        <x:f>IF(OR(AND(F804&lt;'00_Arquitectura'!$B$118,G804&lt;'00_Arquitectura'!$B$119),F804&lt;'00_Arquitectura'!$B$120),1,0)</x:f>
        <x:v>0</x:v>
      </x:c>
      <x:c r="I804" s="10" t="n">
        <x:f>IF($I$786=1,IF(OR(AND(F804&lt;'00_Arquitectura'!$B$121,G804&lt;'00_Arquitectura'!$B$122),F804&lt;'00_Arquitectura'!$B$123),1,0),IF(AND(H804=1,$H$786=1),1,0))</x:f>
        <x:v>0</x:v>
      </x:c>
      <x:c r="J804" s="10" t="n">
        <x:f>0</x:f>
        <x:v>0</x:v>
      </x:c>
      <x:c r="K804" s="10" t="n">
        <x:f>$K$791</x:f>
        <x:v>48.893999922294356</x:v>
      </x:c>
      <x:c r="L804" s="10" t="str">
        <x:v>Conflicto activo encarece agenda del turno siguiente; sin castigo electoral adicional.</x:v>
      </x:c>
    </x:row>
    <x:row r="805" ht="34" customHeight="1">
      <x:c r="A805" s="5" t="str">
        <x:v>S1_EMISION</x:v>
      </x:c>
      <x:c r="B805" s="5" t="n">
        <x:v>2</x:v>
      </x:c>
      <x:c r="C805" s="5" t="str">
        <x:v>oficialismo</x:v>
      </x:c>
      <x:c r="D805" s="5" t="n">
        <x:f>$F$787</x:f>
        <x:v>52.343999999999994</x:v>
      </x:c>
      <x:c r="E805" s="5" t="n">
        <x:f>(ABS('03_Sensibilidades'!$C$57)*IF('03_Sensibilidades'!$C$57&lt;0,100-$K$95,$K$95)+ABS('03_Sensibilidades'!$C$58)*IF('03_Sensibilidades'!$C$58&lt;0,100-$K$84,$K$84)+ABS('03_Sensibilidades'!$C$59)*IF('03_Sensibilidades'!$C$59&lt;0,100-$K$87,$K$87)+ABS('03_Sensibilidades'!$C$60)*IF('03_Sensibilidades'!$C$60&lt;0,100-$K$92,$K$92))/(ABS('03_Sensibilidades'!$C$57)+ABS('03_Sensibilidades'!$C$58)+ABS('03_Sensibilidades'!$C$59)+ABS('03_Sensibilidades'!$C$60))</x:f>
        <x:v>52.856</x:v>
      </x:c>
      <x:c r="F805" s="5" t="n">
        <x:f>(1-'00_Arquitectura'!$B$95)*D805+'00_Arquitectura'!$B$95*E805</x:f>
        <x:v>52.523199999999996</x:v>
      </x:c>
      <x:c r="G805" s="5" t="n">
        <x:f>'02_Actores'!$I$20</x:f>
        <x:v>60</x:v>
      </x:c>
      <x:c r="H805" s="5" t="n">
        <x:f>IF(OR(AND(F805&lt;'00_Arquitectura'!$B$118,G805&lt;'00_Arquitectura'!$B$119),F805&lt;'00_Arquitectura'!$B$120),1,0)</x:f>
        <x:v>0</x:v>
      </x:c>
      <x:c r="I805" s="5" t="n">
        <x:f>IF($I$787=1,IF(OR(AND(F805&lt;'00_Arquitectura'!$B$121,G805&lt;'00_Arquitectura'!$B$122),F805&lt;'00_Arquitectura'!$B$123),1,0),IF(AND(H805=1,$H$787=1),1,0))</x:f>
        <x:v>0</x:v>
      </x:c>
      <x:c r="J805" s="5" t="n">
        <x:f>0</x:f>
        <x:v>0</x:v>
      </x:c>
      <x:c r="K805" s="5" t="n">
        <x:f>$K$791</x:f>
        <x:v>48.893999922294356</x:v>
      </x:c>
      <x:c r="L805" s="5" t="str">
        <x:v>No aporta E_social; S y R alimentan disposición a leyes según07.</x:v>
      </x:c>
    </x:row>
    <x:row r="806" ht="34" customHeight="1">
      <x:c r="A806" s="10" t="str">
        <x:v>S1_EMISION</x:v>
      </x:c>
      <x:c r="B806" s="10" t="n">
        <x:v>2</x:v>
      </x:c>
      <x:c r="C806" s="10" t="str">
        <x:v>aliados</x:v>
      </x:c>
      <x:c r="D806" s="10" t="n">
        <x:f>$F$788</x:f>
        <x:v>53.142857142857146</x:v>
      </x:c>
      <x:c r="E806" s="10" t="n">
        <x:f>(ABS('03_Sensibilidades'!$C$61)*IF('03_Sensibilidades'!$C$61&lt;0,100-$K$95,$K$95)+ABS('03_Sensibilidades'!$C$62)*IF('03_Sensibilidades'!$C$62&lt;0,100-$K$87,$K$87)+ABS('03_Sensibilidades'!$C$63)*IF('03_Sensibilidades'!$C$63&lt;0,100-$K$89,$K$89))/(ABS('03_Sensibilidades'!$C$61)+ABS('03_Sensibilidades'!$C$62)+ABS('03_Sensibilidades'!$C$63))</x:f>
        <x:v>53.27619047619047</x:v>
      </x:c>
      <x:c r="F806" s="10" t="n">
        <x:f>(1-'00_Arquitectura'!$B$95)*D806+'00_Arquitectura'!$B$95*E806</x:f>
        <x:v>53.189523809523806</x:v>
      </x:c>
      <x:c r="G806" s="10" t="n">
        <x:f>'02_Actores'!$I$21</x:f>
        <x:v>45</x:v>
      </x:c>
      <x:c r="H806" s="10" t="n">
        <x:f>IF(OR(AND(F806&lt;'00_Arquitectura'!$B$118,G806&lt;'00_Arquitectura'!$B$119),F806&lt;'00_Arquitectura'!$B$120),1,0)</x:f>
        <x:v>0</x:v>
      </x:c>
      <x:c r="I806" s="10" t="n">
        <x:f>IF($I$788=1,IF(OR(AND(F806&lt;'00_Arquitectura'!$B$121,G806&lt;'00_Arquitectura'!$B$122),F806&lt;'00_Arquitectura'!$B$123),1,0),IF(AND(H806=1,$H$788=1),1,0))</x:f>
        <x:v>0</x:v>
      </x:c>
      <x:c r="J806" s="10" t="n">
        <x:f>0</x:f>
        <x:v>0</x:v>
      </x:c>
      <x:c r="K806" s="10" t="n">
        <x:f>$K$791</x:f>
        <x:v>48.893999922294356</x:v>
      </x:c>
      <x:c r="L806" s="10" t="str">
        <x:v>No aporta E_social; S y R alimentan disposición a leyes según07.</x:v>
      </x:c>
    </x:row>
    <x:row r="807" ht="34" customHeight="1">
      <x:c r="A807" s="5" t="str">
        <x:v>S1_EMISION</x:v>
      </x:c>
      <x:c r="B807" s="5" t="n">
        <x:v>2</x:v>
      </x:c>
      <x:c r="C807" s="5" t="str">
        <x:v>oposicion</x:v>
      </x:c>
      <x:c r="D807" s="5" t="n">
        <x:f>$F$789</x:f>
        <x:v>53.900000000000006</x:v>
      </x:c>
      <x:c r="E807" s="5" t="n">
        <x:f>(ABS('03_Sensibilidades'!$C$64)*IF('03_Sensibilidades'!$C$64&lt;0,100-$K$95,$K$95)+ABS('03_Sensibilidades'!$C$65)*IF('03_Sensibilidades'!$C$65&lt;0,100-$K$87,$K$87)+ABS('03_Sensibilidades'!$C$66)*IF('03_Sensibilidades'!$C$66&lt;0,100-$K$93,$K$93))/(ABS('03_Sensibilidades'!$C$64)+ABS('03_Sensibilidades'!$C$65)+ABS('03_Sensibilidades'!$C$66))</x:f>
        <x:v>54.02</x:v>
      </x:c>
      <x:c r="F807" s="5" t="n">
        <x:f>(1-'00_Arquitectura'!$B$95)*D807+'00_Arquitectura'!$B$95*E807</x:f>
        <x:v>53.94200000000001</x:v>
      </x:c>
      <x:c r="G807" s="5" t="n">
        <x:f>'02_Actores'!$I$22</x:f>
        <x:v>30</x:v>
      </x:c>
      <x:c r="H807" s="5" t="n">
        <x:f>IF(OR(AND(F807&lt;'00_Arquitectura'!$B$118,G807&lt;'00_Arquitectura'!$B$119),F807&lt;'00_Arquitectura'!$B$120),1,0)</x:f>
        <x:v>0</x:v>
      </x:c>
      <x:c r="I807" s="5" t="n">
        <x:f>IF($I$789=1,IF(OR(AND(F807&lt;'00_Arquitectura'!$B$121,G807&lt;'00_Arquitectura'!$B$122),F807&lt;'00_Arquitectura'!$B$123),1,0),IF(AND(H807=1,$H$789=1),1,0))</x:f>
        <x:v>0</x:v>
      </x:c>
      <x:c r="J807" s="5" t="n">
        <x:f>0</x:f>
        <x:v>0</x:v>
      </x:c>
      <x:c r="K807" s="5" t="n">
        <x:f>$K$791</x:f>
        <x:v>48.893999922294356</x:v>
      </x:c>
      <x:c r="L807" s="5" t="str">
        <x:v>No aporta E_social; S y R alimentan disposición a leyes según07.</x:v>
      </x:c>
    </x:row>
    <x:row r="808" ht="42" customHeight="1">
      <x:c r="A808" s="10" t="str">
        <x:v>S1_EMISION</x:v>
      </x:c>
      <x:c r="B808" s="10" t="n">
        <x:v>2</x:v>
      </x:c>
      <x:c r="C808" s="10" t="str">
        <x:v>gobernadores</x:v>
      </x:c>
      <x:c r="D808" s="10" t="n">
        <x:f>$F$790</x:f>
        <x:v>50.10344827586207</x:v>
      </x:c>
      <x:c r="E808" s="10" t="n">
        <x:f>(ABS('03_Sensibilidades'!$C$67)*IF('03_Sensibilidades'!$C$67&lt;0,100-$K$89,$K$89)+ABS('03_Sensibilidades'!$C$68)*IF('03_Sensibilidades'!$C$68&lt;0,100-$K$91,$K$91)+ABS('03_Sensibilidades'!$C$69)*IF('03_Sensibilidades'!$C$69&lt;0,100-$K$90,$K$90)+ABS('03_Sensibilidades'!$C$70)*IF('03_Sensibilidades'!$C$70&lt;0,100-$K$87,$K$87))/(ABS('03_Sensibilidades'!$C$67)+ABS('03_Sensibilidades'!$C$68)+ABS('03_Sensibilidades'!$C$69)+ABS('03_Sensibilidades'!$C$70))</x:f>
        <x:v>50.186206896551724</x:v>
      </x:c>
      <x:c r="F808" s="10" t="n">
        <x:f>(1-'00_Arquitectura'!$B$95)*D808+'00_Arquitectura'!$B$95*E808</x:f>
        <x:v>50.13241379310345</x:v>
      </x:c>
      <x:c r="G808" s="10" t="n">
        <x:f>'02_Actores'!$I$23</x:f>
        <x:v>45</x:v>
      </x:c>
      <x:c r="H808" s="10" t="n">
        <x:f>IF(OR(AND(F808&lt;'00_Arquitectura'!$B$118,G808&lt;'00_Arquitectura'!$B$119),F808&lt;'00_Arquitectura'!$B$120),1,0)</x:f>
        <x:v>0</x:v>
      </x:c>
      <x:c r="I808" s="10" t="n">
        <x:f>IF($I$790=1,IF(OR(AND(F808&lt;'00_Arquitectura'!$B$121,G808&lt;'00_Arquitectura'!$B$122),F808&lt;'00_Arquitectura'!$B$123),1,0),IF(AND(H808=1,$H$790=1),1,0))</x:f>
        <x:v>0</x:v>
      </x:c>
      <x:c r="J808" s="10" t="n">
        <x:f>0</x:f>
        <x:v>0</x:v>
      </x:c>
      <x:c r="K808" s="10" t="n">
        <x:f>$K$791</x:f>
        <x:v>48.893999922294356</x:v>
      </x:c>
      <x:c r="L808" s="10" t="str">
        <x:v>Conflicto activo captura menor eficacia en políticas ejecutadas en t+1. Magnitud0 en J: no es un offset directo de indicador.</x:v>
      </x:c>
    </x:row>
    <x:row r="809" ht="34" customHeight="1">
      <x:c r="A809" s="5" t="str">
        <x:v>S1_EMISION</x:v>
      </x:c>
      <x:c r="B809" s="5" t="n">
        <x:v>3</x:v>
      </x:c>
      <x:c r="C809" s="5" t="str">
        <x:v>industria</x:v>
      </x:c>
      <x:c r="D809" s="5" t="n">
        <x:f>$F$791</x:f>
        <x:v>46.8237037037037</x:v>
      </x:c>
      <x:c r="E809" s="5" t="n">
        <x:f>(ABS('03_Sensibilidades'!$C$6)*IF('03_Sensibilidades'!$C$6&lt;0,100-$K$100,$K$100)+ABS('03_Sensibilidades'!$C$7)*IF('03_Sensibilidades'!$C$7&lt;0,100-$K$98,$K$98)+ABS('03_Sensibilidades'!$C$8)*IF('03_Sensibilidades'!$C$8&lt;0,100-$K$103,$K$103)+ABS('03_Sensibilidades'!$C$9)*IF('03_Sensibilidades'!$C$9&lt;0,100-$K$102,$K$102))/(ABS('03_Sensibilidades'!$C$6)+ABS('03_Sensibilidades'!$C$7)+ABS('03_Sensibilidades'!$C$8)+ABS('03_Sensibilidades'!$C$9))</x:f>
        <x:v>47.017185185185184</x:v>
      </x:c>
      <x:c r="F809" s="5" t="n">
        <x:f>(1-'00_Arquitectura'!$B$95)*D809+'00_Arquitectura'!$B$95*E809</x:f>
        <x:v>46.89142222222222</x:v>
      </x:c>
      <x:c r="G809" s="5" t="n">
        <x:f>'02_Actores'!$I$6</x:f>
        <x:v>45</x:v>
      </x:c>
      <x:c r="H809" s="5" t="n">
        <x:f>IF(OR(AND(F809&lt;'00_Arquitectura'!$B$118,G809&lt;'00_Arquitectura'!$B$119),F809&lt;'00_Arquitectura'!$B$120),1,0)</x:f>
        <x:v>0</x:v>
      </x:c>
      <x:c r="I809" s="5" t="n">
        <x:f>IF($I$791=1,IF(OR(AND(F809&lt;'00_Arquitectura'!$B$121,G809&lt;'00_Arquitectura'!$B$122),F809&lt;'00_Arquitectura'!$B$123),1,0),IF(AND(H809=1,$H$791=1),1,0))</x:f>
        <x:v>0</x:v>
      </x:c>
      <x:c r="J809" s="5" t="n">
        <x:f>-I809*2*'02_Actores'!$E$6/10</x:f>
        <x:v>0</x:v>
      </x:c>
      <x:c r="K809" s="5" t="n">
        <x:f>($F$809*'02_Actores'!$F$6+$F$810*'02_Actores'!$F$7+$F$811*'02_Actores'!$F$8+$F$812*'02_Actores'!$F$9+$F$813*'02_Actores'!$F$10+$F$814*'02_Actores'!$F$11+$F$815*'02_Actores'!$F$12+$F$816*'02_Actores'!$F$13+$F$817*'02_Actores'!$F$14+$F$818*'02_Actores'!$F$15+$F$819*'02_Actores'!$F$16+$F$820*'02_Actores'!$F$17+$F$821*'02_Actores'!$F$18+$F$822*'02_Actores'!$F$19)/('02_Actores'!$F$6+'02_Actores'!$F$7+'02_Actores'!$F$8+'02_Actores'!$F$9+'02_Actores'!$F$10+'02_Actores'!$F$11+'02_Actores'!$F$12+'02_Actores'!$F$13+'02_Actores'!$F$14+'02_Actores'!$F$15+'02_Actores'!$F$16+'02_Actores'!$F$17+'02_Actores'!$F$18+'02_Actores'!$F$19)</x:f>
        <x:v>48.88811957682172</x:v>
      </x:c>
      <x:c r="L809" s="5" t="str">
        <x:v>J programa offset para t+1; efecto sustituible y acotado, sin voto adicional.</x:v>
      </x:c>
    </x:row>
    <x:row r="810" ht="34" customHeight="1">
      <x:c r="A810" s="10" t="str">
        <x:v>S1_EMISION</x:v>
      </x:c>
      <x:c r="B810" s="10" t="n">
        <x:v>3</x:v>
      </x:c>
      <x:c r="C810" s="10" t="str">
        <x:v>agro</x:v>
      </x:c>
      <x:c r="D810" s="10" t="n">
        <x:f>$F$792</x:f>
        <x:v>45.892857142857146</x:v>
      </x:c>
      <x:c r="E810" s="10" t="n">
        <x:f>(ABS('03_Sensibilidades'!$C$10)*IF('03_Sensibilidades'!$C$10&lt;0,100-$K$102,$K$102)+ABS('03_Sensibilidades'!$C$11)*IF('03_Sensibilidades'!$C$11&lt;0,100-$K$103,$K$103)+ABS('03_Sensibilidades'!$C$12)*IF('03_Sensibilidades'!$C$12&lt;0,100-$K$110,$K$110)+ABS('03_Sensibilidades'!$C$13)*IF('03_Sensibilidades'!$C$13&lt;0,100-$K$100,$K$100))/(ABS('03_Sensibilidades'!$C$10)+ABS('03_Sensibilidades'!$C$11)+ABS('03_Sensibilidades'!$C$12)+ABS('03_Sensibilidades'!$C$13))</x:f>
        <x:v>45.85857142857143</x:v>
      </x:c>
      <x:c r="F810" s="10" t="n">
        <x:f>(1-'00_Arquitectura'!$B$95)*D810+'00_Arquitectura'!$B$95*E810</x:f>
        <x:v>45.880857142857145</x:v>
      </x:c>
      <x:c r="G810" s="10" t="n">
        <x:f>'02_Actores'!$I$7</x:f>
        <x:v>45</x:v>
      </x:c>
      <x:c r="H810" s="10" t="n">
        <x:f>IF(OR(AND(F810&lt;'00_Arquitectura'!$B$118,G810&lt;'00_Arquitectura'!$B$119),F810&lt;'00_Arquitectura'!$B$120),1,0)</x:f>
        <x:v>0</x:v>
      </x:c>
      <x:c r="I810" s="10" t="n">
        <x:f>IF($I$792=1,IF(OR(AND(F810&lt;'00_Arquitectura'!$B$121,G810&lt;'00_Arquitectura'!$B$122),F810&lt;'00_Arquitectura'!$B$123),1,0),IF(AND(H810=1,$H$792=1),1,0))</x:f>
        <x:v>0</x:v>
      </x:c>
      <x:c r="J810" s="10" t="n">
        <x:f>-I810*2*'02_Actores'!$E$7/10</x:f>
        <x:v>0</x:v>
      </x:c>
      <x:c r="K810" s="10" t="n">
        <x:f>$K$809</x:f>
        <x:v>48.88811957682172</x:v>
      </x:c>
      <x:c r="L810" s="10" t="str">
        <x:v>J programa offset para t+1; efecto sustituible y acotado, sin voto adicional.</x:v>
      </x:c>
    </x:row>
    <x:row r="811" ht="34" customHeight="1">
      <x:c r="A811" s="5" t="str">
        <x:v>S1_EMISION</x:v>
      </x:c>
      <x:c r="B811" s="5" t="n">
        <x:v>3</x:v>
      </x:c>
      <x:c r="C811" s="5" t="str">
        <x:v>financiero</x:v>
      </x:c>
      <x:c r="D811" s="5" t="n">
        <x:f>$F$793</x:f>
        <x:v>54.95172413793103</x:v>
      </x:c>
      <x:c r="E811" s="5" t="n">
        <x:f>(ABS('03_Sensibilidades'!$C$14)*IF('03_Sensibilidades'!$C$14&lt;0,100-$K$101,$K$101)+ABS('03_Sensibilidades'!$C$15)*IF('03_Sensibilidades'!$C$15&lt;0,100-$K$97,$K$97)+ABS('03_Sensibilidades'!$C$16)*IF('03_Sensibilidades'!$C$16&lt;0,100-$K$100,$K$100)+ABS('03_Sensibilidades'!$C$17)*IF('03_Sensibilidades'!$C$17&lt;0,100-$K$109,$K$109))/(ABS('03_Sensibilidades'!$C$14)+ABS('03_Sensibilidades'!$C$15)+ABS('03_Sensibilidades'!$C$16)+ABS('03_Sensibilidades'!$C$17))</x:f>
        <x:v>54.56744827586206</x:v>
      </x:c>
      <x:c r="F811" s="5" t="n">
        <x:f>(1-'00_Arquitectura'!$B$95)*D811+'00_Arquitectura'!$B$95*E811</x:f>
        <x:v>54.81722758620689</x:v>
      </x:c>
      <x:c r="G811" s="5" t="n">
        <x:f>'02_Actores'!$I$8</x:f>
        <x:v>45</x:v>
      </x:c>
      <x:c r="H811" s="5" t="n">
        <x:f>IF(OR(AND(F811&lt;'00_Arquitectura'!$B$118,G811&lt;'00_Arquitectura'!$B$119),F811&lt;'00_Arquitectura'!$B$120),1,0)</x:f>
        <x:v>0</x:v>
      </x:c>
      <x:c r="I811" s="5" t="n">
        <x:f>IF($I$793=1,IF(OR(AND(F811&lt;'00_Arquitectura'!$B$121,G811&lt;'00_Arquitectura'!$B$122),F811&lt;'00_Arquitectura'!$B$123),1,0),IF(AND(H811=1,$H$793=1),1,0))</x:f>
        <x:v>0</x:v>
      </x:c>
      <x:c r="J811" s="5" t="n">
        <x:f>-I811*2*'02_Actores'!$E$8/10</x:f>
        <x:v>0</x:v>
      </x:c>
      <x:c r="K811" s="5" t="n">
        <x:f>$K$809</x:f>
        <x:v>48.88811957682172</x:v>
      </x:c>
      <x:c r="L811" s="5" t="str">
        <x:v>J programa offset para t+1; efecto sustituible y acotado, sin voto adicional.</x:v>
      </x:c>
    </x:row>
    <x:row r="812" ht="34" customHeight="1">
      <x:c r="A812" s="10" t="str">
        <x:v>S1_EMISION</x:v>
      </x:c>
      <x:c r="B812" s="10" t="n">
        <x:v>3</x:v>
      </x:c>
      <x:c r="C812" s="10" t="str">
        <x:v>sindicatos</x:v>
      </x:c>
      <x:c r="D812" s="10" t="n">
        <x:f>$F$794</x:f>
        <x:v>48.32568965517241</x:v>
      </x:c>
      <x:c r="E812" s="10" t="n">
        <x:f>(ABS('03_Sensibilidades'!$C$18)*IF('03_Sensibilidades'!$C$18&lt;0,100-$K$99,$K$99)+ABS('03_Sensibilidades'!$C$19)*IF('03_Sensibilidades'!$C$19&lt;0,100-$K$98,$K$98)+ABS('03_Sensibilidades'!$C$20)*IF('03_Sensibilidades'!$C$20&lt;0,100-$K$106,$K$106)+ABS('03_Sensibilidades'!$C$21)*IF('03_Sensibilidades'!$C$21&lt;0,100-$K$109,$K$109))/(ABS('03_Sensibilidades'!$C$18)+ABS('03_Sensibilidades'!$C$19)+ABS('03_Sensibilidades'!$C$20)+ABS('03_Sensibilidades'!$C$21))</x:f>
        <x:v>48.53448275862069</x:v>
      </x:c>
      <x:c r="F812" s="10" t="n">
        <x:f>(1-'00_Arquitectura'!$B$95)*D812+'00_Arquitectura'!$B$95*E812</x:f>
        <x:v>48.39876724137931</x:v>
      </x:c>
      <x:c r="G812" s="10" t="n">
        <x:f>'02_Actores'!$I$9</x:f>
        <x:v>45</x:v>
      </x:c>
      <x:c r="H812" s="10" t="n">
        <x:f>IF(OR(AND(F812&lt;'00_Arquitectura'!$B$118,G812&lt;'00_Arquitectura'!$B$119),F812&lt;'00_Arquitectura'!$B$120),1,0)</x:f>
        <x:v>0</x:v>
      </x:c>
      <x:c r="I812" s="10" t="n">
        <x:f>IF($I$794=1,IF(OR(AND(F812&lt;'00_Arquitectura'!$B$121,G812&lt;'00_Arquitectura'!$B$122),F812&lt;'00_Arquitectura'!$B$123),1,0),IF(AND(H812=1,$H$794=1),1,0))</x:f>
        <x:v>0</x:v>
      </x:c>
      <x:c r="J812" s="10" t="n">
        <x:f>-I812*2*'02_Actores'!$E$9/10</x:f>
        <x:v>0</x:v>
      </x:c>
      <x:c r="K812" s="10" t="n">
        <x:f>$K$809</x:f>
        <x:v>48.88811957682172</x:v>
      </x:c>
      <x:c r="L812" s="10" t="str">
        <x:v>J programa offset para t+1; efecto sustituible y acotado, sin voto adicional.</x:v>
      </x:c>
    </x:row>
    <x:row r="813" ht="34" customHeight="1">
      <x:c r="A813" s="5" t="str">
        <x:v>S1_EMISION</x:v>
      </x:c>
      <x:c r="B813" s="5" t="n">
        <x:v>3</x:v>
      </x:c>
      <x:c r="C813" s="5" t="str">
        <x:v>pymes</x:v>
      </x:c>
      <x:c r="D813" s="5" t="n">
        <x:f>$F$795</x:f>
        <x:v>49.43603448275863</x:v>
      </x:c>
      <x:c r="E813" s="5" t="n">
        <x:f>(ABS('03_Sensibilidades'!$C$22)*IF('03_Sensibilidades'!$C$22&lt;0,100-$K$100,$K$100)+ABS('03_Sensibilidades'!$C$23)*IF('03_Sensibilidades'!$C$23&lt;0,100-$K$98,$K$98)+ABS('03_Sensibilidades'!$C$24)*IF('03_Sensibilidades'!$C$24&lt;0,100-$K$103,$K$103)+ABS('03_Sensibilidades'!$C$25)*IF('03_Sensibilidades'!$C$25&lt;0,100-$K$97,$K$97))/(ABS('03_Sensibilidades'!$C$22)+ABS('03_Sensibilidades'!$C$23)+ABS('03_Sensibilidades'!$C$24)+ABS('03_Sensibilidades'!$C$25))</x:f>
        <x:v>49.36482758620689</x:v>
      </x:c>
      <x:c r="F813" s="5" t="n">
        <x:f>(1-'00_Arquitectura'!$B$95)*D813+'00_Arquitectura'!$B$95*E813</x:f>
        <x:v>49.41111206896552</x:v>
      </x:c>
      <x:c r="G813" s="5" t="n">
        <x:f>'02_Actores'!$I$10</x:f>
        <x:v>45</x:v>
      </x:c>
      <x:c r="H813" s="5" t="n">
        <x:f>IF(OR(AND(F813&lt;'00_Arquitectura'!$B$118,G813&lt;'00_Arquitectura'!$B$119),F813&lt;'00_Arquitectura'!$B$120),1,0)</x:f>
        <x:v>0</x:v>
      </x:c>
      <x:c r="I813" s="5" t="n">
        <x:f>IF($I$795=1,IF(OR(AND(F813&lt;'00_Arquitectura'!$B$121,G813&lt;'00_Arquitectura'!$B$122),F813&lt;'00_Arquitectura'!$B$123),1,0),IF(AND(H813=1,$H$795=1),1,0))</x:f>
        <x:v>0</x:v>
      </x:c>
      <x:c r="J813" s="5" t="n">
        <x:f>-I813*2*'02_Actores'!$E$10/10</x:f>
        <x:v>0</x:v>
      </x:c>
      <x:c r="K813" s="5" t="n">
        <x:f>$K$809</x:f>
        <x:v>48.88811957682172</x:v>
      </x:c>
      <x:c r="L813" s="5" t="str">
        <x:v>J programa offset para t+1; efecto sustituible y acotado, sin voto adicional.</x:v>
      </x:c>
    </x:row>
    <x:row r="814" ht="34" customHeight="1">
      <x:c r="A814" s="10" t="str">
        <x:v>S1_EMISION</x:v>
      </x:c>
      <x:c r="B814" s="10" t="n">
        <x:v>3</x:v>
      </x:c>
      <x:c r="C814" s="10" t="str">
        <x:v>clase_media</x:v>
      </x:c>
      <x:c r="D814" s="10" t="n">
        <x:f>$F$796</x:f>
        <x:v>48.32037037037037</x:v>
      </x:c>
      <x:c r="E814" s="10" t="n">
        <x:f>(ABS('03_Sensibilidades'!$C$26)*IF('03_Sensibilidades'!$C$26&lt;0,100-$K$99,$K$99)+ABS('03_Sensibilidades'!$C$27)*IF('03_Sensibilidades'!$C$27&lt;0,100-$K$107,$K$107)+ABS('03_Sensibilidades'!$C$28)*IF('03_Sensibilidades'!$C$28&lt;0,100-$K$104,$K$104)+ABS('03_Sensibilidades'!$C$29)*IF('03_Sensibilidades'!$C$29&lt;0,100-$K$97,$K$97))/(ABS('03_Sensibilidades'!$C$26)+ABS('03_Sensibilidades'!$C$27)+ABS('03_Sensibilidades'!$C$28)+ABS('03_Sensibilidades'!$C$29))</x:f>
        <x:v>48.03333333333334</x:v>
      </x:c>
      <x:c r="F814" s="10" t="n">
        <x:f>(1-'00_Arquitectura'!$B$95)*D814+'00_Arquitectura'!$B$95*E814</x:f>
        <x:v>48.219907407407405</x:v>
      </x:c>
      <x:c r="G814" s="10" t="n">
        <x:f>'02_Actores'!$I$11</x:f>
        <x:v>45</x:v>
      </x:c>
      <x:c r="H814" s="10" t="n">
        <x:f>IF(OR(AND(F814&lt;'00_Arquitectura'!$B$118,G814&lt;'00_Arquitectura'!$B$119),F814&lt;'00_Arquitectura'!$B$120),1,0)</x:f>
        <x:v>0</x:v>
      </x:c>
      <x:c r="I814" s="10" t="n">
        <x:f>IF($I$796=1,IF(OR(AND(F814&lt;'00_Arquitectura'!$B$121,G814&lt;'00_Arquitectura'!$B$122),F814&lt;'00_Arquitectura'!$B$123),1,0),IF(AND(H814=1,$H$796=1),1,0))</x:f>
        <x:v>0</x:v>
      </x:c>
      <x:c r="J814" s="10" t="n">
        <x:f>0</x:f>
        <x:v>0</x:v>
      </x:c>
      <x:c r="K814" s="10" t="n">
        <x:f>$K$809</x:f>
        <x:v>48.88811957682172</x:v>
      </x:c>
      <x:c r="L814" s="10" t="str">
        <x:v>Canal directo sólo al índice social; sin bono de popularidad.</x:v>
      </x:c>
    </x:row>
    <x:row r="815" ht="34" customHeight="1">
      <x:c r="A815" s="5" t="str">
        <x:v>S1_EMISION</x:v>
      </x:c>
      <x:c r="B815" s="5" t="n">
        <x:v>3</x:v>
      </x:c>
      <x:c r="C815" s="5" t="str">
        <x:v>cooperativas</x:v>
      </x:c>
      <x:c r="D815" s="5" t="n">
        <x:f>$F$797</x:f>
        <x:v>48.07722222222222</x:v>
      </x:c>
      <x:c r="E815" s="5" t="n">
        <x:f>(ABS('03_Sensibilidades'!$C$30)*IF('03_Sensibilidades'!$C$30&lt;0,100-$K$100,$K$100)+ABS('03_Sensibilidades'!$C$31)*IF('03_Sensibilidades'!$C$31&lt;0,100-$K$98,$K$98)+ABS('03_Sensibilidades'!$C$32)*IF('03_Sensibilidades'!$C$32&lt;0,100-$K$106,$K$106)+ABS('03_Sensibilidades'!$C$33)*IF('03_Sensibilidades'!$C$33&lt;0,100-$K$109,$K$109))/(ABS('03_Sensibilidades'!$C$30)+ABS('03_Sensibilidades'!$C$31)+ABS('03_Sensibilidades'!$C$32)+ABS('03_Sensibilidades'!$C$33))</x:f>
        <x:v>48.24651851851851</x:v>
      </x:c>
      <x:c r="F815" s="5" t="n">
        <x:f>(1-'00_Arquitectura'!$B$95)*D815+'00_Arquitectura'!$B$95*E815</x:f>
        <x:v>48.13647592592592</x:v>
      </x:c>
      <x:c r="G815" s="5" t="n">
        <x:f>'02_Actores'!$I$12</x:f>
        <x:v>45</x:v>
      </x:c>
      <x:c r="H815" s="5" t="n">
        <x:f>IF(OR(AND(F815&lt;'00_Arquitectura'!$B$118,G815&lt;'00_Arquitectura'!$B$119),F815&lt;'00_Arquitectura'!$B$120),1,0)</x:f>
        <x:v>0</x:v>
      </x:c>
      <x:c r="I815" s="5" t="n">
        <x:f>IF($I$797=1,IF(OR(AND(F815&lt;'00_Arquitectura'!$B$121,G815&lt;'00_Arquitectura'!$B$122),F815&lt;'00_Arquitectura'!$B$123),1,0),IF(AND(H815=1,$H$797=1),1,0))</x:f>
        <x:v>0</x:v>
      </x:c>
      <x:c r="J815" s="5" t="n">
        <x:f>-I815*1.5*'02_Actores'!$E$12/10</x:f>
        <x:v>0</x:v>
      </x:c>
      <x:c r="K815" s="5" t="n">
        <x:f>$K$809</x:f>
        <x:v>48.88811957682172</x:v>
      </x:c>
      <x:c r="L815" s="5" t="str">
        <x:v>J programa offset para t+1; efecto sustituible y acotado, sin voto adicional.</x:v>
      </x:c>
    </x:row>
    <x:row r="816" ht="42" customHeight="1">
      <x:c r="A816" s="10" t="str">
        <x:v>S1_EMISION</x:v>
      </x:c>
      <x:c r="B816" s="10" t="n">
        <x:v>3</x:v>
      </x:c>
      <x:c r="C816" s="10" t="str">
        <x:v>estudiantes</x:v>
      </x:c>
      <x:c r="D816" s="10" t="n">
        <x:f>$F$798</x:f>
        <x:v>49.221000000000004</x:v>
      </x:c>
      <x:c r="E816" s="10" t="n">
        <x:f>(ABS('03_Sensibilidades'!$C$34)*IF('03_Sensibilidades'!$C$34&lt;0,100-$K$104,$K$104)+ABS('03_Sensibilidades'!$C$35)*IF('03_Sensibilidades'!$C$35&lt;0,100-$K$99,$K$99)+ABS('03_Sensibilidades'!$C$36)*IF('03_Sensibilidades'!$C$36&lt;0,100-$K$109,$K$109)+ABS('03_Sensibilidades'!$C$37)*IF('03_Sensibilidades'!$C$37&lt;0,100-$K$108,$K$108))/(ABS('03_Sensibilidades'!$C$34)+ABS('03_Sensibilidades'!$C$35)+ABS('03_Sensibilidades'!$C$36)+ABS('03_Sensibilidades'!$C$37))</x:f>
        <x:v>49.19</x:v>
      </x:c>
      <x:c r="F816" s="10" t="n">
        <x:f>(1-'00_Arquitectura'!$B$95)*D816+'00_Arquitectura'!$B$95*E816</x:f>
        <x:v>49.21015</x:v>
      </x:c>
      <x:c r="G816" s="10" t="n">
        <x:f>'02_Actores'!$I$13</x:f>
        <x:v>45</x:v>
      </x:c>
      <x:c r="H816" s="10" t="n">
        <x:f>IF(OR(AND(F816&lt;'00_Arquitectura'!$B$118,G816&lt;'00_Arquitectura'!$B$119),F816&lt;'00_Arquitectura'!$B$120),1,0)</x:f>
        <x:v>0</x:v>
      </x:c>
      <x:c r="I816" s="10" t="n">
        <x:f>IF($I$798=1,IF(OR(AND(F816&lt;'00_Arquitectura'!$B$121,G816&lt;'00_Arquitectura'!$B$122),F816&lt;'00_Arquitectura'!$B$123),1,0),IF(AND(H816=1,$H$798=1),1,0))</x:f>
        <x:v>0</x:v>
      </x:c>
      <x:c r="J816" s="10" t="n">
        <x:f>0</x:f>
        <x:v>0</x:v>
      </x:c>
      <x:c r="K816" s="10" t="n">
        <x:f>$K$809</x:f>
        <x:v>48.88811957682172</x:v>
      </x:c>
      <x:c r="L816" s="10" t="str">
        <x:v>Conflicto activo captura menor eficacia en políticas ejecutadas en t+1. Magnitud0 en J: no es un offset directo de indicador.</x:v>
      </x:c>
    </x:row>
    <x:row r="817" ht="34" customHeight="1">
      <x:c r="A817" s="5" t="str">
        <x:v>S1_EMISION</x:v>
      </x:c>
      <x:c r="B817" s="5" t="n">
        <x:v>3</x:v>
      </x:c>
      <x:c r="C817" s="5" t="str">
        <x:v>docentes</x:v>
      </x:c>
      <x:c r="D817" s="5" t="n">
        <x:f>$F$799</x:f>
        <x:v>48.95413043478261</x:v>
      </x:c>
      <x:c r="E817" s="5" t="n">
        <x:f>(ABS('03_Sensibilidades'!$C$38)*IF('03_Sensibilidades'!$C$38&lt;0,100-$K$104,$K$104)+ABS('03_Sensibilidades'!$C$39)*IF('03_Sensibilidades'!$C$39&lt;0,100-$K$99,$K$99)+ABS('03_Sensibilidades'!$C$40)*IF('03_Sensibilidades'!$C$40&lt;0,100-$K$109,$K$109))/(ABS('03_Sensibilidades'!$C$38)+ABS('03_Sensibilidades'!$C$39)+ABS('03_Sensibilidades'!$C$40))</x:f>
        <x:v>48.893478260869564</x:v>
      </x:c>
      <x:c r="F817" s="5" t="n">
        <x:f>(1-'00_Arquitectura'!$B$95)*D817+'00_Arquitectura'!$B$95*E817</x:f>
        <x:v>48.93290217391305</x:v>
      </x:c>
      <x:c r="G817" s="5" t="n">
        <x:f>'02_Actores'!$I$14</x:f>
        <x:v>45</x:v>
      </x:c>
      <x:c r="H817" s="5" t="n">
        <x:f>IF(OR(AND(F817&lt;'00_Arquitectura'!$B$118,G817&lt;'00_Arquitectura'!$B$119),F817&lt;'00_Arquitectura'!$B$120),1,0)</x:f>
        <x:v>0</x:v>
      </x:c>
      <x:c r="I817" s="5" t="n">
        <x:f>IF($I$799=1,IF(OR(AND(F817&lt;'00_Arquitectura'!$B$121,G817&lt;'00_Arquitectura'!$B$122),F817&lt;'00_Arquitectura'!$B$123),1,0),IF(AND(H817=1,$H$799=1),1,0))</x:f>
        <x:v>0</x:v>
      </x:c>
      <x:c r="J817" s="5" t="n">
        <x:f>-I817*1.5*'02_Actores'!$E$14/10</x:f>
        <x:v>0</x:v>
      </x:c>
      <x:c r="K817" s="5" t="n">
        <x:f>$K$809</x:f>
        <x:v>48.88811957682172</x:v>
      </x:c>
      <x:c r="L817" s="5" t="str">
        <x:v>J programa offset para t+1; efecto sustituible y acotado, sin voto adicional.</x:v>
      </x:c>
    </x:row>
    <x:row r="818" ht="34" customHeight="1">
      <x:c r="A818" s="10" t="str">
        <x:v>S1_EMISION</x:v>
      </x:c>
      <x:c r="B818" s="10" t="n">
        <x:v>3</x:v>
      </x:c>
      <x:c r="C818" s="10" t="str">
        <x:v>cientificos</x:v>
      </x:c>
      <x:c r="D818" s="10" t="n">
        <x:f>$F$800</x:f>
        <x:v>46.59090909090909</x:v>
      </x:c>
      <x:c r="E818" s="10" t="n">
        <x:f>(ABS('03_Sensibilidades'!$C$41)*IF('03_Sensibilidades'!$C$41&lt;0,100-$K$108,$K$108)+ABS('03_Sensibilidades'!$C$42)*IF('03_Sensibilidades'!$C$42&lt;0,100-$K$104,$K$104)+ABS('03_Sensibilidades'!$C$43)*IF('03_Sensibilidades'!$C$43&lt;0,100-$K$109,$K$109))/(ABS('03_Sensibilidades'!$C$41)+ABS('03_Sensibilidades'!$C$42)+ABS('03_Sensibilidades'!$C$43))</x:f>
        <x:v>46.59090909090909</x:v>
      </x:c>
      <x:c r="F818" s="10" t="n">
        <x:f>(1-'00_Arquitectura'!$B$95)*D818+'00_Arquitectura'!$B$95*E818</x:f>
        <x:v>46.59090909090909</x:v>
      </x:c>
      <x:c r="G818" s="10" t="n">
        <x:f>'02_Actores'!$I$15</x:f>
        <x:v>45</x:v>
      </x:c>
      <x:c r="H818" s="10" t="n">
        <x:f>IF(OR(AND(F818&lt;'00_Arquitectura'!$B$118,G818&lt;'00_Arquitectura'!$B$119),F818&lt;'00_Arquitectura'!$B$120),1,0)</x:f>
        <x:v>0</x:v>
      </x:c>
      <x:c r="I818" s="10" t="n">
        <x:f>IF($I$800=1,IF(OR(AND(F818&lt;'00_Arquitectura'!$B$121,G818&lt;'00_Arquitectura'!$B$122),F818&lt;'00_Arquitectura'!$B$123),1,0),IF(AND(H818=1,$H$800=1),1,0))</x:f>
        <x:v>0</x:v>
      </x:c>
      <x:c r="J818" s="10" t="n">
        <x:f>-I818*1.5*'02_Actores'!$E$15/10</x:f>
        <x:v>0</x:v>
      </x:c>
      <x:c r="K818" s="10" t="n">
        <x:f>$K$809</x:f>
        <x:v>48.88811957682172</x:v>
      </x:c>
      <x:c r="L818" s="10" t="str">
        <x:v>J programa offset para t+1; efecto sustituible y acotado, sin voto adicional.</x:v>
      </x:c>
    </x:row>
    <x:row r="819" ht="34" customHeight="1">
      <x:c r="A819" s="5" t="str">
        <x:v>S1_EMISION</x:v>
      </x:c>
      <x:c r="B819" s="5" t="n">
        <x:v>3</x:v>
      </x:c>
      <x:c r="C819" s="5" t="str">
        <x:v>organizaciones</x:v>
      </x:c>
      <x:c r="D819" s="5" t="n">
        <x:f>$F$801</x:f>
        <x:v>49.354642857142856</x:v>
      </x:c>
      <x:c r="E819" s="5" t="n">
        <x:f>(ABS('03_Sensibilidades'!$C$44)*IF('03_Sensibilidades'!$C$44&lt;0,100-$K$106,$K$106)+ABS('03_Sensibilidades'!$C$45)*IF('03_Sensibilidades'!$C$45&lt;0,100-$K$105,$K$105)+ABS('03_Sensibilidades'!$C$46)*IF('03_Sensibilidades'!$C$46&lt;0,100-$K$98,$K$98)+ABS('03_Sensibilidades'!$C$47)*IF('03_Sensibilidades'!$C$47&lt;0,100-$K$109,$K$109))/(ABS('03_Sensibilidades'!$C$44)+ABS('03_Sensibilidades'!$C$45)+ABS('03_Sensibilidades'!$C$46)+ABS('03_Sensibilidades'!$C$47))</x:f>
        <x:v>49.535714285714285</x:v>
      </x:c>
      <x:c r="F819" s="5" t="n">
        <x:f>(1-'00_Arquitectura'!$B$95)*D819+'00_Arquitectura'!$B$95*E819</x:f>
        <x:v>49.41801785714286</x:v>
      </x:c>
      <x:c r="G819" s="5" t="n">
        <x:f>'02_Actores'!$I$16</x:f>
        <x:v>45</x:v>
      </x:c>
      <x:c r="H819" s="5" t="n">
        <x:f>IF(OR(AND(F819&lt;'00_Arquitectura'!$B$118,G819&lt;'00_Arquitectura'!$B$119),F819&lt;'00_Arquitectura'!$B$120),1,0)</x:f>
        <x:v>0</x:v>
      </x:c>
      <x:c r="I819" s="5" t="n">
        <x:f>IF($I$801=1,IF(OR(AND(F819&lt;'00_Arquitectura'!$B$121,G819&lt;'00_Arquitectura'!$B$122),F819&lt;'00_Arquitectura'!$B$123),1,0),IF(AND(H819=1,$H$801=1),1,0))</x:f>
        <x:v>0</x:v>
      </x:c>
      <x:c r="J819" s="5" t="n">
        <x:f>-I819*1.5*'02_Actores'!$E$16/10</x:f>
        <x:v>0</x:v>
      </x:c>
      <x:c r="K819" s="5" t="n">
        <x:f>$K$809</x:f>
        <x:v>48.88811957682172</x:v>
      </x:c>
      <x:c r="L819" s="5" t="str">
        <x:v>J programa offset para t+1; efecto sustituible y acotado, sin voto adicional.</x:v>
      </x:c>
    </x:row>
    <x:row r="820" ht="42" customHeight="1">
      <x:c r="A820" s="10" t="str">
        <x:v>S1_EMISION</x:v>
      </x:c>
      <x:c r="B820" s="10" t="n">
        <x:v>3</x:v>
      </x:c>
      <x:c r="C820" s="10" t="str">
        <x:v>ddhh</x:v>
      </x:c>
      <x:c r="D820" s="10" t="n">
        <x:f>$F$802</x:f>
        <x:v>50.88235294117648</x:v>
      </x:c>
      <x:c r="E820" s="10" t="n">
        <x:f>(ABS('03_Sensibilidades'!$C$48)*IF('03_Sensibilidades'!$C$48&lt;0,100-$K$109,$K$109)+ABS('03_Sensibilidades'!$C$49)*IF('03_Sensibilidades'!$C$49&lt;0,100-$K$107,$K$107)+ABS('03_Sensibilidades'!$C$50)*IF('03_Sensibilidades'!$C$50&lt;0,100-$K$106,$K$106))/(ABS('03_Sensibilidades'!$C$48)+ABS('03_Sensibilidades'!$C$49)+ABS('03_Sensibilidades'!$C$50))</x:f>
        <x:v>50.88235294117647</x:v>
      </x:c>
      <x:c r="F820" s="10" t="n">
        <x:f>(1-'00_Arquitectura'!$B$95)*D820+'00_Arquitectura'!$B$95*E820</x:f>
        <x:v>50.88235294117648</x:v>
      </x:c>
      <x:c r="G820" s="10" t="n">
        <x:f>'02_Actores'!$I$17</x:f>
        <x:v>45</x:v>
      </x:c>
      <x:c r="H820" s="10" t="n">
        <x:f>IF(OR(AND(F820&lt;'00_Arquitectura'!$B$118,G820&lt;'00_Arquitectura'!$B$119),F820&lt;'00_Arquitectura'!$B$120),1,0)</x:f>
        <x:v>0</x:v>
      </x:c>
      <x:c r="I820" s="10" t="n">
        <x:f>IF($I$802=1,IF(OR(AND(F820&lt;'00_Arquitectura'!$B$121,G820&lt;'00_Arquitectura'!$B$122),F820&lt;'00_Arquitectura'!$B$123),1,0),IF(AND(H820=1,$H$802=1),1,0))</x:f>
        <x:v>0</x:v>
      </x:c>
      <x:c r="J820" s="10" t="n">
        <x:f>0</x:f>
        <x:v>0</x:v>
      </x:c>
      <x:c r="K820" s="10" t="n">
        <x:f>$K$809</x:f>
        <x:v>48.88811957682172</x:v>
      </x:c>
      <x:c r="L820" s="10" t="str">
        <x:v>Conflicto activo captura menor eficacia en políticas ejecutadas en t+1. Magnitud0 en J: no es un offset directo de indicador.</x:v>
      </x:c>
    </x:row>
    <x:row r="821" ht="42" customHeight="1">
      <x:c r="A821" s="5" t="str">
        <x:v>S1_EMISION</x:v>
      </x:c>
      <x:c r="B821" s="5" t="n">
        <x:v>3</x:v>
      </x:c>
      <x:c r="C821" s="5" t="str">
        <x:v>ambientalistas</x:v>
      </x:c>
      <x:c r="D821" s="5" t="n">
        <x:f>$F$803</x:f>
        <x:v>51.388888888888886</x:v>
      </x:c>
      <x:c r="E821" s="5" t="n">
        <x:f>(ABS('03_Sensibilidades'!$C$51)*IF('03_Sensibilidades'!$C$51&lt;0,100-$K$110,$K$110)+ABS('03_Sensibilidades'!$C$52)*IF('03_Sensibilidades'!$C$52&lt;0,100-$K$109,$K$109)+ABS('03_Sensibilidades'!$C$53)*IF('03_Sensibilidades'!$C$53&lt;0,100-$K$105,$K$105))/(ABS('03_Sensibilidades'!$C$51)+ABS('03_Sensibilidades'!$C$52)+ABS('03_Sensibilidades'!$C$53))</x:f>
        <x:v>51.388888888888886</x:v>
      </x:c>
      <x:c r="F821" s="5" t="n">
        <x:f>(1-'00_Arquitectura'!$B$95)*D821+'00_Arquitectura'!$B$95*E821</x:f>
        <x:v>51.388888888888886</x:v>
      </x:c>
      <x:c r="G821" s="5" t="n">
        <x:f>'02_Actores'!$I$18</x:f>
        <x:v>45</x:v>
      </x:c>
      <x:c r="H821" s="5" t="n">
        <x:f>IF(OR(AND(F821&lt;'00_Arquitectura'!$B$118,G821&lt;'00_Arquitectura'!$B$119),F821&lt;'00_Arquitectura'!$B$120),1,0)</x:f>
        <x:v>0</x:v>
      </x:c>
      <x:c r="I821" s="5" t="n">
        <x:f>IF($I$803=1,IF(OR(AND(F821&lt;'00_Arquitectura'!$B$121,G821&lt;'00_Arquitectura'!$B$122),F821&lt;'00_Arquitectura'!$B$123),1,0),IF(AND(H821=1,$H$803=1),1,0))</x:f>
        <x:v>0</x:v>
      </x:c>
      <x:c r="J821" s="5" t="n">
        <x:f>0</x:f>
        <x:v>0</x:v>
      </x:c>
      <x:c r="K821" s="5" t="n">
        <x:f>$K$809</x:f>
        <x:v>48.88811957682172</x:v>
      </x:c>
      <x:c r="L821" s="5" t="str">
        <x:v>Conflicto activo captura menor eficacia en políticas ejecutadas en t+1. Magnitud0 en J: no es un offset directo de indicador.</x:v>
      </x:c>
    </x:row>
    <x:row r="822" ht="34" customHeight="1">
      <x:c r="A822" s="10" t="str">
        <x:v>S1_EMISION</x:v>
      </x:c>
      <x:c r="B822" s="10" t="n">
        <x:v>3</x:v>
      </x:c>
      <x:c r="C822" s="10" t="str">
        <x:v>cultura</x:v>
      </x:c>
      <x:c r="D822" s="10" t="n">
        <x:f>$F$804</x:f>
        <x:v>50.8171052631579</x:v>
      </x:c>
      <x:c r="E822" s="10" t="n">
        <x:f>(ABS('03_Sensibilidades'!$C$54)*IF('03_Sensibilidades'!$C$54&lt;0,100-$K$109,$K$109)+ABS('03_Sensibilidades'!$C$55)*IF('03_Sensibilidades'!$C$55&lt;0,100-$K$104,$K$104)+ABS('03_Sensibilidades'!$C$56)*IF('03_Sensibilidades'!$C$56&lt;0,100-$K$99,$K$99))/(ABS('03_Sensibilidades'!$C$54)+ABS('03_Sensibilidades'!$C$55)+ABS('03_Sensibilidades'!$C$56))</x:f>
        <x:v>50.776315789473685</x:v>
      </x:c>
      <x:c r="F822" s="10" t="n">
        <x:f>(1-'00_Arquitectura'!$B$95)*D822+'00_Arquitectura'!$B$95*E822</x:f>
        <x:v>50.802828947368425</x:v>
      </x:c>
      <x:c r="G822" s="10" t="n">
        <x:f>'02_Actores'!$I$19</x:f>
        <x:v>45</x:v>
      </x:c>
      <x:c r="H822" s="10" t="n">
        <x:f>IF(OR(AND(F822&lt;'00_Arquitectura'!$B$118,G822&lt;'00_Arquitectura'!$B$119),F822&lt;'00_Arquitectura'!$B$120),1,0)</x:f>
        <x:v>0</x:v>
      </x:c>
      <x:c r="I822" s="10" t="n">
        <x:f>IF($I$804=1,IF(OR(AND(F822&lt;'00_Arquitectura'!$B$121,G822&lt;'00_Arquitectura'!$B$122),F822&lt;'00_Arquitectura'!$B$123),1,0),IF(AND(H822=1,$H$804=1),1,0))</x:f>
        <x:v>0</x:v>
      </x:c>
      <x:c r="J822" s="10" t="n">
        <x:f>0</x:f>
        <x:v>0</x:v>
      </x:c>
      <x:c r="K822" s="10" t="n">
        <x:f>$K$809</x:f>
        <x:v>48.88811957682172</x:v>
      </x:c>
      <x:c r="L822" s="10" t="str">
        <x:v>Conflicto activo encarece agenda del turno siguiente; sin castigo electoral adicional.</x:v>
      </x:c>
    </x:row>
    <x:row r="823" ht="34" customHeight="1">
      <x:c r="A823" s="5" t="str">
        <x:v>S1_EMISION</x:v>
      </x:c>
      <x:c r="B823" s="5" t="n">
        <x:v>3</x:v>
      </x:c>
      <x:c r="C823" s="5" t="str">
        <x:v>oficialismo</x:v>
      </x:c>
      <x:c r="D823" s="5" t="n">
        <x:f>$F$805</x:f>
        <x:v>52.523199999999996</x:v>
      </x:c>
      <x:c r="E823" s="5" t="n">
        <x:f>(ABS('03_Sensibilidades'!$C$57)*IF('03_Sensibilidades'!$C$57&lt;0,100-$K$109,$K$109)+ABS('03_Sensibilidades'!$C$58)*IF('03_Sensibilidades'!$C$58&lt;0,100-$K$98,$K$98)+ABS('03_Sensibilidades'!$C$59)*IF('03_Sensibilidades'!$C$59&lt;0,100-$K$101,$K$101)+ABS('03_Sensibilidades'!$C$60)*IF('03_Sensibilidades'!$C$60&lt;0,100-$K$106,$K$106))/(ABS('03_Sensibilidades'!$C$57)+ABS('03_Sensibilidades'!$C$58)+ABS('03_Sensibilidades'!$C$59)+ABS('03_Sensibilidades'!$C$60))</x:f>
        <x:v>52.856</x:v>
      </x:c>
      <x:c r="F823" s="5" t="n">
        <x:f>(1-'00_Arquitectura'!$B$95)*D823+'00_Arquitectura'!$B$95*E823</x:f>
        <x:v>52.63968</x:v>
      </x:c>
      <x:c r="G823" s="5" t="n">
        <x:f>'02_Actores'!$I$20</x:f>
        <x:v>60</x:v>
      </x:c>
      <x:c r="H823" s="5" t="n">
        <x:f>IF(OR(AND(F823&lt;'00_Arquitectura'!$B$118,G823&lt;'00_Arquitectura'!$B$119),F823&lt;'00_Arquitectura'!$B$120),1,0)</x:f>
        <x:v>0</x:v>
      </x:c>
      <x:c r="I823" s="5" t="n">
        <x:f>IF($I$805=1,IF(OR(AND(F823&lt;'00_Arquitectura'!$B$121,G823&lt;'00_Arquitectura'!$B$122),F823&lt;'00_Arquitectura'!$B$123),1,0),IF(AND(H823=1,$H$805=1),1,0))</x:f>
        <x:v>0</x:v>
      </x:c>
      <x:c r="J823" s="5" t="n">
        <x:f>0</x:f>
        <x:v>0</x:v>
      </x:c>
      <x:c r="K823" s="5" t="n">
        <x:f>$K$809</x:f>
        <x:v>48.88811957682172</x:v>
      </x:c>
      <x:c r="L823" s="5" t="str">
        <x:v>No aporta E_social; S y R alimentan disposición a leyes según07.</x:v>
      </x:c>
    </x:row>
    <x:row r="824" ht="34" customHeight="1">
      <x:c r="A824" s="10" t="str">
        <x:v>S1_EMISION</x:v>
      </x:c>
      <x:c r="B824" s="10" t="n">
        <x:v>3</x:v>
      </x:c>
      <x:c r="C824" s="10" t="str">
        <x:v>aliados</x:v>
      </x:c>
      <x:c r="D824" s="10" t="n">
        <x:f>$F$806</x:f>
        <x:v>53.189523809523806</x:v>
      </x:c>
      <x:c r="E824" s="10" t="n">
        <x:f>(ABS('03_Sensibilidades'!$C$61)*IF('03_Sensibilidades'!$C$61&lt;0,100-$K$109,$K$109)+ABS('03_Sensibilidades'!$C$62)*IF('03_Sensibilidades'!$C$62&lt;0,100-$K$101,$K$101)+ABS('03_Sensibilidades'!$C$63)*IF('03_Sensibilidades'!$C$63&lt;0,100-$K$103,$K$103))/(ABS('03_Sensibilidades'!$C$61)+ABS('03_Sensibilidades'!$C$62)+ABS('03_Sensibilidades'!$C$63))</x:f>
        <x:v>53.27619047619047</x:v>
      </x:c>
      <x:c r="F824" s="10" t="n">
        <x:f>(1-'00_Arquitectura'!$B$95)*D824+'00_Arquitectura'!$B$95*E824</x:f>
        <x:v>53.21985714285714</x:v>
      </x:c>
      <x:c r="G824" s="10" t="n">
        <x:f>'02_Actores'!$I$21</x:f>
        <x:v>45</x:v>
      </x:c>
      <x:c r="H824" s="10" t="n">
        <x:f>IF(OR(AND(F824&lt;'00_Arquitectura'!$B$118,G824&lt;'00_Arquitectura'!$B$119),F824&lt;'00_Arquitectura'!$B$120),1,0)</x:f>
        <x:v>0</x:v>
      </x:c>
      <x:c r="I824" s="10" t="n">
        <x:f>IF($I$806=1,IF(OR(AND(F824&lt;'00_Arquitectura'!$B$121,G824&lt;'00_Arquitectura'!$B$122),F824&lt;'00_Arquitectura'!$B$123),1,0),IF(AND(H824=1,$H$806=1),1,0))</x:f>
        <x:v>0</x:v>
      </x:c>
      <x:c r="J824" s="10" t="n">
        <x:f>0</x:f>
        <x:v>0</x:v>
      </x:c>
      <x:c r="K824" s="10" t="n">
        <x:f>$K$809</x:f>
        <x:v>48.88811957682172</x:v>
      </x:c>
      <x:c r="L824" s="10" t="str">
        <x:v>No aporta E_social; S y R alimentan disposición a leyes según07.</x:v>
      </x:c>
    </x:row>
    <x:row r="825" ht="34" customHeight="1">
      <x:c r="A825" s="5" t="str">
        <x:v>S1_EMISION</x:v>
      </x:c>
      <x:c r="B825" s="5" t="n">
        <x:v>3</x:v>
      </x:c>
      <x:c r="C825" s="5" t="str">
        <x:v>oposicion</x:v>
      </x:c>
      <x:c r="D825" s="5" t="n">
        <x:f>$F$807</x:f>
        <x:v>53.94200000000001</x:v>
      </x:c>
      <x:c r="E825" s="5" t="n">
        <x:f>(ABS('03_Sensibilidades'!$C$64)*IF('03_Sensibilidades'!$C$64&lt;0,100-$K$109,$K$109)+ABS('03_Sensibilidades'!$C$65)*IF('03_Sensibilidades'!$C$65&lt;0,100-$K$101,$K$101)+ABS('03_Sensibilidades'!$C$66)*IF('03_Sensibilidades'!$C$66&lt;0,100-$K$107,$K$107))/(ABS('03_Sensibilidades'!$C$64)+ABS('03_Sensibilidades'!$C$65)+ABS('03_Sensibilidades'!$C$66))</x:f>
        <x:v>54.02</x:v>
      </x:c>
      <x:c r="F825" s="5" t="n">
        <x:f>(1-'00_Arquitectura'!$B$95)*D825+'00_Arquitectura'!$B$95*E825</x:f>
        <x:v>53.969300000000004</x:v>
      </x:c>
      <x:c r="G825" s="5" t="n">
        <x:f>'02_Actores'!$I$22</x:f>
        <x:v>30</x:v>
      </x:c>
      <x:c r="H825" s="5" t="n">
        <x:f>IF(OR(AND(F825&lt;'00_Arquitectura'!$B$118,G825&lt;'00_Arquitectura'!$B$119),F825&lt;'00_Arquitectura'!$B$120),1,0)</x:f>
        <x:v>0</x:v>
      </x:c>
      <x:c r="I825" s="5" t="n">
        <x:f>IF($I$807=1,IF(OR(AND(F825&lt;'00_Arquitectura'!$B$121,G825&lt;'00_Arquitectura'!$B$122),F825&lt;'00_Arquitectura'!$B$123),1,0),IF(AND(H825=1,$H$807=1),1,0))</x:f>
        <x:v>0</x:v>
      </x:c>
      <x:c r="J825" s="5" t="n">
        <x:f>0</x:f>
        <x:v>0</x:v>
      </x:c>
      <x:c r="K825" s="5" t="n">
        <x:f>$K$809</x:f>
        <x:v>48.88811957682172</x:v>
      </x:c>
      <x:c r="L825" s="5" t="str">
        <x:v>No aporta E_social; S y R alimentan disposición a leyes según07.</x:v>
      </x:c>
    </x:row>
    <x:row r="826" ht="42" customHeight="1">
      <x:c r="A826" s="10" t="str">
        <x:v>S1_EMISION</x:v>
      </x:c>
      <x:c r="B826" s="10" t="n">
        <x:v>3</x:v>
      </x:c>
      <x:c r="C826" s="10" t="str">
        <x:v>gobernadores</x:v>
      </x:c>
      <x:c r="D826" s="10" t="n">
        <x:f>$F$808</x:f>
        <x:v>50.13241379310345</x:v>
      </x:c>
      <x:c r="E826" s="10" t="n">
        <x:f>(ABS('03_Sensibilidades'!$C$67)*IF('03_Sensibilidades'!$C$67&lt;0,100-$K$103,$K$103)+ABS('03_Sensibilidades'!$C$68)*IF('03_Sensibilidades'!$C$68&lt;0,100-$K$105,$K$105)+ABS('03_Sensibilidades'!$C$69)*IF('03_Sensibilidades'!$C$69&lt;0,100-$K$104,$K$104)+ABS('03_Sensibilidades'!$C$70)*IF('03_Sensibilidades'!$C$70&lt;0,100-$K$101,$K$101))/(ABS('03_Sensibilidades'!$C$67)+ABS('03_Sensibilidades'!$C$68)+ABS('03_Sensibilidades'!$C$69)+ABS('03_Sensibilidades'!$C$70))</x:f>
        <x:v>50.186206896551724</x:v>
      </x:c>
      <x:c r="F826" s="10" t="n">
        <x:f>(1-'00_Arquitectura'!$B$95)*D826+'00_Arquitectura'!$B$95*E826</x:f>
        <x:v>50.15124137931035</x:v>
      </x:c>
      <x:c r="G826" s="10" t="n">
        <x:f>'02_Actores'!$I$23</x:f>
        <x:v>45</x:v>
      </x:c>
      <x:c r="H826" s="10" t="n">
        <x:f>IF(OR(AND(F826&lt;'00_Arquitectura'!$B$118,G826&lt;'00_Arquitectura'!$B$119),F826&lt;'00_Arquitectura'!$B$120),1,0)</x:f>
        <x:v>0</x:v>
      </x:c>
      <x:c r="I826" s="10" t="n">
        <x:f>IF($I$808=1,IF(OR(AND(F826&lt;'00_Arquitectura'!$B$121,G826&lt;'00_Arquitectura'!$B$122),F826&lt;'00_Arquitectura'!$B$123),1,0),IF(AND(H826=1,$H$808=1),1,0))</x:f>
        <x:v>0</x:v>
      </x:c>
      <x:c r="J826" s="10" t="n">
        <x:f>0</x:f>
        <x:v>0</x:v>
      </x:c>
      <x:c r="K826" s="10" t="n">
        <x:f>$K$809</x:f>
        <x:v>48.88811957682172</x:v>
      </x:c>
      <x:c r="L826" s="10" t="str">
        <x:v>Conflicto activo captura menor eficacia en políticas ejecutadas en t+1. Magnitud0 en J: no es un offset directo de indicador.</x:v>
      </x:c>
    </x:row>
    <x:row r="827" ht="34" customHeight="1">
      <x:c r="A827" s="5" t="str">
        <x:v>S1_EMISION</x:v>
      </x:c>
      <x:c r="B827" s="5" t="n">
        <x:v>4</x:v>
      </x:c>
      <x:c r="C827" s="5" t="str">
        <x:v>industria</x:v>
      </x:c>
      <x:c r="D827" s="5" t="n">
        <x:f>$F$809</x:f>
        <x:v>46.89142222222222</x:v>
      </x:c>
      <x:c r="E827" s="5" t="n">
        <x:f>(ABS('03_Sensibilidades'!$C$6)*IF('03_Sensibilidades'!$C$6&lt;0,100-$K$114,$K$114)+ABS('03_Sensibilidades'!$C$7)*IF('03_Sensibilidades'!$C$7&lt;0,100-$K$112,$K$112)+ABS('03_Sensibilidades'!$C$8)*IF('03_Sensibilidades'!$C$8&lt;0,100-$K$117,$K$117)+ABS('03_Sensibilidades'!$C$9)*IF('03_Sensibilidades'!$C$9&lt;0,100-$K$116,$K$116))/(ABS('03_Sensibilidades'!$C$6)+ABS('03_Sensibilidades'!$C$7)+ABS('03_Sensibilidades'!$C$8)+ABS('03_Sensibilidades'!$C$9))</x:f>
        <x:v>46.97020444444444</x:v>
      </x:c>
      <x:c r="F827" s="5" t="n">
        <x:f>(1-'00_Arquitectura'!$B$95)*D827+'00_Arquitectura'!$B$95*E827</x:f>
        <x:v>46.91899599999999</x:v>
      </x:c>
      <x:c r="G827" s="5" t="n">
        <x:f>'02_Actores'!$I$6</x:f>
        <x:v>45</x:v>
      </x:c>
      <x:c r="H827" s="5" t="n">
        <x:f>IF(OR(AND(F827&lt;'00_Arquitectura'!$B$118,G827&lt;'00_Arquitectura'!$B$119),F827&lt;'00_Arquitectura'!$B$120),1,0)</x:f>
        <x:v>0</x:v>
      </x:c>
      <x:c r="I827" s="5" t="n">
        <x:f>IF($I$809=1,IF(OR(AND(F827&lt;'00_Arquitectura'!$B$121,G827&lt;'00_Arquitectura'!$B$122),F827&lt;'00_Arquitectura'!$B$123),1,0),IF(AND(H827=1,$H$809=1),1,0))</x:f>
        <x:v>0</x:v>
      </x:c>
      <x:c r="J827" s="5" t="n">
        <x:f>-I827*2*'02_Actores'!$E$6/10</x:f>
        <x:v>0</x:v>
      </x:c>
      <x:c r="K827" s="5" t="n">
        <x:f>($F$827*'02_Actores'!$F$6+$F$828*'02_Actores'!$F$7+$F$829*'02_Actores'!$F$8+$F$830*'02_Actores'!$F$9+$F$831*'02_Actores'!$F$10+$F$832*'02_Actores'!$F$11+$F$833*'02_Actores'!$F$12+$F$834*'02_Actores'!$F$13+$F$835*'02_Actores'!$F$14+$F$836*'02_Actores'!$F$15+$F$837*'02_Actores'!$F$16+$F$838*'02_Actores'!$F$17+$F$839*'02_Actores'!$F$18+$F$840*'02_Actores'!$F$19)/('02_Actores'!$F$6+'02_Actores'!$F$7+'02_Actores'!$F$8+'02_Actores'!$F$9+'02_Actores'!$F$10+'02_Actores'!$F$11+'02_Actores'!$F$12+'02_Actores'!$F$13+'02_Actores'!$F$14+'02_Actores'!$F$15+'02_Actores'!$F$16+'02_Actores'!$F$17+'02_Actores'!$F$18+'02_Actores'!$F$19)</x:f>
        <x:v>48.81330374150515</x:v>
      </x:c>
      <x:c r="L827" s="5" t="str">
        <x:v>J programa offset para t+1; efecto sustituible y acotado, sin voto adicional.</x:v>
      </x:c>
    </x:row>
    <x:row r="828" ht="34" customHeight="1">
      <x:c r="A828" s="10" t="str">
        <x:v>S1_EMISION</x:v>
      </x:c>
      <x:c r="B828" s="10" t="n">
        <x:v>4</x:v>
      </x:c>
      <x:c r="C828" s="10" t="str">
        <x:v>agro</x:v>
      </x:c>
      <x:c r="D828" s="10" t="n">
        <x:f>$F$810</x:f>
        <x:v>45.880857142857145</x:v>
      </x:c>
      <x:c r="E828" s="10" t="n">
        <x:f>(ABS('03_Sensibilidades'!$C$10)*IF('03_Sensibilidades'!$C$10&lt;0,100-$K$116,$K$116)+ABS('03_Sensibilidades'!$C$11)*IF('03_Sensibilidades'!$C$11&lt;0,100-$K$117,$K$117)+ABS('03_Sensibilidades'!$C$12)*IF('03_Sensibilidades'!$C$12&lt;0,100-$K$124,$K$124)+ABS('03_Sensibilidades'!$C$13)*IF('03_Sensibilidades'!$C$13&lt;0,100-$K$114,$K$114))/(ABS('03_Sensibilidades'!$C$10)+ABS('03_Sensibilidades'!$C$11)+ABS('03_Sensibilidades'!$C$12)+ABS('03_Sensibilidades'!$C$13))</x:f>
        <x:v>45.833000000000006</x:v>
      </x:c>
      <x:c r="F828" s="10" t="n">
        <x:f>(1-'00_Arquitectura'!$B$95)*D828+'00_Arquitectura'!$B$95*E828</x:f>
        <x:v>45.86410714285715</x:v>
      </x:c>
      <x:c r="G828" s="10" t="n">
        <x:f>'02_Actores'!$I$7</x:f>
        <x:v>45</x:v>
      </x:c>
      <x:c r="H828" s="10" t="n">
        <x:f>IF(OR(AND(F828&lt;'00_Arquitectura'!$B$118,G828&lt;'00_Arquitectura'!$B$119),F828&lt;'00_Arquitectura'!$B$120),1,0)</x:f>
        <x:v>0</x:v>
      </x:c>
      <x:c r="I828" s="10" t="n">
        <x:f>IF($I$810=1,IF(OR(AND(F828&lt;'00_Arquitectura'!$B$121,G828&lt;'00_Arquitectura'!$B$122),F828&lt;'00_Arquitectura'!$B$123),1,0),IF(AND(H828=1,$H$810=1),1,0))</x:f>
        <x:v>0</x:v>
      </x:c>
      <x:c r="J828" s="10" t="n">
        <x:f>-I828*2*'02_Actores'!$E$7/10</x:f>
        <x:v>0</x:v>
      </x:c>
      <x:c r="K828" s="10" t="n">
        <x:f>$K$827</x:f>
        <x:v>48.81330374150515</x:v>
      </x:c>
      <x:c r="L828" s="10" t="str">
        <x:v>J programa offset para t+1; efecto sustituible y acotado, sin voto adicional.</x:v>
      </x:c>
    </x:row>
    <x:row r="829" ht="34" customHeight="1">
      <x:c r="A829" s="5" t="str">
        <x:v>S1_EMISION</x:v>
      </x:c>
      <x:c r="B829" s="5" t="n">
        <x:v>4</x:v>
      </x:c>
      <x:c r="C829" s="5" t="str">
        <x:v>financiero</x:v>
      </x:c>
      <x:c r="D829" s="5" t="n">
        <x:f>$F$811</x:f>
        <x:v>54.81722758620689</x:v>
      </x:c>
      <x:c r="E829" s="5" t="n">
        <x:f>(ABS('03_Sensibilidades'!$C$14)*IF('03_Sensibilidades'!$C$14&lt;0,100-$K$115,$K$115)+ABS('03_Sensibilidades'!$C$15)*IF('03_Sensibilidades'!$C$15&lt;0,100-$K$111,$K$111)+ABS('03_Sensibilidades'!$C$16)*IF('03_Sensibilidades'!$C$16&lt;0,100-$K$114,$K$114)+ABS('03_Sensibilidades'!$C$17)*IF('03_Sensibilidades'!$C$17&lt;0,100-$K$123,$K$123))/(ABS('03_Sensibilidades'!$C$14)+ABS('03_Sensibilidades'!$C$15)+ABS('03_Sensibilidades'!$C$16)+ABS('03_Sensibilidades'!$C$17))</x:f>
        <x:v>53.75771034482758</x:v>
      </x:c>
      <x:c r="F829" s="5" t="n">
        <x:f>(1-'00_Arquitectura'!$B$95)*D829+'00_Arquitectura'!$B$95*E829</x:f>
        <x:v>54.446396551724135</x:v>
      </x:c>
      <x:c r="G829" s="5" t="n">
        <x:f>'02_Actores'!$I$8</x:f>
        <x:v>45</x:v>
      </x:c>
      <x:c r="H829" s="5" t="n">
        <x:f>IF(OR(AND(F829&lt;'00_Arquitectura'!$B$118,G829&lt;'00_Arquitectura'!$B$119),F829&lt;'00_Arquitectura'!$B$120),1,0)</x:f>
        <x:v>0</x:v>
      </x:c>
      <x:c r="I829" s="5" t="n">
        <x:f>IF($I$811=1,IF(OR(AND(F829&lt;'00_Arquitectura'!$B$121,G829&lt;'00_Arquitectura'!$B$122),F829&lt;'00_Arquitectura'!$B$123),1,0),IF(AND(H829=1,$H$811=1),1,0))</x:f>
        <x:v>0</x:v>
      </x:c>
      <x:c r="J829" s="5" t="n">
        <x:f>-I829*2*'02_Actores'!$E$8/10</x:f>
        <x:v>0</x:v>
      </x:c>
      <x:c r="K829" s="5" t="n">
        <x:f>$K$827</x:f>
        <x:v>48.81330374150515</x:v>
      </x:c>
      <x:c r="L829" s="5" t="str">
        <x:v>J programa offset para t+1; efecto sustituible y acotado, sin voto adicional.</x:v>
      </x:c>
    </x:row>
    <x:row r="830" ht="34" customHeight="1">
      <x:c r="A830" s="10" t="str">
        <x:v>S1_EMISION</x:v>
      </x:c>
      <x:c r="B830" s="10" t="n">
        <x:v>4</x:v>
      </x:c>
      <x:c r="C830" s="10" t="str">
        <x:v>sindicatos</x:v>
      </x:c>
      <x:c r="D830" s="10" t="n">
        <x:f>$F$812</x:f>
        <x:v>48.39876724137931</x:v>
      </x:c>
      <x:c r="E830" s="10" t="n">
        <x:f>(ABS('03_Sensibilidades'!$C$18)*IF('03_Sensibilidades'!$C$18&lt;0,100-$K$113,$K$113)+ABS('03_Sensibilidades'!$C$19)*IF('03_Sensibilidades'!$C$19&lt;0,100-$K$112,$K$112)+ABS('03_Sensibilidades'!$C$20)*IF('03_Sensibilidades'!$C$20&lt;0,100-$K$120,$K$120)+ABS('03_Sensibilidades'!$C$21)*IF('03_Sensibilidades'!$C$21&lt;0,100-$K$123,$K$123))/(ABS('03_Sensibilidades'!$C$18)+ABS('03_Sensibilidades'!$C$19)+ABS('03_Sensibilidades'!$C$20)+ABS('03_Sensibilidades'!$C$21))</x:f>
        <x:v>48.42109517241379</x:v>
      </x:c>
      <x:c r="F830" s="10" t="n">
        <x:f>(1-'00_Arquitectura'!$B$95)*D830+'00_Arquitectura'!$B$95*E830</x:f>
        <x:v>48.40658201724138</x:v>
      </x:c>
      <x:c r="G830" s="10" t="n">
        <x:f>'02_Actores'!$I$9</x:f>
        <x:v>45</x:v>
      </x:c>
      <x:c r="H830" s="10" t="n">
        <x:f>IF(OR(AND(F830&lt;'00_Arquitectura'!$B$118,G830&lt;'00_Arquitectura'!$B$119),F830&lt;'00_Arquitectura'!$B$120),1,0)</x:f>
        <x:v>0</x:v>
      </x:c>
      <x:c r="I830" s="10" t="n">
        <x:f>IF($I$812=1,IF(OR(AND(F830&lt;'00_Arquitectura'!$B$121,G830&lt;'00_Arquitectura'!$B$122),F830&lt;'00_Arquitectura'!$B$123),1,0),IF(AND(H830=1,$H$812=1),1,0))</x:f>
        <x:v>0</x:v>
      </x:c>
      <x:c r="J830" s="10" t="n">
        <x:f>-I830*2*'02_Actores'!$E$9/10</x:f>
        <x:v>0</x:v>
      </x:c>
      <x:c r="K830" s="10" t="n">
        <x:f>$K$827</x:f>
        <x:v>48.81330374150515</x:v>
      </x:c>
      <x:c r="L830" s="10" t="str">
        <x:v>J programa offset para t+1; efecto sustituible y acotado, sin voto adicional.</x:v>
      </x:c>
    </x:row>
    <x:row r="831" ht="34" customHeight="1">
      <x:c r="A831" s="5" t="str">
        <x:v>S1_EMISION</x:v>
      </x:c>
      <x:c r="B831" s="5" t="n">
        <x:v>4</x:v>
      </x:c>
      <x:c r="C831" s="5" t="str">
        <x:v>pymes</x:v>
      </x:c>
      <x:c r="D831" s="5" t="n">
        <x:f>$F$813</x:f>
        <x:v>49.41111206896552</x:v>
      </x:c>
      <x:c r="E831" s="5" t="n">
        <x:f>(ABS('03_Sensibilidades'!$C$22)*IF('03_Sensibilidades'!$C$22&lt;0,100-$K$114,$K$114)+ABS('03_Sensibilidades'!$C$23)*IF('03_Sensibilidades'!$C$23&lt;0,100-$K$112,$K$112)+ABS('03_Sensibilidades'!$C$24)*IF('03_Sensibilidades'!$C$24&lt;0,100-$K$117,$K$117)+ABS('03_Sensibilidades'!$C$25)*IF('03_Sensibilidades'!$C$25&lt;0,100-$K$111,$K$111))/(ABS('03_Sensibilidades'!$C$22)+ABS('03_Sensibilidades'!$C$23)+ABS('03_Sensibilidades'!$C$24)+ABS('03_Sensibilidades'!$C$25))</x:f>
        <x:v>48.82619862068965</x:v>
      </x:c>
      <x:c r="F831" s="5" t="n">
        <x:f>(1-'00_Arquitectura'!$B$95)*D831+'00_Arquitectura'!$B$95*E831</x:f>
        <x:v>49.20639236206897</x:v>
      </x:c>
      <x:c r="G831" s="5" t="n">
        <x:f>'02_Actores'!$I$10</x:f>
        <x:v>45</x:v>
      </x:c>
      <x:c r="H831" s="5" t="n">
        <x:f>IF(OR(AND(F831&lt;'00_Arquitectura'!$B$118,G831&lt;'00_Arquitectura'!$B$119),F831&lt;'00_Arquitectura'!$B$120),1,0)</x:f>
        <x:v>0</x:v>
      </x:c>
      <x:c r="I831" s="5" t="n">
        <x:f>IF($I$813=1,IF(OR(AND(F831&lt;'00_Arquitectura'!$B$121,G831&lt;'00_Arquitectura'!$B$122),F831&lt;'00_Arquitectura'!$B$123),1,0),IF(AND(H831=1,$H$813=1),1,0))</x:f>
        <x:v>0</x:v>
      </x:c>
      <x:c r="J831" s="5" t="n">
        <x:f>-I831*2*'02_Actores'!$E$10/10</x:f>
        <x:v>0</x:v>
      </x:c>
      <x:c r="K831" s="5" t="n">
        <x:f>$K$827</x:f>
        <x:v>48.81330374150515</x:v>
      </x:c>
      <x:c r="L831" s="5" t="str">
        <x:v>J programa offset para t+1; efecto sustituible y acotado, sin voto adicional.</x:v>
      </x:c>
    </x:row>
    <x:row r="832" ht="34" customHeight="1">
      <x:c r="A832" s="10" t="str">
        <x:v>S1_EMISION</x:v>
      </x:c>
      <x:c r="B832" s="10" t="n">
        <x:v>4</x:v>
      </x:c>
      <x:c r="C832" s="10" t="str">
        <x:v>clase_media</x:v>
      </x:c>
      <x:c r="D832" s="10" t="n">
        <x:f>$F$814</x:f>
        <x:v>48.219907407407405</x:v>
      </x:c>
      <x:c r="E832" s="10" t="n">
        <x:f>(ABS('03_Sensibilidades'!$C$26)*IF('03_Sensibilidades'!$C$26&lt;0,100-$K$113,$K$113)+ABS('03_Sensibilidades'!$C$27)*IF('03_Sensibilidades'!$C$27&lt;0,100-$K$121,$K$121)+ABS('03_Sensibilidades'!$C$28)*IF('03_Sensibilidades'!$C$28&lt;0,100-$K$118,$K$118)+ABS('03_Sensibilidades'!$C$29)*IF('03_Sensibilidades'!$C$29&lt;0,100-$K$111,$K$111))/(ABS('03_Sensibilidades'!$C$26)+ABS('03_Sensibilidades'!$C$27)+ABS('03_Sensibilidades'!$C$28)+ABS('03_Sensibilidades'!$C$29))</x:f>
        <x:v>47.50037037037037</x:v>
      </x:c>
      <x:c r="F832" s="10" t="n">
        <x:f>(1-'00_Arquitectura'!$B$95)*D832+'00_Arquitectura'!$B$95*E832</x:f>
        <x:v>47.968069444444446</x:v>
      </x:c>
      <x:c r="G832" s="10" t="n">
        <x:f>'02_Actores'!$I$11</x:f>
        <x:v>45</x:v>
      </x:c>
      <x:c r="H832" s="10" t="n">
        <x:f>IF(OR(AND(F832&lt;'00_Arquitectura'!$B$118,G832&lt;'00_Arquitectura'!$B$119),F832&lt;'00_Arquitectura'!$B$120),1,0)</x:f>
        <x:v>0</x:v>
      </x:c>
      <x:c r="I832" s="10" t="n">
        <x:f>IF($I$814=1,IF(OR(AND(F832&lt;'00_Arquitectura'!$B$121,G832&lt;'00_Arquitectura'!$B$122),F832&lt;'00_Arquitectura'!$B$123),1,0),IF(AND(H832=1,$H$814=1),1,0))</x:f>
        <x:v>0</x:v>
      </x:c>
      <x:c r="J832" s="10" t="n">
        <x:f>0</x:f>
        <x:v>0</x:v>
      </x:c>
      <x:c r="K832" s="10" t="n">
        <x:f>$K$827</x:f>
        <x:v>48.81330374150515</x:v>
      </x:c>
      <x:c r="L832" s="10" t="str">
        <x:v>Canal directo sólo al índice social; sin bono de popularidad.</x:v>
      </x:c>
    </x:row>
    <x:row r="833" ht="34" customHeight="1">
      <x:c r="A833" s="5" t="str">
        <x:v>S1_EMISION</x:v>
      </x:c>
      <x:c r="B833" s="5" t="n">
        <x:v>4</x:v>
      </x:c>
      <x:c r="C833" s="5" t="str">
        <x:v>cooperativas</x:v>
      </x:c>
      <x:c r="D833" s="5" t="n">
        <x:f>$F$815</x:f>
        <x:v>48.13647592592592</x:v>
      </x:c>
      <x:c r="E833" s="5" t="n">
        <x:f>(ABS('03_Sensibilidades'!$C$30)*IF('03_Sensibilidades'!$C$30&lt;0,100-$K$114,$K$114)+ABS('03_Sensibilidades'!$C$31)*IF('03_Sensibilidades'!$C$31&lt;0,100-$K$112,$K$112)+ABS('03_Sensibilidades'!$C$32)*IF('03_Sensibilidades'!$C$32&lt;0,100-$K$120,$K$120)+ABS('03_Sensibilidades'!$C$33)*IF('03_Sensibilidades'!$C$33&lt;0,100-$K$123,$K$123))/(ABS('03_Sensibilidades'!$C$30)+ABS('03_Sensibilidades'!$C$31)+ABS('03_Sensibilidades'!$C$32)+ABS('03_Sensibilidades'!$C$33))</x:f>
        <x:v>48.20541037037037</x:v>
      </x:c>
      <x:c r="F833" s="5" t="n">
        <x:f>(1-'00_Arquitectura'!$B$95)*D833+'00_Arquitectura'!$B$95*E833</x:f>
        <x:v>48.160602981481475</x:v>
      </x:c>
      <x:c r="G833" s="5" t="n">
        <x:f>'02_Actores'!$I$12</x:f>
        <x:v>45</x:v>
      </x:c>
      <x:c r="H833" s="5" t="n">
        <x:f>IF(OR(AND(F833&lt;'00_Arquitectura'!$B$118,G833&lt;'00_Arquitectura'!$B$119),F833&lt;'00_Arquitectura'!$B$120),1,0)</x:f>
        <x:v>0</x:v>
      </x:c>
      <x:c r="I833" s="5" t="n">
        <x:f>IF($I$815=1,IF(OR(AND(F833&lt;'00_Arquitectura'!$B$121,G833&lt;'00_Arquitectura'!$B$122),F833&lt;'00_Arquitectura'!$B$123),1,0),IF(AND(H833=1,$H$815=1),1,0))</x:f>
        <x:v>0</x:v>
      </x:c>
      <x:c r="J833" s="5" t="n">
        <x:f>-I833*1.5*'02_Actores'!$E$12/10</x:f>
        <x:v>0</x:v>
      </x:c>
      <x:c r="K833" s="5" t="n">
        <x:f>$K$827</x:f>
        <x:v>48.81330374150515</x:v>
      </x:c>
      <x:c r="L833" s="5" t="str">
        <x:v>J programa offset para t+1; efecto sustituible y acotado, sin voto adicional.</x:v>
      </x:c>
    </x:row>
    <x:row r="834" ht="42" customHeight="1">
      <x:c r="A834" s="10" t="str">
        <x:v>S1_EMISION</x:v>
      </x:c>
      <x:c r="B834" s="10" t="n">
        <x:v>4</x:v>
      </x:c>
      <x:c r="C834" s="10" t="str">
        <x:v>estudiantes</x:v>
      </x:c>
      <x:c r="D834" s="10" t="n">
        <x:f>$F$816</x:f>
        <x:v>49.21015</x:v>
      </x:c>
      <x:c r="E834" s="10" t="n">
        <x:f>(ABS('03_Sensibilidades'!$C$34)*IF('03_Sensibilidades'!$C$34&lt;0,100-$K$118,$K$118)+ABS('03_Sensibilidades'!$C$35)*IF('03_Sensibilidades'!$C$35&lt;0,100-$K$113,$K$113)+ABS('03_Sensibilidades'!$C$36)*IF('03_Sensibilidades'!$C$36&lt;0,100-$K$123,$K$123)+ABS('03_Sensibilidades'!$C$37)*IF('03_Sensibilidades'!$C$37&lt;0,100-$K$122,$K$122))/(ABS('03_Sensibilidades'!$C$34)+ABS('03_Sensibilidades'!$C$35)+ABS('03_Sensibilidades'!$C$36)+ABS('03_Sensibilidades'!$C$37))</x:f>
        <x:v>49.126999999999995</x:v>
      </x:c>
      <x:c r="F834" s="10" t="n">
        <x:f>(1-'00_Arquitectura'!$B$95)*D834+'00_Arquitectura'!$B$95*E834</x:f>
        <x:v>49.1810475</x:v>
      </x:c>
      <x:c r="G834" s="10" t="n">
        <x:f>'02_Actores'!$I$13</x:f>
        <x:v>45</x:v>
      </x:c>
      <x:c r="H834" s="10" t="n">
        <x:f>IF(OR(AND(F834&lt;'00_Arquitectura'!$B$118,G834&lt;'00_Arquitectura'!$B$119),F834&lt;'00_Arquitectura'!$B$120),1,0)</x:f>
        <x:v>0</x:v>
      </x:c>
      <x:c r="I834" s="10" t="n">
        <x:f>IF($I$816=1,IF(OR(AND(F834&lt;'00_Arquitectura'!$B$121,G834&lt;'00_Arquitectura'!$B$122),F834&lt;'00_Arquitectura'!$B$123),1,0),IF(AND(H834=1,$H$816=1),1,0))</x:f>
        <x:v>0</x:v>
      </x:c>
      <x:c r="J834" s="10" t="n">
        <x:f>0</x:f>
        <x:v>0</x:v>
      </x:c>
      <x:c r="K834" s="10" t="n">
        <x:f>$K$827</x:f>
        <x:v>48.81330374150515</x:v>
      </x:c>
      <x:c r="L834" s="10" t="str">
        <x:v>Conflicto activo captura menor eficacia en políticas ejecutadas en t+1. Magnitud0 en J: no es un offset directo de indicador.</x:v>
      </x:c>
    </x:row>
    <x:row r="835" ht="34" customHeight="1">
      <x:c r="A835" s="5" t="str">
        <x:v>S1_EMISION</x:v>
      </x:c>
      <x:c r="B835" s="5" t="n">
        <x:v>4</x:v>
      </x:c>
      <x:c r="C835" s="5" t="str">
        <x:v>docentes</x:v>
      </x:c>
      <x:c r="D835" s="5" t="n">
        <x:f>$F$817</x:f>
        <x:v>48.93290217391305</x:v>
      </x:c>
      <x:c r="E835" s="5" t="n">
        <x:f>(ABS('03_Sensibilidades'!$C$38)*IF('03_Sensibilidades'!$C$38&lt;0,100-$K$118,$K$118)+ABS('03_Sensibilidades'!$C$39)*IF('03_Sensibilidades'!$C$39&lt;0,100-$K$113,$K$113)+ABS('03_Sensibilidades'!$C$40)*IF('03_Sensibilidades'!$C$40&lt;0,100-$K$123,$K$123))/(ABS('03_Sensibilidades'!$C$38)+ABS('03_Sensibilidades'!$C$39)+ABS('03_Sensibilidades'!$C$40))</x:f>
        <x:v>48.77021739130434</x:v>
      </x:c>
      <x:c r="F835" s="5" t="n">
        <x:f>(1-'00_Arquitectura'!$B$95)*D835+'00_Arquitectura'!$B$95*E835</x:f>
        <x:v>48.8759625</x:v>
      </x:c>
      <x:c r="G835" s="5" t="n">
        <x:f>'02_Actores'!$I$14</x:f>
        <x:v>45</x:v>
      </x:c>
      <x:c r="H835" s="5" t="n">
        <x:f>IF(OR(AND(F835&lt;'00_Arquitectura'!$B$118,G835&lt;'00_Arquitectura'!$B$119),F835&lt;'00_Arquitectura'!$B$120),1,0)</x:f>
        <x:v>0</x:v>
      </x:c>
      <x:c r="I835" s="5" t="n">
        <x:f>IF($I$817=1,IF(OR(AND(F835&lt;'00_Arquitectura'!$B$121,G835&lt;'00_Arquitectura'!$B$122),F835&lt;'00_Arquitectura'!$B$123),1,0),IF(AND(H835=1,$H$817=1),1,0))</x:f>
        <x:v>0</x:v>
      </x:c>
      <x:c r="J835" s="5" t="n">
        <x:f>-I835*1.5*'02_Actores'!$E$14/10</x:f>
        <x:v>0</x:v>
      </x:c>
      <x:c r="K835" s="5" t="n">
        <x:f>$K$827</x:f>
        <x:v>48.81330374150515</x:v>
      </x:c>
      <x:c r="L835" s="5" t="str">
        <x:v>J programa offset para t+1; efecto sustituible y acotado, sin voto adicional.</x:v>
      </x:c>
    </x:row>
    <x:row r="836" ht="34" customHeight="1">
      <x:c r="A836" s="10" t="str">
        <x:v>S1_EMISION</x:v>
      </x:c>
      <x:c r="B836" s="10" t="n">
        <x:v>4</x:v>
      </x:c>
      <x:c r="C836" s="10" t="str">
        <x:v>cientificos</x:v>
      </x:c>
      <x:c r="D836" s="10" t="n">
        <x:f>$F$818</x:f>
        <x:v>46.59090909090909</x:v>
      </x:c>
      <x:c r="E836" s="10" t="n">
        <x:f>(ABS('03_Sensibilidades'!$C$41)*IF('03_Sensibilidades'!$C$41&lt;0,100-$K$122,$K$122)+ABS('03_Sensibilidades'!$C$42)*IF('03_Sensibilidades'!$C$42&lt;0,100-$K$118,$K$118)+ABS('03_Sensibilidades'!$C$43)*IF('03_Sensibilidades'!$C$43&lt;0,100-$K$123,$K$123))/(ABS('03_Sensibilidades'!$C$41)+ABS('03_Sensibilidades'!$C$42)+ABS('03_Sensibilidades'!$C$43))</x:f>
        <x:v>46.59090909090909</x:v>
      </x:c>
      <x:c r="F836" s="10" t="n">
        <x:f>(1-'00_Arquitectura'!$B$95)*D836+'00_Arquitectura'!$B$95*E836</x:f>
        <x:v>46.59090909090909</x:v>
      </x:c>
      <x:c r="G836" s="10" t="n">
        <x:f>'02_Actores'!$I$15</x:f>
        <x:v>45</x:v>
      </x:c>
      <x:c r="H836" s="10" t="n">
        <x:f>IF(OR(AND(F836&lt;'00_Arquitectura'!$B$118,G836&lt;'00_Arquitectura'!$B$119),F836&lt;'00_Arquitectura'!$B$120),1,0)</x:f>
        <x:v>0</x:v>
      </x:c>
      <x:c r="I836" s="10" t="n">
        <x:f>IF($I$818=1,IF(OR(AND(F836&lt;'00_Arquitectura'!$B$121,G836&lt;'00_Arquitectura'!$B$122),F836&lt;'00_Arquitectura'!$B$123),1,0),IF(AND(H836=1,$H$818=1),1,0))</x:f>
        <x:v>0</x:v>
      </x:c>
      <x:c r="J836" s="10" t="n">
        <x:f>-I836*1.5*'02_Actores'!$E$15/10</x:f>
        <x:v>0</x:v>
      </x:c>
      <x:c r="K836" s="10" t="n">
        <x:f>$K$827</x:f>
        <x:v>48.81330374150515</x:v>
      </x:c>
      <x:c r="L836" s="10" t="str">
        <x:v>J programa offset para t+1; efecto sustituible y acotado, sin voto adicional.</x:v>
      </x:c>
    </x:row>
    <x:row r="837" ht="34" customHeight="1">
      <x:c r="A837" s="5" t="str">
        <x:v>S1_EMISION</x:v>
      </x:c>
      <x:c r="B837" s="5" t="n">
        <x:v>4</x:v>
      </x:c>
      <x:c r="C837" s="5" t="str">
        <x:v>organizaciones</x:v>
      </x:c>
      <x:c r="D837" s="5" t="n">
        <x:f>$F$819</x:f>
        <x:v>49.41801785714286</x:v>
      </x:c>
      <x:c r="E837" s="5" t="n">
        <x:f>(ABS('03_Sensibilidades'!$C$44)*IF('03_Sensibilidades'!$C$44&lt;0,100-$K$120,$K$120)+ABS('03_Sensibilidades'!$C$45)*IF('03_Sensibilidades'!$C$45&lt;0,100-$K$119,$K$119)+ABS('03_Sensibilidades'!$C$46)*IF('03_Sensibilidades'!$C$46&lt;0,100-$K$112,$K$112)+ABS('03_Sensibilidades'!$C$47)*IF('03_Sensibilidades'!$C$47&lt;0,100-$K$123,$K$123))/(ABS('03_Sensibilidades'!$C$44)+ABS('03_Sensibilidades'!$C$45)+ABS('03_Sensibilidades'!$C$46)+ABS('03_Sensibilidades'!$C$47))</x:f>
        <x:v>49.532422857142855</x:v>
      </x:c>
      <x:c r="F837" s="5" t="n">
        <x:f>(1-'00_Arquitectura'!$B$95)*D837+'00_Arquitectura'!$B$95*E837</x:f>
        <x:v>49.45805960714286</x:v>
      </x:c>
      <x:c r="G837" s="5" t="n">
        <x:f>'02_Actores'!$I$16</x:f>
        <x:v>45</x:v>
      </x:c>
      <x:c r="H837" s="5" t="n">
        <x:f>IF(OR(AND(F837&lt;'00_Arquitectura'!$B$118,G837&lt;'00_Arquitectura'!$B$119),F837&lt;'00_Arquitectura'!$B$120),1,0)</x:f>
        <x:v>0</x:v>
      </x:c>
      <x:c r="I837" s="5" t="n">
        <x:f>IF($I$819=1,IF(OR(AND(F837&lt;'00_Arquitectura'!$B$121,G837&lt;'00_Arquitectura'!$B$122),F837&lt;'00_Arquitectura'!$B$123),1,0),IF(AND(H837=1,$H$819=1),1,0))</x:f>
        <x:v>0</x:v>
      </x:c>
      <x:c r="J837" s="5" t="n">
        <x:f>-I837*1.5*'02_Actores'!$E$16/10</x:f>
        <x:v>0</x:v>
      </x:c>
      <x:c r="K837" s="5" t="n">
        <x:f>$K$827</x:f>
        <x:v>48.81330374150515</x:v>
      </x:c>
      <x:c r="L837" s="5" t="str">
        <x:v>J programa offset para t+1; efecto sustituible y acotado, sin voto adicional.</x:v>
      </x:c>
    </x:row>
    <x:row r="838" ht="42" customHeight="1">
      <x:c r="A838" s="10" t="str">
        <x:v>S1_EMISION</x:v>
      </x:c>
      <x:c r="B838" s="10" t="n">
        <x:v>4</x:v>
      </x:c>
      <x:c r="C838" s="10" t="str">
        <x:v>ddhh</x:v>
      </x:c>
      <x:c r="D838" s="10" t="n">
        <x:f>$F$820</x:f>
        <x:v>50.88235294117648</x:v>
      </x:c>
      <x:c r="E838" s="10" t="n">
        <x:f>(ABS('03_Sensibilidades'!$C$48)*IF('03_Sensibilidades'!$C$48&lt;0,100-$K$123,$K$123)+ABS('03_Sensibilidades'!$C$49)*IF('03_Sensibilidades'!$C$49&lt;0,100-$K$121,$K$121)+ABS('03_Sensibilidades'!$C$50)*IF('03_Sensibilidades'!$C$50&lt;0,100-$K$120,$K$120))/(ABS('03_Sensibilidades'!$C$48)+ABS('03_Sensibilidades'!$C$49)+ABS('03_Sensibilidades'!$C$50))</x:f>
        <x:v>50.88235294117647</x:v>
      </x:c>
      <x:c r="F838" s="10" t="n">
        <x:f>(1-'00_Arquitectura'!$B$95)*D838+'00_Arquitectura'!$B$95*E838</x:f>
        <x:v>50.88235294117648</x:v>
      </x:c>
      <x:c r="G838" s="10" t="n">
        <x:f>'02_Actores'!$I$17</x:f>
        <x:v>45</x:v>
      </x:c>
      <x:c r="H838" s="10" t="n">
        <x:f>IF(OR(AND(F838&lt;'00_Arquitectura'!$B$118,G838&lt;'00_Arquitectura'!$B$119),F838&lt;'00_Arquitectura'!$B$120),1,0)</x:f>
        <x:v>0</x:v>
      </x:c>
      <x:c r="I838" s="10" t="n">
        <x:f>IF($I$820=1,IF(OR(AND(F838&lt;'00_Arquitectura'!$B$121,G838&lt;'00_Arquitectura'!$B$122),F838&lt;'00_Arquitectura'!$B$123),1,0),IF(AND(H838=1,$H$820=1),1,0))</x:f>
        <x:v>0</x:v>
      </x:c>
      <x:c r="J838" s="10" t="n">
        <x:f>0</x:f>
        <x:v>0</x:v>
      </x:c>
      <x:c r="K838" s="10" t="n">
        <x:f>$K$827</x:f>
        <x:v>48.81330374150515</x:v>
      </x:c>
      <x:c r="L838" s="10" t="str">
        <x:v>Conflicto activo captura menor eficacia en políticas ejecutadas en t+1. Magnitud0 en J: no es un offset directo de indicador.</x:v>
      </x:c>
    </x:row>
    <x:row r="839" ht="42" customHeight="1">
      <x:c r="A839" s="5" t="str">
        <x:v>S1_EMISION</x:v>
      </x:c>
      <x:c r="B839" s="5" t="n">
        <x:v>4</x:v>
      </x:c>
      <x:c r="C839" s="5" t="str">
        <x:v>ambientalistas</x:v>
      </x:c>
      <x:c r="D839" s="5" t="n">
        <x:f>$F$821</x:f>
        <x:v>51.388888888888886</x:v>
      </x:c>
      <x:c r="E839" s="5" t="n">
        <x:f>(ABS('03_Sensibilidades'!$C$51)*IF('03_Sensibilidades'!$C$51&lt;0,100-$K$124,$K$124)+ABS('03_Sensibilidades'!$C$52)*IF('03_Sensibilidades'!$C$52&lt;0,100-$K$123,$K$123)+ABS('03_Sensibilidades'!$C$53)*IF('03_Sensibilidades'!$C$53&lt;0,100-$K$119,$K$119))/(ABS('03_Sensibilidades'!$C$51)+ABS('03_Sensibilidades'!$C$52)+ABS('03_Sensibilidades'!$C$53))</x:f>
        <x:v>51.388888888888886</x:v>
      </x:c>
      <x:c r="F839" s="5" t="n">
        <x:f>(1-'00_Arquitectura'!$B$95)*D839+'00_Arquitectura'!$B$95*E839</x:f>
        <x:v>51.388888888888886</x:v>
      </x:c>
      <x:c r="G839" s="5" t="n">
        <x:f>'02_Actores'!$I$18</x:f>
        <x:v>45</x:v>
      </x:c>
      <x:c r="H839" s="5" t="n">
        <x:f>IF(OR(AND(F839&lt;'00_Arquitectura'!$B$118,G839&lt;'00_Arquitectura'!$B$119),F839&lt;'00_Arquitectura'!$B$120),1,0)</x:f>
        <x:v>0</x:v>
      </x:c>
      <x:c r="I839" s="5" t="n">
        <x:f>IF($I$821=1,IF(OR(AND(F839&lt;'00_Arquitectura'!$B$121,G839&lt;'00_Arquitectura'!$B$122),F839&lt;'00_Arquitectura'!$B$123),1,0),IF(AND(H839=1,$H$821=1),1,0))</x:f>
        <x:v>0</x:v>
      </x:c>
      <x:c r="J839" s="5" t="n">
        <x:f>0</x:f>
        <x:v>0</x:v>
      </x:c>
      <x:c r="K839" s="5" t="n">
        <x:f>$K$827</x:f>
        <x:v>48.81330374150515</x:v>
      </x:c>
      <x:c r="L839" s="5" t="str">
        <x:v>Conflicto activo captura menor eficacia en políticas ejecutadas en t+1. Magnitud0 en J: no es un offset directo de indicador.</x:v>
      </x:c>
    </x:row>
    <x:row r="840" ht="34" customHeight="1">
      <x:c r="A840" s="10" t="str">
        <x:v>S1_EMISION</x:v>
      </x:c>
      <x:c r="B840" s="10" t="n">
        <x:v>4</x:v>
      </x:c>
      <x:c r="C840" s="10" t="str">
        <x:v>cultura</x:v>
      </x:c>
      <x:c r="D840" s="10" t="n">
        <x:f>$F$822</x:f>
        <x:v>50.802828947368425</x:v>
      </x:c>
      <x:c r="E840" s="10" t="n">
        <x:f>(ABS('03_Sensibilidades'!$C$54)*IF('03_Sensibilidades'!$C$54&lt;0,100-$K$123,$K$123)+ABS('03_Sensibilidades'!$C$55)*IF('03_Sensibilidades'!$C$55&lt;0,100-$K$118,$K$118)+ABS('03_Sensibilidades'!$C$56)*IF('03_Sensibilidades'!$C$56&lt;0,100-$K$113,$K$113))/(ABS('03_Sensibilidades'!$C$54)+ABS('03_Sensibilidades'!$C$55)+ABS('03_Sensibilidades'!$C$56))</x:f>
        <x:v>50.69342105263158</x:v>
      </x:c>
      <x:c r="F840" s="10" t="n">
        <x:f>(1-'00_Arquitectura'!$B$95)*D840+'00_Arquitectura'!$B$95*E840</x:f>
        <x:v>50.76453618421053</x:v>
      </x:c>
      <x:c r="G840" s="10" t="n">
        <x:f>'02_Actores'!$I$19</x:f>
        <x:v>45</x:v>
      </x:c>
      <x:c r="H840" s="10" t="n">
        <x:f>IF(OR(AND(F840&lt;'00_Arquitectura'!$B$118,G840&lt;'00_Arquitectura'!$B$119),F840&lt;'00_Arquitectura'!$B$120),1,0)</x:f>
        <x:v>0</x:v>
      </x:c>
      <x:c r="I840" s="10" t="n">
        <x:f>IF($I$822=1,IF(OR(AND(F840&lt;'00_Arquitectura'!$B$121,G840&lt;'00_Arquitectura'!$B$122),F840&lt;'00_Arquitectura'!$B$123),1,0),IF(AND(H840=1,$H$822=1),1,0))</x:f>
        <x:v>0</x:v>
      </x:c>
      <x:c r="J840" s="10" t="n">
        <x:f>0</x:f>
        <x:v>0</x:v>
      </x:c>
      <x:c r="K840" s="10" t="n">
        <x:f>$K$827</x:f>
        <x:v>48.81330374150515</x:v>
      </x:c>
      <x:c r="L840" s="10" t="str">
        <x:v>Conflicto activo encarece agenda del turno siguiente; sin castigo electoral adicional.</x:v>
      </x:c>
    </x:row>
    <x:row r="841" ht="34" customHeight="1">
      <x:c r="A841" s="5" t="str">
        <x:v>S1_EMISION</x:v>
      </x:c>
      <x:c r="B841" s="5" t="n">
        <x:v>4</x:v>
      </x:c>
      <x:c r="C841" s="5" t="str">
        <x:v>oficialismo</x:v>
      </x:c>
      <x:c r="D841" s="5" t="n">
        <x:f>$F$823</x:f>
        <x:v>52.63968</x:v>
      </x:c>
      <x:c r="E841" s="5" t="n">
        <x:f>(ABS('03_Sensibilidades'!$C$57)*IF('03_Sensibilidades'!$C$57&lt;0,100-$K$123,$K$123)+ABS('03_Sensibilidades'!$C$58)*IF('03_Sensibilidades'!$C$58&lt;0,100-$K$112,$K$112)+ABS('03_Sensibilidades'!$C$59)*IF('03_Sensibilidades'!$C$59&lt;0,100-$K$115,$K$115)+ABS('03_Sensibilidades'!$C$60)*IF('03_Sensibilidades'!$C$60&lt;0,100-$K$120,$K$120))/(ABS('03_Sensibilidades'!$C$57)+ABS('03_Sensibilidades'!$C$58)+ABS('03_Sensibilidades'!$C$59)+ABS('03_Sensibilidades'!$C$60))</x:f>
        <x:v>52.851084799999995</x:v>
      </x:c>
      <x:c r="F841" s="5" t="n">
        <x:f>(1-'00_Arquitectura'!$B$95)*D841+'00_Arquitectura'!$B$95*E841</x:f>
        <x:v>52.71367168</x:v>
      </x:c>
      <x:c r="G841" s="5" t="n">
        <x:f>'02_Actores'!$I$20</x:f>
        <x:v>60</x:v>
      </x:c>
      <x:c r="H841" s="5" t="n">
        <x:f>IF(OR(AND(F841&lt;'00_Arquitectura'!$B$118,G841&lt;'00_Arquitectura'!$B$119),F841&lt;'00_Arquitectura'!$B$120),1,0)</x:f>
        <x:v>0</x:v>
      </x:c>
      <x:c r="I841" s="5" t="n">
        <x:f>IF($I$823=1,IF(OR(AND(F841&lt;'00_Arquitectura'!$B$121,G841&lt;'00_Arquitectura'!$B$122),F841&lt;'00_Arquitectura'!$B$123),1,0),IF(AND(H841=1,$H$823=1),1,0))</x:f>
        <x:v>0</x:v>
      </x:c>
      <x:c r="J841" s="5" t="n">
        <x:f>0</x:f>
        <x:v>0</x:v>
      </x:c>
      <x:c r="K841" s="5" t="n">
        <x:f>$K$827</x:f>
        <x:v>48.81330374150515</x:v>
      </x:c>
      <x:c r="L841" s="5" t="str">
        <x:v>No aporta E_social; S y R alimentan disposición a leyes según07.</x:v>
      </x:c>
    </x:row>
    <x:row r="842" ht="34" customHeight="1">
      <x:c r="A842" s="10" t="str">
        <x:v>S1_EMISION</x:v>
      </x:c>
      <x:c r="B842" s="10" t="n">
        <x:v>4</x:v>
      </x:c>
      <x:c r="C842" s="10" t="str">
        <x:v>aliados</x:v>
      </x:c>
      <x:c r="D842" s="10" t="n">
        <x:f>$F$824</x:f>
        <x:v>53.21985714285714</x:v>
      </x:c>
      <x:c r="E842" s="10" t="n">
        <x:f>(ABS('03_Sensibilidades'!$C$61)*IF('03_Sensibilidades'!$C$61&lt;0,100-$K$123,$K$123)+ABS('03_Sensibilidades'!$C$62)*IF('03_Sensibilidades'!$C$62&lt;0,100-$K$115,$K$115)+ABS('03_Sensibilidades'!$C$63)*IF('03_Sensibilidades'!$C$63&lt;0,100-$K$117,$K$117))/(ABS('03_Sensibilidades'!$C$61)+ABS('03_Sensibilidades'!$C$62)+ABS('03_Sensibilidades'!$C$63))</x:f>
        <x:v>53.27619047619047</x:v>
      </x:c>
      <x:c r="F842" s="10" t="n">
        <x:f>(1-'00_Arquitectura'!$B$95)*D842+'00_Arquitectura'!$B$95*E842</x:f>
        <x:v>53.239573809523804</x:v>
      </x:c>
      <x:c r="G842" s="10" t="n">
        <x:f>'02_Actores'!$I$21</x:f>
        <x:v>45</x:v>
      </x:c>
      <x:c r="H842" s="10" t="n">
        <x:f>IF(OR(AND(F842&lt;'00_Arquitectura'!$B$118,G842&lt;'00_Arquitectura'!$B$119),F842&lt;'00_Arquitectura'!$B$120),1,0)</x:f>
        <x:v>0</x:v>
      </x:c>
      <x:c r="I842" s="10" t="n">
        <x:f>IF($I$824=1,IF(OR(AND(F842&lt;'00_Arquitectura'!$B$121,G842&lt;'00_Arquitectura'!$B$122),F842&lt;'00_Arquitectura'!$B$123),1,0),IF(AND(H842=1,$H$824=1),1,0))</x:f>
        <x:v>0</x:v>
      </x:c>
      <x:c r="J842" s="10" t="n">
        <x:f>0</x:f>
        <x:v>0</x:v>
      </x:c>
      <x:c r="K842" s="10" t="n">
        <x:f>$K$827</x:f>
        <x:v>48.81330374150515</x:v>
      </x:c>
      <x:c r="L842" s="10" t="str">
        <x:v>No aporta E_social; S y R alimentan disposición a leyes según07.</x:v>
      </x:c>
    </x:row>
    <x:row r="843" ht="34" customHeight="1">
      <x:c r="A843" s="5" t="str">
        <x:v>S1_EMISION</x:v>
      </x:c>
      <x:c r="B843" s="5" t="n">
        <x:v>4</x:v>
      </x:c>
      <x:c r="C843" s="5" t="str">
        <x:v>oposicion</x:v>
      </x:c>
      <x:c r="D843" s="5" t="n">
        <x:f>$F$825</x:f>
        <x:v>53.969300000000004</x:v>
      </x:c>
      <x:c r="E843" s="5" t="n">
        <x:f>(ABS('03_Sensibilidades'!$C$64)*IF('03_Sensibilidades'!$C$64&lt;0,100-$K$123,$K$123)+ABS('03_Sensibilidades'!$C$65)*IF('03_Sensibilidades'!$C$65&lt;0,100-$K$115,$K$115)+ABS('03_Sensibilidades'!$C$66)*IF('03_Sensibilidades'!$C$66&lt;0,100-$K$121,$K$121))/(ABS('03_Sensibilidades'!$C$64)+ABS('03_Sensibilidades'!$C$65)+ABS('03_Sensibilidades'!$C$66))</x:f>
        <x:v>54.02</x:v>
      </x:c>
      <x:c r="F843" s="5" t="n">
        <x:f>(1-'00_Arquitectura'!$B$95)*D843+'00_Arquitectura'!$B$95*E843</x:f>
        <x:v>53.98704500000001</x:v>
      </x:c>
      <x:c r="G843" s="5" t="n">
        <x:f>'02_Actores'!$I$22</x:f>
        <x:v>30</x:v>
      </x:c>
      <x:c r="H843" s="5" t="n">
        <x:f>IF(OR(AND(F843&lt;'00_Arquitectura'!$B$118,G843&lt;'00_Arquitectura'!$B$119),F843&lt;'00_Arquitectura'!$B$120),1,0)</x:f>
        <x:v>0</x:v>
      </x:c>
      <x:c r="I843" s="5" t="n">
        <x:f>IF($I$825=1,IF(OR(AND(F843&lt;'00_Arquitectura'!$B$121,G843&lt;'00_Arquitectura'!$B$122),F843&lt;'00_Arquitectura'!$B$123),1,0),IF(AND(H843=1,$H$825=1),1,0))</x:f>
        <x:v>0</x:v>
      </x:c>
      <x:c r="J843" s="5" t="n">
        <x:f>0</x:f>
        <x:v>0</x:v>
      </x:c>
      <x:c r="K843" s="5" t="n">
        <x:f>$K$827</x:f>
        <x:v>48.81330374150515</x:v>
      </x:c>
      <x:c r="L843" s="5" t="str">
        <x:v>No aporta E_social; S y R alimentan disposición a leyes según07.</x:v>
      </x:c>
    </x:row>
    <x:row r="844" ht="42" customHeight="1">
      <x:c r="A844" s="10" t="str">
        <x:v>S1_EMISION</x:v>
      </x:c>
      <x:c r="B844" s="10" t="n">
        <x:v>4</x:v>
      </x:c>
      <x:c r="C844" s="10" t="str">
        <x:v>gobernadores</x:v>
      </x:c>
      <x:c r="D844" s="10" t="n">
        <x:f>$F$826</x:f>
        <x:v>50.15124137931035</x:v>
      </x:c>
      <x:c r="E844" s="10" t="n">
        <x:f>(ABS('03_Sensibilidades'!$C$67)*IF('03_Sensibilidades'!$C$67&lt;0,100-$K$117,$K$117)+ABS('03_Sensibilidades'!$C$68)*IF('03_Sensibilidades'!$C$68&lt;0,100-$K$119,$K$119)+ABS('03_Sensibilidades'!$C$69)*IF('03_Sensibilidades'!$C$69&lt;0,100-$K$118,$K$118)+ABS('03_Sensibilidades'!$C$70)*IF('03_Sensibilidades'!$C$70&lt;0,100-$K$115,$K$115))/(ABS('03_Sensibilidades'!$C$67)+ABS('03_Sensibilidades'!$C$68)+ABS('03_Sensibilidades'!$C$69)+ABS('03_Sensibilidades'!$C$70))</x:f>
        <x:v>50.186206896551724</x:v>
      </x:c>
      <x:c r="F844" s="10" t="n">
        <x:f>(1-'00_Arquitectura'!$B$95)*D844+'00_Arquitectura'!$B$95*E844</x:f>
        <x:v>50.163479310344826</x:v>
      </x:c>
      <x:c r="G844" s="10" t="n">
        <x:f>'02_Actores'!$I$23</x:f>
        <x:v>45</x:v>
      </x:c>
      <x:c r="H844" s="10" t="n">
        <x:f>IF(OR(AND(F844&lt;'00_Arquitectura'!$B$118,G844&lt;'00_Arquitectura'!$B$119),F844&lt;'00_Arquitectura'!$B$120),1,0)</x:f>
        <x:v>0</x:v>
      </x:c>
      <x:c r="I844" s="10" t="n">
        <x:f>IF($I$826=1,IF(OR(AND(F844&lt;'00_Arquitectura'!$B$121,G844&lt;'00_Arquitectura'!$B$122),F844&lt;'00_Arquitectura'!$B$123),1,0),IF(AND(H844=1,$H$826=1),1,0))</x:f>
        <x:v>0</x:v>
      </x:c>
      <x:c r="J844" s="10" t="n">
        <x:f>0</x:f>
        <x:v>0</x:v>
      </x:c>
      <x:c r="K844" s="10" t="n">
        <x:f>$K$827</x:f>
        <x:v>48.81330374150515</x:v>
      </x:c>
      <x:c r="L844" s="10" t="str">
        <x:v>Conflicto activo captura menor eficacia en políticas ejecutadas en t+1. Magnitud0 en J: no es un offset directo de indicador.</x:v>
      </x:c>
    </x:row>
    <x:row r="845" ht="34" customHeight="1">
      <x:c r="A845" s="5" t="str">
        <x:v>S1_EMISION</x:v>
      </x:c>
      <x:c r="B845" s="5" t="n">
        <x:v>5</x:v>
      </x:c>
      <x:c r="C845" s="5" t="str">
        <x:v>industria</x:v>
      </x:c>
      <x:c r="D845" s="5" t="n">
        <x:f>$F$827</x:f>
        <x:v>46.91899599999999</x:v>
      </x:c>
      <x:c r="E845" s="5" t="n">
        <x:f>(ABS('03_Sensibilidades'!$C$6)*IF('03_Sensibilidades'!$C$6&lt;0,100-$K$128,$K$128)+ABS('03_Sensibilidades'!$C$7)*IF('03_Sensibilidades'!$C$7&lt;0,100-$K$126,$K$126)+ABS('03_Sensibilidades'!$C$8)*IF('03_Sensibilidades'!$C$8&lt;0,100-$K$131,$K$131)+ABS('03_Sensibilidades'!$C$9)*IF('03_Sensibilidades'!$C$9&lt;0,100-$K$130,$K$130))/(ABS('03_Sensibilidades'!$C$6)+ABS('03_Sensibilidades'!$C$7)+ABS('03_Sensibilidades'!$C$8)+ABS('03_Sensibilidades'!$C$9))</x:f>
        <x:v>46.81391881481481</x:v>
      </x:c>
      <x:c r="F845" s="5" t="n">
        <x:f>(1-'00_Arquitectura'!$B$95)*D845+'00_Arquitectura'!$B$95*E845</x:f>
        <x:v>46.882218985185176</x:v>
      </x:c>
      <x:c r="G845" s="5" t="n">
        <x:f>'02_Actores'!$I$6</x:f>
        <x:v>45</x:v>
      </x:c>
      <x:c r="H845" s="5" t="n">
        <x:f>IF(OR(AND(F845&lt;'00_Arquitectura'!$B$118,G845&lt;'00_Arquitectura'!$B$119),F845&lt;'00_Arquitectura'!$B$120),1,0)</x:f>
        <x:v>0</x:v>
      </x:c>
      <x:c r="I845" s="5" t="n">
        <x:f>IF($I$827=1,IF(OR(AND(F845&lt;'00_Arquitectura'!$B$121,G845&lt;'00_Arquitectura'!$B$122),F845&lt;'00_Arquitectura'!$B$123),1,0),IF(AND(H845=1,$H$827=1),1,0))</x:f>
        <x:v>0</x:v>
      </x:c>
      <x:c r="J845" s="5" t="n">
        <x:f>-I845*2*'02_Actores'!$E$6/10</x:f>
        <x:v>0</x:v>
      </x:c>
      <x:c r="K845" s="5" t="n">
        <x:f>($F$845*'02_Actores'!$F$6+$F$846*'02_Actores'!$F$7+$F$847*'02_Actores'!$F$8+$F$848*'02_Actores'!$F$9+$F$849*'02_Actores'!$F$10+$F$850*'02_Actores'!$F$11+$F$851*'02_Actores'!$F$12+$F$852*'02_Actores'!$F$13+$F$853*'02_Actores'!$F$14+$F$854*'02_Actores'!$F$15+$F$855*'02_Actores'!$F$16+$F$856*'02_Actores'!$F$17+$F$857*'02_Actores'!$F$18+$F$858*'02_Actores'!$F$19)/('02_Actores'!$F$6+'02_Actores'!$F$7+'02_Actores'!$F$8+'02_Actores'!$F$9+'02_Actores'!$F$10+'02_Actores'!$F$11+'02_Actores'!$F$12+'02_Actores'!$F$13+'02_Actores'!$F$14+'02_Actores'!$F$15+'02_Actores'!$F$16+'02_Actores'!$F$17+'02_Actores'!$F$18+'02_Actores'!$F$19)</x:f>
        <x:v>48.546260876150846</x:v>
      </x:c>
      <x:c r="L845" s="5" t="str">
        <x:v>J programa offset para t+1; efecto sustituible y acotado, sin voto adicional.</x:v>
      </x:c>
    </x:row>
    <x:row r="846" ht="34" customHeight="1">
      <x:c r="A846" s="10" t="str">
        <x:v>S1_EMISION</x:v>
      </x:c>
      <x:c r="B846" s="10" t="n">
        <x:v>5</x:v>
      </x:c>
      <x:c r="C846" s="10" t="str">
        <x:v>agro</x:v>
      </x:c>
      <x:c r="D846" s="10" t="n">
        <x:f>$F$828</x:f>
        <x:v>45.86410714285715</x:v>
      </x:c>
      <x:c r="E846" s="10" t="n">
        <x:f>(ABS('03_Sensibilidades'!$C$10)*IF('03_Sensibilidades'!$C$10&lt;0,100-$K$130,$K$130)+ABS('03_Sensibilidades'!$C$11)*IF('03_Sensibilidades'!$C$11&lt;0,100-$K$131,$K$131)+ABS('03_Sensibilidades'!$C$12)*IF('03_Sensibilidades'!$C$12&lt;0,100-$K$138,$K$138)+ABS('03_Sensibilidades'!$C$13)*IF('03_Sensibilidades'!$C$13&lt;0,100-$K$128,$K$128))/(ABS('03_Sensibilidades'!$C$10)+ABS('03_Sensibilidades'!$C$11)+ABS('03_Sensibilidades'!$C$12)+ABS('03_Sensibilidades'!$C$13))</x:f>
        <x:v>45.74305</x:v>
      </x:c>
      <x:c r="F846" s="10" t="n">
        <x:f>(1-'00_Arquitectura'!$B$95)*D846+'00_Arquitectura'!$B$95*E846</x:f>
        <x:v>45.821737142857145</x:v>
      </x:c>
      <x:c r="G846" s="10" t="n">
        <x:f>'02_Actores'!$I$7</x:f>
        <x:v>45</x:v>
      </x:c>
      <x:c r="H846" s="10" t="n">
        <x:f>IF(OR(AND(F846&lt;'00_Arquitectura'!$B$118,G846&lt;'00_Arquitectura'!$B$119),F846&lt;'00_Arquitectura'!$B$120),1,0)</x:f>
        <x:v>0</x:v>
      </x:c>
      <x:c r="I846" s="10" t="n">
        <x:f>IF($I$828=1,IF(OR(AND(F846&lt;'00_Arquitectura'!$B$121,G846&lt;'00_Arquitectura'!$B$122),F846&lt;'00_Arquitectura'!$B$123),1,0),IF(AND(H846=1,$H$828=1),1,0))</x:f>
        <x:v>0</x:v>
      </x:c>
      <x:c r="J846" s="10" t="n">
        <x:f>-I846*2*'02_Actores'!$E$7/10</x:f>
        <x:v>0</x:v>
      </x:c>
      <x:c r="K846" s="10" t="n">
        <x:f>$K$845</x:f>
        <x:v>48.546260876150846</x:v>
      </x:c>
      <x:c r="L846" s="10" t="str">
        <x:v>J programa offset para t+1; efecto sustituible y acotado, sin voto adicional.</x:v>
      </x:c>
    </x:row>
    <x:row r="847" ht="34" customHeight="1">
      <x:c r="A847" s="5" t="str">
        <x:v>S1_EMISION</x:v>
      </x:c>
      <x:c r="B847" s="5" t="n">
        <x:v>5</x:v>
      </x:c>
      <x:c r="C847" s="5" t="str">
        <x:v>financiero</x:v>
      </x:c>
      <x:c r="D847" s="5" t="n">
        <x:f>$F$829</x:f>
        <x:v>54.446396551724135</x:v>
      </x:c>
      <x:c r="E847" s="5" t="n">
        <x:f>(ABS('03_Sensibilidades'!$C$14)*IF('03_Sensibilidades'!$C$14&lt;0,100-$K$129,$K$129)+ABS('03_Sensibilidades'!$C$15)*IF('03_Sensibilidades'!$C$15&lt;0,100-$K$125,$K$125)+ABS('03_Sensibilidades'!$C$16)*IF('03_Sensibilidades'!$C$16&lt;0,100-$K$128,$K$128)+ABS('03_Sensibilidades'!$C$17)*IF('03_Sensibilidades'!$C$17&lt;0,100-$K$137,$K$137))/(ABS('03_Sensibilidades'!$C$14)+ABS('03_Sensibilidades'!$C$15)+ABS('03_Sensibilidades'!$C$16)+ABS('03_Sensibilidades'!$C$17))</x:f>
        <x:v>51.28223586206896</x:v>
      </x:c>
      <x:c r="F847" s="5" t="n">
        <x:f>(1-'00_Arquitectura'!$B$95)*D847+'00_Arquitectura'!$B$95*E847</x:f>
        <x:v>53.338940310344825</x:v>
      </x:c>
      <x:c r="G847" s="5" t="n">
        <x:f>'02_Actores'!$I$8</x:f>
        <x:v>45</x:v>
      </x:c>
      <x:c r="H847" s="5" t="n">
        <x:f>IF(OR(AND(F847&lt;'00_Arquitectura'!$B$118,G847&lt;'00_Arquitectura'!$B$119),F847&lt;'00_Arquitectura'!$B$120),1,0)</x:f>
        <x:v>0</x:v>
      </x:c>
      <x:c r="I847" s="5" t="n">
        <x:f>IF($I$829=1,IF(OR(AND(F847&lt;'00_Arquitectura'!$B$121,G847&lt;'00_Arquitectura'!$B$122),F847&lt;'00_Arquitectura'!$B$123),1,0),IF(AND(H847=1,$H$829=1),1,0))</x:f>
        <x:v>0</x:v>
      </x:c>
      <x:c r="J847" s="5" t="n">
        <x:f>-I847*2*'02_Actores'!$E$8/10</x:f>
        <x:v>0</x:v>
      </x:c>
      <x:c r="K847" s="5" t="n">
        <x:f>$K$845</x:f>
        <x:v>48.546260876150846</x:v>
      </x:c>
      <x:c r="L847" s="5" t="str">
        <x:v>J programa offset para t+1; efecto sustituible y acotado, sin voto adicional.</x:v>
      </x:c>
    </x:row>
    <x:row r="848" ht="34" customHeight="1">
      <x:c r="A848" s="10" t="str">
        <x:v>S1_EMISION</x:v>
      </x:c>
      <x:c r="B848" s="10" t="n">
        <x:v>5</x:v>
      </x:c>
      <x:c r="C848" s="10" t="str">
        <x:v>sindicatos</x:v>
      </x:c>
      <x:c r="D848" s="10" t="n">
        <x:f>$F$830</x:f>
        <x:v>48.40658201724138</x:v>
      </x:c>
      <x:c r="E848" s="10" t="n">
        <x:f>(ABS('03_Sensibilidades'!$C$18)*IF('03_Sensibilidades'!$C$18&lt;0,100-$K$127,$K$127)+ABS('03_Sensibilidades'!$C$19)*IF('03_Sensibilidades'!$C$19&lt;0,100-$K$126,$K$126)+ABS('03_Sensibilidades'!$C$20)*IF('03_Sensibilidades'!$C$20&lt;0,100-$K$134,$K$134)+ABS('03_Sensibilidades'!$C$21)*IF('03_Sensibilidades'!$C$21&lt;0,100-$K$137,$K$137))/(ABS('03_Sensibilidades'!$C$18)+ABS('03_Sensibilidades'!$C$19)+ABS('03_Sensibilidades'!$C$20)+ABS('03_Sensibilidades'!$C$21))</x:f>
        <x:v>48.07379393103447</x:v>
      </x:c>
      <x:c r="F848" s="10" t="n">
        <x:f>(1-'00_Arquitectura'!$B$95)*D848+'00_Arquitectura'!$B$95*E848</x:f>
        <x:v>48.29010618706896</x:v>
      </x:c>
      <x:c r="G848" s="10" t="n">
        <x:f>'02_Actores'!$I$9</x:f>
        <x:v>45</x:v>
      </x:c>
      <x:c r="H848" s="10" t="n">
        <x:f>IF(OR(AND(F848&lt;'00_Arquitectura'!$B$118,G848&lt;'00_Arquitectura'!$B$119),F848&lt;'00_Arquitectura'!$B$120),1,0)</x:f>
        <x:v>0</x:v>
      </x:c>
      <x:c r="I848" s="10" t="n">
        <x:f>IF($I$830=1,IF(OR(AND(F848&lt;'00_Arquitectura'!$B$121,G848&lt;'00_Arquitectura'!$B$122),F848&lt;'00_Arquitectura'!$B$123),1,0),IF(AND(H848=1,$H$830=1),1,0))</x:f>
        <x:v>0</x:v>
      </x:c>
      <x:c r="J848" s="10" t="n">
        <x:f>-I848*2*'02_Actores'!$E$9/10</x:f>
        <x:v>0</x:v>
      </x:c>
      <x:c r="K848" s="10" t="n">
        <x:f>$K$845</x:f>
        <x:v>48.546260876150846</x:v>
      </x:c>
      <x:c r="L848" s="10" t="str">
        <x:v>J programa offset para t+1; efecto sustituible y acotado, sin voto adicional.</x:v>
      </x:c>
    </x:row>
    <x:row r="849" ht="34" customHeight="1">
      <x:c r="A849" s="5" t="str">
        <x:v>S1_EMISION</x:v>
      </x:c>
      <x:c r="B849" s="5" t="n">
        <x:v>5</x:v>
      </x:c>
      <x:c r="C849" s="5" t="str">
        <x:v>pymes</x:v>
      </x:c>
      <x:c r="D849" s="5" t="n">
        <x:f>$F$831</x:f>
        <x:v>49.20639236206897</x:v>
      </x:c>
      <x:c r="E849" s="5" t="n">
        <x:f>(ABS('03_Sensibilidades'!$C$22)*IF('03_Sensibilidades'!$C$22&lt;0,100-$K$128,$K$128)+ABS('03_Sensibilidades'!$C$23)*IF('03_Sensibilidades'!$C$23&lt;0,100-$K$126,$K$126)+ABS('03_Sensibilidades'!$C$24)*IF('03_Sensibilidades'!$C$24&lt;0,100-$K$131,$K$131)+ABS('03_Sensibilidades'!$C$25)*IF('03_Sensibilidades'!$C$25&lt;0,100-$K$125,$K$125))/(ABS('03_Sensibilidades'!$C$22)+ABS('03_Sensibilidades'!$C$23)+ABS('03_Sensibilidades'!$C$24)+ABS('03_Sensibilidades'!$C$25))</x:f>
        <x:v>47.174616</x:v>
      </x:c>
      <x:c r="F849" s="5" t="n">
        <x:f>(1-'00_Arquitectura'!$B$95)*D849+'00_Arquitectura'!$B$95*E849</x:f>
        <x:v>48.49527063534483</x:v>
      </x:c>
      <x:c r="G849" s="5" t="n">
        <x:f>'02_Actores'!$I$10</x:f>
        <x:v>45</x:v>
      </x:c>
      <x:c r="H849" s="5" t="n">
        <x:f>IF(OR(AND(F849&lt;'00_Arquitectura'!$B$118,G849&lt;'00_Arquitectura'!$B$119),F849&lt;'00_Arquitectura'!$B$120),1,0)</x:f>
        <x:v>0</x:v>
      </x:c>
      <x:c r="I849" s="5" t="n">
        <x:f>IF($I$831=1,IF(OR(AND(F849&lt;'00_Arquitectura'!$B$121,G849&lt;'00_Arquitectura'!$B$122),F849&lt;'00_Arquitectura'!$B$123),1,0),IF(AND(H849=1,$H$831=1),1,0))</x:f>
        <x:v>0</x:v>
      </x:c>
      <x:c r="J849" s="5" t="n">
        <x:f>-I849*2*'02_Actores'!$E$10/10</x:f>
        <x:v>0</x:v>
      </x:c>
      <x:c r="K849" s="5" t="n">
        <x:f>$K$845</x:f>
        <x:v>48.546260876150846</x:v>
      </x:c>
      <x:c r="L849" s="5" t="str">
        <x:v>J programa offset para t+1; efecto sustituible y acotado, sin voto adicional.</x:v>
      </x:c>
    </x:row>
    <x:row r="850" ht="34" customHeight="1">
      <x:c r="A850" s="10" t="str">
        <x:v>S1_EMISION</x:v>
      </x:c>
      <x:c r="B850" s="10" t="n">
        <x:v>5</x:v>
      </x:c>
      <x:c r="C850" s="10" t="str">
        <x:v>clase_media</x:v>
      </x:c>
      <x:c r="D850" s="10" t="n">
        <x:f>$F$832</x:f>
        <x:v>47.968069444444446</x:v>
      </x:c>
      <x:c r="E850" s="10" t="n">
        <x:f>(ABS('03_Sensibilidades'!$C$26)*IF('03_Sensibilidades'!$C$26&lt;0,100-$K$127,$K$127)+ABS('03_Sensibilidades'!$C$27)*IF('03_Sensibilidades'!$C$27&lt;0,100-$K$135,$K$135)+ABS('03_Sensibilidades'!$C$28)*IF('03_Sensibilidades'!$C$28&lt;0,100-$K$132,$K$132)+ABS('03_Sensibilidades'!$C$29)*IF('03_Sensibilidades'!$C$29&lt;0,100-$K$125,$K$125))/(ABS('03_Sensibilidades'!$C$26)+ABS('03_Sensibilidades'!$C$27)+ABS('03_Sensibilidades'!$C$28)+ABS('03_Sensibilidades'!$C$29))</x:f>
        <x:v>45.87170222222221</x:v>
      </x:c>
      <x:c r="F850" s="10" t="n">
        <x:f>(1-'00_Arquitectura'!$B$95)*D850+'00_Arquitectura'!$B$95*E850</x:f>
        <x:v>47.23434091666667</x:v>
      </x:c>
      <x:c r="G850" s="10" t="n">
        <x:f>'02_Actores'!$I$11</x:f>
        <x:v>45</x:v>
      </x:c>
      <x:c r="H850" s="10" t="n">
        <x:f>IF(OR(AND(F850&lt;'00_Arquitectura'!$B$118,G850&lt;'00_Arquitectura'!$B$119),F850&lt;'00_Arquitectura'!$B$120),1,0)</x:f>
        <x:v>0</x:v>
      </x:c>
      <x:c r="I850" s="10" t="n">
        <x:f>IF($I$832=1,IF(OR(AND(F850&lt;'00_Arquitectura'!$B$121,G850&lt;'00_Arquitectura'!$B$122),F850&lt;'00_Arquitectura'!$B$123),1,0),IF(AND(H850=1,$H$832=1),1,0))</x:f>
        <x:v>0</x:v>
      </x:c>
      <x:c r="J850" s="10" t="n">
        <x:f>0</x:f>
        <x:v>0</x:v>
      </x:c>
      <x:c r="K850" s="10" t="n">
        <x:f>$K$845</x:f>
        <x:v>48.546260876150846</x:v>
      </x:c>
      <x:c r="L850" s="10" t="str">
        <x:v>Canal directo sólo al índice social; sin bono de popularidad.</x:v>
      </x:c>
    </x:row>
    <x:row r="851" ht="34" customHeight="1">
      <x:c r="A851" s="5" t="str">
        <x:v>S1_EMISION</x:v>
      </x:c>
      <x:c r="B851" s="5" t="n">
        <x:v>5</x:v>
      </x:c>
      <x:c r="C851" s="5" t="str">
        <x:v>cooperativas</x:v>
      </x:c>
      <x:c r="D851" s="5" t="n">
        <x:f>$F$833</x:f>
        <x:v>48.160602981481475</x:v>
      </x:c>
      <x:c r="E851" s="5" t="n">
        <x:f>(ABS('03_Sensibilidades'!$C$30)*IF('03_Sensibilidades'!$C$30&lt;0,100-$K$128,$K$128)+ABS('03_Sensibilidades'!$C$31)*IF('03_Sensibilidades'!$C$31&lt;0,100-$K$126,$K$126)+ABS('03_Sensibilidades'!$C$32)*IF('03_Sensibilidades'!$C$32&lt;0,100-$K$134,$K$134)+ABS('03_Sensibilidades'!$C$33)*IF('03_Sensibilidades'!$C$33&lt;0,100-$K$137,$K$137))/(ABS('03_Sensibilidades'!$C$30)+ABS('03_Sensibilidades'!$C$31)+ABS('03_Sensibilidades'!$C$32)+ABS('03_Sensibilidades'!$C$33))</x:f>
        <x:v>48.06866044444445</x:v>
      </x:c>
      <x:c r="F851" s="5" t="n">
        <x:f>(1-'00_Arquitectura'!$B$95)*D851+'00_Arquitectura'!$B$95*E851</x:f>
        <x:v>48.12842309351852</x:v>
      </x:c>
      <x:c r="G851" s="5" t="n">
        <x:f>'02_Actores'!$I$12</x:f>
        <x:v>45</x:v>
      </x:c>
      <x:c r="H851" s="5" t="n">
        <x:f>IF(OR(AND(F851&lt;'00_Arquitectura'!$B$118,G851&lt;'00_Arquitectura'!$B$119),F851&lt;'00_Arquitectura'!$B$120),1,0)</x:f>
        <x:v>0</x:v>
      </x:c>
      <x:c r="I851" s="5" t="n">
        <x:f>IF($I$833=1,IF(OR(AND(F851&lt;'00_Arquitectura'!$B$121,G851&lt;'00_Arquitectura'!$B$122),F851&lt;'00_Arquitectura'!$B$123),1,0),IF(AND(H851=1,$H$833=1),1,0))</x:f>
        <x:v>0</x:v>
      </x:c>
      <x:c r="J851" s="5" t="n">
        <x:f>-I851*1.5*'02_Actores'!$E$12/10</x:f>
        <x:v>0</x:v>
      </x:c>
      <x:c r="K851" s="5" t="n">
        <x:f>$K$845</x:f>
        <x:v>48.546260876150846</x:v>
      </x:c>
      <x:c r="L851" s="5" t="str">
        <x:v>J programa offset para t+1; efecto sustituible y acotado, sin voto adicional.</x:v>
      </x:c>
    </x:row>
    <x:row r="852" ht="42" customHeight="1">
      <x:c r="A852" s="10" t="str">
        <x:v>S1_EMISION</x:v>
      </x:c>
      <x:c r="B852" s="10" t="n">
        <x:v>5</x:v>
      </x:c>
      <x:c r="C852" s="10" t="str">
        <x:v>estudiantes</x:v>
      </x:c>
      <x:c r="D852" s="10" t="n">
        <x:f>$F$834</x:f>
        <x:v>49.1810475</x:v>
      </x:c>
      <x:c r="E852" s="10" t="n">
        <x:f>(ABS('03_Sensibilidades'!$C$34)*IF('03_Sensibilidades'!$C$34&lt;0,100-$K$132,$K$132)+ABS('03_Sensibilidades'!$C$35)*IF('03_Sensibilidades'!$C$35&lt;0,100-$K$127,$K$127)+ABS('03_Sensibilidades'!$C$36)*IF('03_Sensibilidades'!$C$36&lt;0,100-$K$137,$K$137)+ABS('03_Sensibilidades'!$C$37)*IF('03_Sensibilidades'!$C$37&lt;0,100-$K$136,$K$136))/(ABS('03_Sensibilidades'!$C$34)+ABS('03_Sensibilidades'!$C$35)+ABS('03_Sensibilidades'!$C$36)+ABS('03_Sensibilidades'!$C$37))</x:f>
        <x:v>48.929839199999996</x:v>
      </x:c>
      <x:c r="F852" s="10" t="n">
        <x:f>(1-'00_Arquitectura'!$B$95)*D852+'00_Arquitectura'!$B$95*E852</x:f>
        <x:v>49.09312459499999</x:v>
      </x:c>
      <x:c r="G852" s="10" t="n">
        <x:f>'02_Actores'!$I$13</x:f>
        <x:v>45</x:v>
      </x:c>
      <x:c r="H852" s="10" t="n">
        <x:f>IF(OR(AND(F852&lt;'00_Arquitectura'!$B$118,G852&lt;'00_Arquitectura'!$B$119),F852&lt;'00_Arquitectura'!$B$120),1,0)</x:f>
        <x:v>0</x:v>
      </x:c>
      <x:c r="I852" s="10" t="n">
        <x:f>IF($I$834=1,IF(OR(AND(F852&lt;'00_Arquitectura'!$B$121,G852&lt;'00_Arquitectura'!$B$122),F852&lt;'00_Arquitectura'!$B$123),1,0),IF(AND(H852=1,$H$834=1),1,0))</x:f>
        <x:v>0</x:v>
      </x:c>
      <x:c r="J852" s="10" t="n">
        <x:f>0</x:f>
        <x:v>0</x:v>
      </x:c>
      <x:c r="K852" s="10" t="n">
        <x:f>$K$845</x:f>
        <x:v>48.546260876150846</x:v>
      </x:c>
      <x:c r="L852" s="10" t="str">
        <x:v>Conflicto activo captura menor eficacia en políticas ejecutadas en t+1. Magnitud0 en J: no es un offset directo de indicador.</x:v>
      </x:c>
    </x:row>
    <x:row r="853" ht="34" customHeight="1">
      <x:c r="A853" s="5" t="str">
        <x:v>S1_EMISION</x:v>
      </x:c>
      <x:c r="B853" s="5" t="n">
        <x:v>5</x:v>
      </x:c>
      <x:c r="C853" s="5" t="str">
        <x:v>docentes</x:v>
      </x:c>
      <x:c r="D853" s="5" t="n">
        <x:f>$F$835</x:f>
        <x:v>48.8759625</x:v>
      </x:c>
      <x:c r="E853" s="5" t="n">
        <x:f>(ABS('03_Sensibilidades'!$C$38)*IF('03_Sensibilidades'!$C$38&lt;0,100-$K$132,$K$132)+ABS('03_Sensibilidades'!$C$39)*IF('03_Sensibilidades'!$C$39&lt;0,100-$K$127,$K$127)+ABS('03_Sensibilidades'!$C$40)*IF('03_Sensibilidades'!$C$40&lt;0,100-$K$137,$K$137))/(ABS('03_Sensibilidades'!$C$38)+ABS('03_Sensibilidades'!$C$39)+ABS('03_Sensibilidades'!$C$40))</x:f>
        <x:v>48.384468</x:v>
      </x:c>
      <x:c r="F853" s="5" t="n">
        <x:f>(1-'00_Arquitectura'!$B$95)*D853+'00_Arquitectura'!$B$95*E853</x:f>
        <x:v>48.703939425</x:v>
      </x:c>
      <x:c r="G853" s="5" t="n">
        <x:f>'02_Actores'!$I$14</x:f>
        <x:v>45</x:v>
      </x:c>
      <x:c r="H853" s="5" t="n">
        <x:f>IF(OR(AND(F853&lt;'00_Arquitectura'!$B$118,G853&lt;'00_Arquitectura'!$B$119),F853&lt;'00_Arquitectura'!$B$120),1,0)</x:f>
        <x:v>0</x:v>
      </x:c>
      <x:c r="I853" s="5" t="n">
        <x:f>IF($I$835=1,IF(OR(AND(F853&lt;'00_Arquitectura'!$B$121,G853&lt;'00_Arquitectura'!$B$122),F853&lt;'00_Arquitectura'!$B$123),1,0),IF(AND(H853=1,$H$835=1),1,0))</x:f>
        <x:v>0</x:v>
      </x:c>
      <x:c r="J853" s="5" t="n">
        <x:f>-I853*1.5*'02_Actores'!$E$14/10</x:f>
        <x:v>0</x:v>
      </x:c>
      <x:c r="K853" s="5" t="n">
        <x:f>$K$845</x:f>
        <x:v>48.546260876150846</x:v>
      </x:c>
      <x:c r="L853" s="5" t="str">
        <x:v>J programa offset para t+1; efecto sustituible y acotado, sin voto adicional.</x:v>
      </x:c>
    </x:row>
    <x:row r="854" ht="34" customHeight="1">
      <x:c r="A854" s="10" t="str">
        <x:v>S1_EMISION</x:v>
      </x:c>
      <x:c r="B854" s="10" t="n">
        <x:v>5</x:v>
      </x:c>
      <x:c r="C854" s="10" t="str">
        <x:v>cientificos</x:v>
      </x:c>
      <x:c r="D854" s="10" t="n">
        <x:f>$F$836</x:f>
        <x:v>46.59090909090909</x:v>
      </x:c>
      <x:c r="E854" s="10" t="n">
        <x:f>(ABS('03_Sensibilidades'!$C$41)*IF('03_Sensibilidades'!$C$41&lt;0,100-$K$136,$K$136)+ABS('03_Sensibilidades'!$C$42)*IF('03_Sensibilidades'!$C$42&lt;0,100-$K$132,$K$132)+ABS('03_Sensibilidades'!$C$43)*IF('03_Sensibilidades'!$C$43&lt;0,100-$K$137,$K$137))/(ABS('03_Sensibilidades'!$C$41)+ABS('03_Sensibilidades'!$C$42)+ABS('03_Sensibilidades'!$C$43))</x:f>
        <x:v>46.59090909090909</x:v>
      </x:c>
      <x:c r="F854" s="10" t="n">
        <x:f>(1-'00_Arquitectura'!$B$95)*D854+'00_Arquitectura'!$B$95*E854</x:f>
        <x:v>46.59090909090909</x:v>
      </x:c>
      <x:c r="G854" s="10" t="n">
        <x:f>'02_Actores'!$I$15</x:f>
        <x:v>45</x:v>
      </x:c>
      <x:c r="H854" s="10" t="n">
        <x:f>IF(OR(AND(F854&lt;'00_Arquitectura'!$B$118,G854&lt;'00_Arquitectura'!$B$119),F854&lt;'00_Arquitectura'!$B$120),1,0)</x:f>
        <x:v>0</x:v>
      </x:c>
      <x:c r="I854" s="10" t="n">
        <x:f>IF($I$836=1,IF(OR(AND(F854&lt;'00_Arquitectura'!$B$121,G854&lt;'00_Arquitectura'!$B$122),F854&lt;'00_Arquitectura'!$B$123),1,0),IF(AND(H854=1,$H$836=1),1,0))</x:f>
        <x:v>0</x:v>
      </x:c>
      <x:c r="J854" s="10" t="n">
        <x:f>-I854*1.5*'02_Actores'!$E$15/10</x:f>
        <x:v>0</x:v>
      </x:c>
      <x:c r="K854" s="10" t="n">
        <x:f>$K$845</x:f>
        <x:v>48.546260876150846</x:v>
      </x:c>
      <x:c r="L854" s="10" t="str">
        <x:v>J programa offset para t+1; efecto sustituible y acotado, sin voto adicional.</x:v>
      </x:c>
    </x:row>
    <x:row r="855" ht="34" customHeight="1">
      <x:c r="A855" s="5" t="str">
        <x:v>S1_EMISION</x:v>
      </x:c>
      <x:c r="B855" s="5" t="n">
        <x:v>5</x:v>
      </x:c>
      <x:c r="C855" s="5" t="str">
        <x:v>organizaciones</x:v>
      </x:c>
      <x:c r="D855" s="5" t="n">
        <x:f>$F$837</x:f>
        <x:v>49.45805960714286</x:v>
      </x:c>
      <x:c r="E855" s="5" t="n">
        <x:f>(ABS('03_Sensibilidades'!$C$44)*IF('03_Sensibilidades'!$C$44&lt;0,100-$K$134,$K$134)+ABS('03_Sensibilidades'!$C$45)*IF('03_Sensibilidades'!$C$45&lt;0,100-$K$133,$K$133)+ABS('03_Sensibilidades'!$C$46)*IF('03_Sensibilidades'!$C$46&lt;0,100-$K$126,$K$126)+ABS('03_Sensibilidades'!$C$47)*IF('03_Sensibilidades'!$C$47&lt;0,100-$K$137,$K$137))/(ABS('03_Sensibilidades'!$C$44)+ABS('03_Sensibilidades'!$C$45)+ABS('03_Sensibilidades'!$C$46)+ABS('03_Sensibilidades'!$C$47))</x:f>
        <x:v>49.52733485714286</x:v>
      </x:c>
      <x:c r="F855" s="5" t="n">
        <x:f>(1-'00_Arquitectura'!$B$95)*D855+'00_Arquitectura'!$B$95*E855</x:f>
        <x:v>49.48230594464286</x:v>
      </x:c>
      <x:c r="G855" s="5" t="n">
        <x:f>'02_Actores'!$I$16</x:f>
        <x:v>45</x:v>
      </x:c>
      <x:c r="H855" s="5" t="n">
        <x:f>IF(OR(AND(F855&lt;'00_Arquitectura'!$B$118,G855&lt;'00_Arquitectura'!$B$119),F855&lt;'00_Arquitectura'!$B$120),1,0)</x:f>
        <x:v>0</x:v>
      </x:c>
      <x:c r="I855" s="5" t="n">
        <x:f>IF($I$837=1,IF(OR(AND(F855&lt;'00_Arquitectura'!$B$121,G855&lt;'00_Arquitectura'!$B$122),F855&lt;'00_Arquitectura'!$B$123),1,0),IF(AND(H855=1,$H$837=1),1,0))</x:f>
        <x:v>0</x:v>
      </x:c>
      <x:c r="J855" s="5" t="n">
        <x:f>-I855*1.5*'02_Actores'!$E$16/10</x:f>
        <x:v>0</x:v>
      </x:c>
      <x:c r="K855" s="5" t="n">
        <x:f>$K$845</x:f>
        <x:v>48.546260876150846</x:v>
      </x:c>
      <x:c r="L855" s="5" t="str">
        <x:v>J programa offset para t+1; efecto sustituible y acotado, sin voto adicional.</x:v>
      </x:c>
    </x:row>
    <x:row r="856" ht="42" customHeight="1">
      <x:c r="A856" s="10" t="str">
        <x:v>S1_EMISION</x:v>
      </x:c>
      <x:c r="B856" s="10" t="n">
        <x:v>5</x:v>
      </x:c>
      <x:c r="C856" s="10" t="str">
        <x:v>ddhh</x:v>
      </x:c>
      <x:c r="D856" s="10" t="n">
        <x:f>$F$838</x:f>
        <x:v>50.88235294117648</x:v>
      </x:c>
      <x:c r="E856" s="10" t="n">
        <x:f>(ABS('03_Sensibilidades'!$C$48)*IF('03_Sensibilidades'!$C$48&lt;0,100-$K$137,$K$137)+ABS('03_Sensibilidades'!$C$49)*IF('03_Sensibilidades'!$C$49&lt;0,100-$K$135,$K$135)+ABS('03_Sensibilidades'!$C$50)*IF('03_Sensibilidades'!$C$50&lt;0,100-$K$134,$K$134))/(ABS('03_Sensibilidades'!$C$48)+ABS('03_Sensibilidades'!$C$49)+ABS('03_Sensibilidades'!$C$50))</x:f>
        <x:v>50.88235294117647</x:v>
      </x:c>
      <x:c r="F856" s="10" t="n">
        <x:f>(1-'00_Arquitectura'!$B$95)*D856+'00_Arquitectura'!$B$95*E856</x:f>
        <x:v>50.88235294117648</x:v>
      </x:c>
      <x:c r="G856" s="10" t="n">
        <x:f>'02_Actores'!$I$17</x:f>
        <x:v>45</x:v>
      </x:c>
      <x:c r="H856" s="10" t="n">
        <x:f>IF(OR(AND(F856&lt;'00_Arquitectura'!$B$118,G856&lt;'00_Arquitectura'!$B$119),F856&lt;'00_Arquitectura'!$B$120),1,0)</x:f>
        <x:v>0</x:v>
      </x:c>
      <x:c r="I856" s="10" t="n">
        <x:f>IF($I$838=1,IF(OR(AND(F856&lt;'00_Arquitectura'!$B$121,G856&lt;'00_Arquitectura'!$B$122),F856&lt;'00_Arquitectura'!$B$123),1,0),IF(AND(H856=1,$H$838=1),1,0))</x:f>
        <x:v>0</x:v>
      </x:c>
      <x:c r="J856" s="10" t="n">
        <x:f>0</x:f>
        <x:v>0</x:v>
      </x:c>
      <x:c r="K856" s="10" t="n">
        <x:f>$K$845</x:f>
        <x:v>48.546260876150846</x:v>
      </x:c>
      <x:c r="L856" s="10" t="str">
        <x:v>Conflicto activo captura menor eficacia en políticas ejecutadas en t+1. Magnitud0 en J: no es un offset directo de indicador.</x:v>
      </x:c>
    </x:row>
    <x:row r="857" ht="42" customHeight="1">
      <x:c r="A857" s="5" t="str">
        <x:v>S1_EMISION</x:v>
      </x:c>
      <x:c r="B857" s="5" t="n">
        <x:v>5</x:v>
      </x:c>
      <x:c r="C857" s="5" t="str">
        <x:v>ambientalistas</x:v>
      </x:c>
      <x:c r="D857" s="5" t="n">
        <x:f>$F$839</x:f>
        <x:v>51.388888888888886</x:v>
      </x:c>
      <x:c r="E857" s="5" t="n">
        <x:f>(ABS('03_Sensibilidades'!$C$51)*IF('03_Sensibilidades'!$C$51&lt;0,100-$K$138,$K$138)+ABS('03_Sensibilidades'!$C$52)*IF('03_Sensibilidades'!$C$52&lt;0,100-$K$137,$K$137)+ABS('03_Sensibilidades'!$C$53)*IF('03_Sensibilidades'!$C$53&lt;0,100-$K$133,$K$133))/(ABS('03_Sensibilidades'!$C$51)+ABS('03_Sensibilidades'!$C$52)+ABS('03_Sensibilidades'!$C$53))</x:f>
        <x:v>51.388888888888886</x:v>
      </x:c>
      <x:c r="F857" s="5" t="n">
        <x:f>(1-'00_Arquitectura'!$B$95)*D857+'00_Arquitectura'!$B$95*E857</x:f>
        <x:v>51.388888888888886</x:v>
      </x:c>
      <x:c r="G857" s="5" t="n">
        <x:f>'02_Actores'!$I$18</x:f>
        <x:v>45</x:v>
      </x:c>
      <x:c r="H857" s="5" t="n">
        <x:f>IF(OR(AND(F857&lt;'00_Arquitectura'!$B$118,G857&lt;'00_Arquitectura'!$B$119),F857&lt;'00_Arquitectura'!$B$120),1,0)</x:f>
        <x:v>0</x:v>
      </x:c>
      <x:c r="I857" s="5" t="n">
        <x:f>IF($I$839=1,IF(OR(AND(F857&lt;'00_Arquitectura'!$B$121,G857&lt;'00_Arquitectura'!$B$122),F857&lt;'00_Arquitectura'!$B$123),1,0),IF(AND(H857=1,$H$839=1),1,0))</x:f>
        <x:v>0</x:v>
      </x:c>
      <x:c r="J857" s="5" t="n">
        <x:f>0</x:f>
        <x:v>0</x:v>
      </x:c>
      <x:c r="K857" s="5" t="n">
        <x:f>$K$845</x:f>
        <x:v>48.546260876150846</x:v>
      </x:c>
      <x:c r="L857" s="5" t="str">
        <x:v>Conflicto activo captura menor eficacia en políticas ejecutadas en t+1. Magnitud0 en J: no es un offset directo de indicador.</x:v>
      </x:c>
    </x:row>
    <x:row r="858" ht="34" customHeight="1">
      <x:c r="A858" s="10" t="str">
        <x:v>S1_EMISION</x:v>
      </x:c>
      <x:c r="B858" s="10" t="n">
        <x:v>5</x:v>
      </x:c>
      <x:c r="C858" s="10" t="str">
        <x:v>cultura</x:v>
      </x:c>
      <x:c r="D858" s="10" t="n">
        <x:f>$F$840</x:f>
        <x:v>50.76453618421053</x:v>
      </x:c>
      <x:c r="E858" s="10" t="n">
        <x:f>(ABS('03_Sensibilidades'!$C$54)*IF('03_Sensibilidades'!$C$54&lt;0,100-$K$137,$K$137)+ABS('03_Sensibilidades'!$C$55)*IF('03_Sensibilidades'!$C$55&lt;0,100-$K$132,$K$132)+ABS('03_Sensibilidades'!$C$56)*IF('03_Sensibilidades'!$C$56&lt;0,100-$K$127,$K$127))/(ABS('03_Sensibilidades'!$C$54)+ABS('03_Sensibilidades'!$C$55)+ABS('03_Sensibilidades'!$C$56))</x:f>
        <x:v>50.433998947368416</x:v>
      </x:c>
      <x:c r="F858" s="10" t="n">
        <x:f>(1-'00_Arquitectura'!$B$95)*D858+'00_Arquitectura'!$B$95*E858</x:f>
        <x:v>50.64884815131579</x:v>
      </x:c>
      <x:c r="G858" s="10" t="n">
        <x:f>'02_Actores'!$I$19</x:f>
        <x:v>45</x:v>
      </x:c>
      <x:c r="H858" s="10" t="n">
        <x:f>IF(OR(AND(F858&lt;'00_Arquitectura'!$B$118,G858&lt;'00_Arquitectura'!$B$119),F858&lt;'00_Arquitectura'!$B$120),1,0)</x:f>
        <x:v>0</x:v>
      </x:c>
      <x:c r="I858" s="10" t="n">
        <x:f>IF($I$840=1,IF(OR(AND(F858&lt;'00_Arquitectura'!$B$121,G858&lt;'00_Arquitectura'!$B$122),F858&lt;'00_Arquitectura'!$B$123),1,0),IF(AND(H858=1,$H$840=1),1,0))</x:f>
        <x:v>0</x:v>
      </x:c>
      <x:c r="J858" s="10" t="n">
        <x:f>0</x:f>
        <x:v>0</x:v>
      </x:c>
      <x:c r="K858" s="10" t="n">
        <x:f>$K$845</x:f>
        <x:v>48.546260876150846</x:v>
      </x:c>
      <x:c r="L858" s="10" t="str">
        <x:v>Conflicto activo encarece agenda del turno siguiente; sin castigo electoral adicional.</x:v>
      </x:c>
    </x:row>
    <x:row r="859" ht="34" customHeight="1">
      <x:c r="A859" s="5" t="str">
        <x:v>S1_EMISION</x:v>
      </x:c>
      <x:c r="B859" s="5" t="n">
        <x:v>5</x:v>
      </x:c>
      <x:c r="C859" s="5" t="str">
        <x:v>oficialismo</x:v>
      </x:c>
      <x:c r="D859" s="5" t="n">
        <x:f>$F$841</x:f>
        <x:v>52.71367168</x:v>
      </x:c>
      <x:c r="E859" s="5" t="n">
        <x:f>(ABS('03_Sensibilidades'!$C$57)*IF('03_Sensibilidades'!$C$57&lt;0,100-$K$137,$K$137)+ABS('03_Sensibilidades'!$C$58)*IF('03_Sensibilidades'!$C$58&lt;0,100-$K$126,$K$126)+ABS('03_Sensibilidades'!$C$59)*IF('03_Sensibilidades'!$C$59&lt;0,100-$K$129,$K$129)+ABS('03_Sensibilidades'!$C$60)*IF('03_Sensibilidades'!$C$60&lt;0,100-$K$134,$K$134))/(ABS('03_Sensibilidades'!$C$57)+ABS('03_Sensibilidades'!$C$58)+ABS('03_Sensibilidades'!$C$59)+ABS('03_Sensibilidades'!$C$60))</x:f>
        <x:v>52.84274944</x:v>
      </x:c>
      <x:c r="F859" s="5" t="n">
        <x:f>(1-'00_Arquitectura'!$B$95)*D859+'00_Arquitectura'!$B$95*E859</x:f>
        <x:v>52.758848895999996</x:v>
      </x:c>
      <x:c r="G859" s="5" t="n">
        <x:f>'02_Actores'!$I$20</x:f>
        <x:v>60</x:v>
      </x:c>
      <x:c r="H859" s="5" t="n">
        <x:f>IF(OR(AND(F859&lt;'00_Arquitectura'!$B$118,G859&lt;'00_Arquitectura'!$B$119),F859&lt;'00_Arquitectura'!$B$120),1,0)</x:f>
        <x:v>0</x:v>
      </x:c>
      <x:c r="I859" s="5" t="n">
        <x:f>IF($I$841=1,IF(OR(AND(F859&lt;'00_Arquitectura'!$B$121,G859&lt;'00_Arquitectura'!$B$122),F859&lt;'00_Arquitectura'!$B$123),1,0),IF(AND(H859=1,$H$841=1),1,0))</x:f>
        <x:v>0</x:v>
      </x:c>
      <x:c r="J859" s="5" t="n">
        <x:f>0</x:f>
        <x:v>0</x:v>
      </x:c>
      <x:c r="K859" s="5" t="n">
        <x:f>$K$845</x:f>
        <x:v>48.546260876150846</x:v>
      </x:c>
      <x:c r="L859" s="5" t="str">
        <x:v>No aporta E_social; S y R alimentan disposición a leyes según07.</x:v>
      </x:c>
    </x:row>
    <x:row r="860" ht="34" customHeight="1">
      <x:c r="A860" s="10" t="str">
        <x:v>S1_EMISION</x:v>
      </x:c>
      <x:c r="B860" s="10" t="n">
        <x:v>5</x:v>
      </x:c>
      <x:c r="C860" s="10" t="str">
        <x:v>aliados</x:v>
      </x:c>
      <x:c r="D860" s="10" t="n">
        <x:f>$F$842</x:f>
        <x:v>53.239573809523804</x:v>
      </x:c>
      <x:c r="E860" s="10" t="n">
        <x:f>(ABS('03_Sensibilidades'!$C$61)*IF('03_Sensibilidades'!$C$61&lt;0,100-$K$137,$K$137)+ABS('03_Sensibilidades'!$C$62)*IF('03_Sensibilidades'!$C$62&lt;0,100-$K$129,$K$129)+ABS('03_Sensibilidades'!$C$63)*IF('03_Sensibilidades'!$C$63&lt;0,100-$K$131,$K$131))/(ABS('03_Sensibilidades'!$C$61)+ABS('03_Sensibilidades'!$C$62)+ABS('03_Sensibilidades'!$C$63))</x:f>
        <x:v>53.27516647619047</x:v>
      </x:c>
      <x:c r="F860" s="10" t="n">
        <x:f>(1-'00_Arquitectura'!$B$95)*D860+'00_Arquitectura'!$B$95*E860</x:f>
        <x:v>53.252031242857136</x:v>
      </x:c>
      <x:c r="G860" s="10" t="n">
        <x:f>'02_Actores'!$I$21</x:f>
        <x:v>45</x:v>
      </x:c>
      <x:c r="H860" s="10" t="n">
        <x:f>IF(OR(AND(F860&lt;'00_Arquitectura'!$B$118,G860&lt;'00_Arquitectura'!$B$119),F860&lt;'00_Arquitectura'!$B$120),1,0)</x:f>
        <x:v>0</x:v>
      </x:c>
      <x:c r="I860" s="10" t="n">
        <x:f>IF($I$842=1,IF(OR(AND(F860&lt;'00_Arquitectura'!$B$121,G860&lt;'00_Arquitectura'!$B$122),F860&lt;'00_Arquitectura'!$B$123),1,0),IF(AND(H860=1,$H$842=1),1,0))</x:f>
        <x:v>0</x:v>
      </x:c>
      <x:c r="J860" s="10" t="n">
        <x:f>0</x:f>
        <x:v>0</x:v>
      </x:c>
      <x:c r="K860" s="10" t="n">
        <x:f>$K$845</x:f>
        <x:v>48.546260876150846</x:v>
      </x:c>
      <x:c r="L860" s="10" t="str">
        <x:v>No aporta E_social; S y R alimentan disposición a leyes según07.</x:v>
      </x:c>
    </x:row>
    <x:row r="861" ht="34" customHeight="1">
      <x:c r="A861" s="5" t="str">
        <x:v>S1_EMISION</x:v>
      </x:c>
      <x:c r="B861" s="5" t="n">
        <x:v>5</x:v>
      </x:c>
      <x:c r="C861" s="5" t="str">
        <x:v>oposicion</x:v>
      </x:c>
      <x:c r="D861" s="5" t="n">
        <x:f>$F$843</x:f>
        <x:v>53.98704500000001</x:v>
      </x:c>
      <x:c r="E861" s="5" t="n">
        <x:f>(ABS('03_Sensibilidades'!$C$64)*IF('03_Sensibilidades'!$C$64&lt;0,100-$K$137,$K$137)+ABS('03_Sensibilidades'!$C$65)*IF('03_Sensibilidades'!$C$65&lt;0,100-$K$129,$K$129)+ABS('03_Sensibilidades'!$C$66)*IF('03_Sensibilidades'!$C$66&lt;0,100-$K$135,$K$135))/(ABS('03_Sensibilidades'!$C$64)+ABS('03_Sensibilidades'!$C$65)+ABS('03_Sensibilidades'!$C$66))</x:f>
        <x:v>54.0190784</x:v>
      </x:c>
      <x:c r="F861" s="5" t="n">
        <x:f>(1-'00_Arquitectura'!$B$95)*D861+'00_Arquitectura'!$B$95*E861</x:f>
        <x:v>53.998256690000005</x:v>
      </x:c>
      <x:c r="G861" s="5" t="n">
        <x:f>'02_Actores'!$I$22</x:f>
        <x:v>30</x:v>
      </x:c>
      <x:c r="H861" s="5" t="n">
        <x:f>IF(OR(AND(F861&lt;'00_Arquitectura'!$B$118,G861&lt;'00_Arquitectura'!$B$119),F861&lt;'00_Arquitectura'!$B$120),1,0)</x:f>
        <x:v>0</x:v>
      </x:c>
      <x:c r="I861" s="5" t="n">
        <x:f>IF($I$843=1,IF(OR(AND(F861&lt;'00_Arquitectura'!$B$121,G861&lt;'00_Arquitectura'!$B$122),F861&lt;'00_Arquitectura'!$B$123),1,0),IF(AND(H861=1,$H$843=1),1,0))</x:f>
        <x:v>0</x:v>
      </x:c>
      <x:c r="J861" s="5" t="n">
        <x:f>0</x:f>
        <x:v>0</x:v>
      </x:c>
      <x:c r="K861" s="5" t="n">
        <x:f>$K$845</x:f>
        <x:v>48.546260876150846</x:v>
      </x:c>
      <x:c r="L861" s="5" t="str">
        <x:v>No aporta E_social; S y R alimentan disposición a leyes según07.</x:v>
      </x:c>
    </x:row>
    <x:row r="862" ht="42" customHeight="1">
      <x:c r="A862" s="10" t="str">
        <x:v>S1_EMISION</x:v>
      </x:c>
      <x:c r="B862" s="10" t="n">
        <x:v>5</x:v>
      </x:c>
      <x:c r="C862" s="10" t="str">
        <x:v>gobernadores</x:v>
      </x:c>
      <x:c r="D862" s="10" t="n">
        <x:f>$F$844</x:f>
        <x:v>50.163479310344826</x:v>
      </x:c>
      <x:c r="E862" s="10" t="n">
        <x:f>(ABS('03_Sensibilidades'!$C$67)*IF('03_Sensibilidades'!$C$67&lt;0,100-$K$131,$K$131)+ABS('03_Sensibilidades'!$C$68)*IF('03_Sensibilidades'!$C$68&lt;0,100-$K$133,$K$133)+ABS('03_Sensibilidades'!$C$69)*IF('03_Sensibilidades'!$C$69&lt;0,100-$K$132,$K$132)+ABS('03_Sensibilidades'!$C$70)*IF('03_Sensibilidades'!$C$70&lt;0,100-$K$129,$K$129))/(ABS('03_Sensibilidades'!$C$67)+ABS('03_Sensibilidades'!$C$68)+ABS('03_Sensibilidades'!$C$69)+ABS('03_Sensibilidades'!$C$70))</x:f>
        <x:v>50.18557131034483</x:v>
      </x:c>
      <x:c r="F862" s="10" t="n">
        <x:f>(1-'00_Arquitectura'!$B$95)*D862+'00_Arquitectura'!$B$95*E862</x:f>
        <x:v>50.171211510344826</x:v>
      </x:c>
      <x:c r="G862" s="10" t="n">
        <x:f>'02_Actores'!$I$23</x:f>
        <x:v>45</x:v>
      </x:c>
      <x:c r="H862" s="10" t="n">
        <x:f>IF(OR(AND(F862&lt;'00_Arquitectura'!$B$118,G862&lt;'00_Arquitectura'!$B$119),F862&lt;'00_Arquitectura'!$B$120),1,0)</x:f>
        <x:v>0</x:v>
      </x:c>
      <x:c r="I862" s="10" t="n">
        <x:f>IF($I$844=1,IF(OR(AND(F862&lt;'00_Arquitectura'!$B$121,G862&lt;'00_Arquitectura'!$B$122),F862&lt;'00_Arquitectura'!$B$123),1,0),IF(AND(H862=1,$H$844=1),1,0))</x:f>
        <x:v>0</x:v>
      </x:c>
      <x:c r="J862" s="10" t="n">
        <x:f>0</x:f>
        <x:v>0</x:v>
      </x:c>
      <x:c r="K862" s="10" t="n">
        <x:f>$K$845</x:f>
        <x:v>48.546260876150846</x:v>
      </x:c>
      <x:c r="L862" s="10" t="str">
        <x:v>Conflicto activo captura menor eficacia en políticas ejecutadas en t+1. Magnitud0 en J: no es un offset directo de indicador.</x:v>
      </x:c>
    </x:row>
    <x:row r="863" ht="34" customHeight="1">
      <x:c r="A863" s="5" t="str">
        <x:v>S1_EMISION</x:v>
      </x:c>
      <x:c r="B863" s="5" t="n">
        <x:v>6</x:v>
      </x:c>
      <x:c r="C863" s="5" t="str">
        <x:v>industria</x:v>
      </x:c>
      <x:c r="D863" s="5" t="n">
        <x:f>$F$845</x:f>
        <x:v>46.882218985185176</x:v>
      </x:c>
      <x:c r="E863" s="5" t="n">
        <x:f>(ABS('03_Sensibilidades'!$C$6)*IF('03_Sensibilidades'!$C$6&lt;0,100-$K$142,$K$142)+ABS('03_Sensibilidades'!$C$7)*IF('03_Sensibilidades'!$C$7&lt;0,100-$K$140,$K$140)+ABS('03_Sensibilidades'!$C$8)*IF('03_Sensibilidades'!$C$8&lt;0,100-$K$145,$K$145)+ABS('03_Sensibilidades'!$C$9)*IF('03_Sensibilidades'!$C$9&lt;0,100-$K$144,$K$144))/(ABS('03_Sensibilidades'!$C$6)+ABS('03_Sensibilidades'!$C$7)+ABS('03_Sensibilidades'!$C$8)+ABS('03_Sensibilidades'!$C$9))</x:f>
        <x:v>46.330565854814814</x:v>
      </x:c>
      <x:c r="F863" s="5" t="n">
        <x:f>(1-'00_Arquitectura'!$B$95)*D863+'00_Arquitectura'!$B$95*E863</x:f>
        <x:v>46.68914038955555</x:v>
      </x:c>
      <x:c r="G863" s="5" t="n">
        <x:f>'02_Actores'!$I$6</x:f>
        <x:v>45</x:v>
      </x:c>
      <x:c r="H863" s="5" t="n">
        <x:f>IF(OR(AND(F863&lt;'00_Arquitectura'!$B$118,G863&lt;'00_Arquitectura'!$B$119),F863&lt;'00_Arquitectura'!$B$120),1,0)</x:f>
        <x:v>0</x:v>
      </x:c>
      <x:c r="I863" s="5" t="n">
        <x:f>IF($I$845=1,IF(OR(AND(F863&lt;'00_Arquitectura'!$B$121,G863&lt;'00_Arquitectura'!$B$122),F863&lt;'00_Arquitectura'!$B$123),1,0),IF(AND(H863=1,$H$845=1),1,0))</x:f>
        <x:v>0</x:v>
      </x:c>
      <x:c r="J863" s="5" t="n">
        <x:f>-I863*2*'02_Actores'!$E$6/10</x:f>
        <x:v>0</x:v>
      </x:c>
      <x:c r="K863" s="5" t="n">
        <x:f>($F$863*'02_Actores'!$F$6+$F$864*'02_Actores'!$F$7+$F$865*'02_Actores'!$F$8+$F$866*'02_Actores'!$F$9+$F$867*'02_Actores'!$F$10+$F$868*'02_Actores'!$F$11+$F$869*'02_Actores'!$F$12+$F$870*'02_Actores'!$F$13+$F$871*'02_Actores'!$F$14+$F$872*'02_Actores'!$F$15+$F$873*'02_Actores'!$F$16+$F$874*'02_Actores'!$F$17+$F$875*'02_Actores'!$F$18+$F$876*'02_Actores'!$F$19)/('02_Actores'!$F$6+'02_Actores'!$F$7+'02_Actores'!$F$8+'02_Actores'!$F$9+'02_Actores'!$F$10+'02_Actores'!$F$11+'02_Actores'!$F$12+'02_Actores'!$F$13+'02_Actores'!$F$14+'02_Actores'!$F$15+'02_Actores'!$F$16+'02_Actores'!$F$17+'02_Actores'!$F$18+'02_Actores'!$F$19)</x:f>
        <x:v>47.95315963545455</x:v>
      </x:c>
      <x:c r="L863" s="5" t="str">
        <x:v>J programa offset para t+1; efecto sustituible y acotado, sin voto adicional.</x:v>
      </x:c>
    </x:row>
    <x:row r="864" ht="34" customHeight="1">
      <x:c r="A864" s="10" t="str">
        <x:v>S1_EMISION</x:v>
      </x:c>
      <x:c r="B864" s="10" t="n">
        <x:v>6</x:v>
      </x:c>
      <x:c r="C864" s="10" t="str">
        <x:v>agro</x:v>
      </x:c>
      <x:c r="D864" s="10" t="n">
        <x:f>$F$846</x:f>
        <x:v>45.821737142857145</x:v>
      </x:c>
      <x:c r="E864" s="10" t="n">
        <x:f>(ABS('03_Sensibilidades'!$C$10)*IF('03_Sensibilidades'!$C$10&lt;0,100-$K$144,$K$144)+ABS('03_Sensibilidades'!$C$11)*IF('03_Sensibilidades'!$C$11&lt;0,100-$K$145,$K$145)+ABS('03_Sensibilidades'!$C$12)*IF('03_Sensibilidades'!$C$12&lt;0,100-$K$152,$K$152)+ABS('03_Sensibilidades'!$C$13)*IF('03_Sensibilidades'!$C$13&lt;0,100-$K$142,$K$142))/(ABS('03_Sensibilidades'!$C$10)+ABS('03_Sensibilidades'!$C$11)+ABS('03_Sensibilidades'!$C$12)+ABS('03_Sensibilidades'!$C$13))</x:f>
        <x:v>45.462331528571426</x:v>
      </x:c>
      <x:c r="F864" s="10" t="n">
        <x:f>(1-'00_Arquitectura'!$B$95)*D864+'00_Arquitectura'!$B$95*E864</x:f>
        <x:v>45.69594517785714</x:v>
      </x:c>
      <x:c r="G864" s="10" t="n">
        <x:f>'02_Actores'!$I$7</x:f>
        <x:v>45</x:v>
      </x:c>
      <x:c r="H864" s="10" t="n">
        <x:f>IF(OR(AND(F864&lt;'00_Arquitectura'!$B$118,G864&lt;'00_Arquitectura'!$B$119),F864&lt;'00_Arquitectura'!$B$120),1,0)</x:f>
        <x:v>0</x:v>
      </x:c>
      <x:c r="I864" s="10" t="n">
        <x:f>IF($I$846=1,IF(OR(AND(F864&lt;'00_Arquitectura'!$B$121,G864&lt;'00_Arquitectura'!$B$122),F864&lt;'00_Arquitectura'!$B$123),1,0),IF(AND(H864=1,$H$846=1),1,0))</x:f>
        <x:v>0</x:v>
      </x:c>
      <x:c r="J864" s="10" t="n">
        <x:f>-I864*2*'02_Actores'!$E$7/10</x:f>
        <x:v>0</x:v>
      </x:c>
      <x:c r="K864" s="10" t="n">
        <x:f>$K$863</x:f>
        <x:v>47.95315963545455</x:v>
      </x:c>
      <x:c r="L864" s="10" t="str">
        <x:v>J programa offset para t+1; efecto sustituible y acotado, sin voto adicional.</x:v>
      </x:c>
    </x:row>
    <x:row r="865" ht="34" customHeight="1">
      <x:c r="A865" s="5" t="str">
        <x:v>S1_EMISION</x:v>
      </x:c>
      <x:c r="B865" s="5" t="n">
        <x:v>6</x:v>
      </x:c>
      <x:c r="C865" s="5" t="str">
        <x:v>financiero</x:v>
      </x:c>
      <x:c r="D865" s="5" t="n">
        <x:f>$F$847</x:f>
        <x:v>53.338940310344825</x:v>
      </x:c>
      <x:c r="E865" s="5" t="n">
        <x:f>(ABS('03_Sensibilidades'!$C$14)*IF('03_Sensibilidades'!$C$14&lt;0,100-$K$143,$K$143)+ABS('03_Sensibilidades'!$C$15)*IF('03_Sensibilidades'!$C$15&lt;0,100-$K$139,$K$139)+ABS('03_Sensibilidades'!$C$16)*IF('03_Sensibilidades'!$C$16&lt;0,100-$K$142,$K$142)+ABS('03_Sensibilidades'!$C$17)*IF('03_Sensibilidades'!$C$17&lt;0,100-$K$151,$K$151))/(ABS('03_Sensibilidades'!$C$14)+ABS('03_Sensibilidades'!$C$15)+ABS('03_Sensibilidades'!$C$16)+ABS('03_Sensibilidades'!$C$17))</x:f>
        <x:v>47.59079958344827</x:v>
      </x:c>
      <x:c r="F865" s="5" t="n">
        <x:f>(1-'00_Arquitectura'!$B$95)*D865+'00_Arquitectura'!$B$95*E865</x:f>
        <x:v>51.327091055931035</x:v>
      </x:c>
      <x:c r="G865" s="5" t="n">
        <x:f>'02_Actores'!$I$8</x:f>
        <x:v>45</x:v>
      </x:c>
      <x:c r="H865" s="5" t="n">
        <x:f>IF(OR(AND(F865&lt;'00_Arquitectura'!$B$118,G865&lt;'00_Arquitectura'!$B$119),F865&lt;'00_Arquitectura'!$B$120),1,0)</x:f>
        <x:v>0</x:v>
      </x:c>
      <x:c r="I865" s="5" t="n">
        <x:f>IF($I$847=1,IF(OR(AND(F865&lt;'00_Arquitectura'!$B$121,G865&lt;'00_Arquitectura'!$B$122),F865&lt;'00_Arquitectura'!$B$123),1,0),IF(AND(H865=1,$H$847=1),1,0))</x:f>
        <x:v>0</x:v>
      </x:c>
      <x:c r="J865" s="5" t="n">
        <x:f>-I865*2*'02_Actores'!$E$8/10</x:f>
        <x:v>0</x:v>
      </x:c>
      <x:c r="K865" s="5" t="n">
        <x:f>$K$863</x:f>
        <x:v>47.95315963545455</x:v>
      </x:c>
      <x:c r="L865" s="5" t="str">
        <x:v>J programa offset para t+1; efecto sustituible y acotado, sin voto adicional.</x:v>
      </x:c>
    </x:row>
    <x:row r="866" ht="34" customHeight="1">
      <x:c r="A866" s="10" t="str">
        <x:v>S1_EMISION</x:v>
      </x:c>
      <x:c r="B866" s="10" t="n">
        <x:v>6</x:v>
      </x:c>
      <x:c r="C866" s="10" t="str">
        <x:v>sindicatos</x:v>
      </x:c>
      <x:c r="D866" s="10" t="n">
        <x:f>$F$848</x:f>
        <x:v>48.29010618706896</x:v>
      </x:c>
      <x:c r="E866" s="10" t="n">
        <x:f>(ABS('03_Sensibilidades'!$C$18)*IF('03_Sensibilidades'!$C$18&lt;0,100-$K$141,$K$141)+ABS('03_Sensibilidades'!$C$19)*IF('03_Sensibilidades'!$C$19&lt;0,100-$K$140,$K$140)+ABS('03_Sensibilidades'!$C$20)*IF('03_Sensibilidades'!$C$20&lt;0,100-$K$148,$K$148)+ABS('03_Sensibilidades'!$C$21)*IF('03_Sensibilidades'!$C$21&lt;0,100-$K$151,$K$151))/(ABS('03_Sensibilidades'!$C$18)+ABS('03_Sensibilidades'!$C$19)+ABS('03_Sensibilidades'!$C$20)+ABS('03_Sensibilidades'!$C$21))</x:f>
        <x:v>47.02480251034483</x:v>
      </x:c>
      <x:c r="F866" s="10" t="n">
        <x:f>(1-'00_Arquitectura'!$B$95)*D866+'00_Arquitectura'!$B$95*E866</x:f>
        <x:v>47.847249900215516</x:v>
      </x:c>
      <x:c r="G866" s="10" t="n">
        <x:f>'02_Actores'!$I$9</x:f>
        <x:v>45</x:v>
      </x:c>
      <x:c r="H866" s="10" t="n">
        <x:f>IF(OR(AND(F866&lt;'00_Arquitectura'!$B$118,G866&lt;'00_Arquitectura'!$B$119),F866&lt;'00_Arquitectura'!$B$120),1,0)</x:f>
        <x:v>0</x:v>
      </x:c>
      <x:c r="I866" s="10" t="n">
        <x:f>IF($I$848=1,IF(OR(AND(F866&lt;'00_Arquitectura'!$B$121,G866&lt;'00_Arquitectura'!$B$122),F866&lt;'00_Arquitectura'!$B$123),1,0),IF(AND(H866=1,$H$848=1),1,0))</x:f>
        <x:v>0</x:v>
      </x:c>
      <x:c r="J866" s="10" t="n">
        <x:f>-I866*2*'02_Actores'!$E$9/10</x:f>
        <x:v>0</x:v>
      </x:c>
      <x:c r="K866" s="10" t="n">
        <x:f>$K$863</x:f>
        <x:v>47.95315963545455</x:v>
      </x:c>
      <x:c r="L866" s="10" t="str">
        <x:v>J programa offset para t+1; efecto sustituible y acotado, sin voto adicional.</x:v>
      </x:c>
    </x:row>
    <x:row r="867" ht="34" customHeight="1">
      <x:c r="A867" s="5" t="str">
        <x:v>S1_EMISION</x:v>
      </x:c>
      <x:c r="B867" s="5" t="n">
        <x:v>6</x:v>
      </x:c>
      <x:c r="C867" s="5" t="str">
        <x:v>pymes</x:v>
      </x:c>
      <x:c r="D867" s="5" t="n">
        <x:f>$F$849</x:f>
        <x:v>48.49527063534483</x:v>
      </x:c>
      <x:c r="E867" s="5" t="n">
        <x:f>(ABS('03_Sensibilidades'!$C$22)*IF('03_Sensibilidades'!$C$22&lt;0,100-$K$142,$K$142)+ABS('03_Sensibilidades'!$C$23)*IF('03_Sensibilidades'!$C$23&lt;0,100-$K$140,$K$140)+ABS('03_Sensibilidades'!$C$24)*IF('03_Sensibilidades'!$C$24&lt;0,100-$K$145,$K$145)+ABS('03_Sensibilidades'!$C$25)*IF('03_Sensibilidades'!$C$25&lt;0,100-$K$139,$K$139))/(ABS('03_Sensibilidades'!$C$22)+ABS('03_Sensibilidades'!$C$23)+ABS('03_Sensibilidades'!$C$24)+ABS('03_Sensibilidades'!$C$25))</x:f>
        <x:v>44.54517222068966</x:v>
      </x:c>
      <x:c r="F867" s="5" t="n">
        <x:f>(1-'00_Arquitectura'!$B$95)*D867+'00_Arquitectura'!$B$95*E867</x:f>
        <x:v>47.11273619021552</x:v>
      </x:c>
      <x:c r="G867" s="5" t="n">
        <x:f>'02_Actores'!$I$10</x:f>
        <x:v>45</x:v>
      </x:c>
      <x:c r="H867" s="5" t="n">
        <x:f>IF(OR(AND(F867&lt;'00_Arquitectura'!$B$118,G867&lt;'00_Arquitectura'!$B$119),F867&lt;'00_Arquitectura'!$B$120),1,0)</x:f>
        <x:v>0</x:v>
      </x:c>
      <x:c r="I867" s="5" t="n">
        <x:f>IF($I$849=1,IF(OR(AND(F867&lt;'00_Arquitectura'!$B$121,G867&lt;'00_Arquitectura'!$B$122),F867&lt;'00_Arquitectura'!$B$123),1,0),IF(AND(H867=1,$H$849=1),1,0))</x:f>
        <x:v>0</x:v>
      </x:c>
      <x:c r="J867" s="5" t="n">
        <x:f>-I867*2*'02_Actores'!$E$10/10</x:f>
        <x:v>0</x:v>
      </x:c>
      <x:c r="K867" s="5" t="n">
        <x:f>$K$863</x:f>
        <x:v>47.95315963545455</x:v>
      </x:c>
      <x:c r="L867" s="5" t="str">
        <x:v>J programa offset para t+1; efecto sustituible y acotado, sin voto adicional.</x:v>
      </x:c>
    </x:row>
    <x:row r="868" ht="34" customHeight="1">
      <x:c r="A868" s="10" t="str">
        <x:v>S1_EMISION</x:v>
      </x:c>
      <x:c r="B868" s="10" t="n">
        <x:v>6</x:v>
      </x:c>
      <x:c r="C868" s="10" t="str">
        <x:v>clase_media</x:v>
      </x:c>
      <x:c r="D868" s="10" t="n">
        <x:f>$F$850</x:f>
        <x:v>47.23434091666667</x:v>
      </x:c>
      <x:c r="E868" s="10" t="n">
        <x:f>(ABS('03_Sensibilidades'!$C$26)*IF('03_Sensibilidades'!$C$26&lt;0,100-$K$141,$K$141)+ABS('03_Sensibilidades'!$C$27)*IF('03_Sensibilidades'!$C$27&lt;0,100-$K$149,$K$149)+ABS('03_Sensibilidades'!$C$28)*IF('03_Sensibilidades'!$C$28&lt;0,100-$K$146,$K$146)+ABS('03_Sensibilidades'!$C$29)*IF('03_Sensibilidades'!$C$29&lt;0,100-$K$139,$K$139))/(ABS('03_Sensibilidades'!$C$26)+ABS('03_Sensibilidades'!$C$27)+ABS('03_Sensibilidades'!$C$28)+ABS('03_Sensibilidades'!$C$29))</x:f>
        <x:v>42.986994222222215</x:v>
      </x:c>
      <x:c r="F868" s="10" t="n">
        <x:f>(1-'00_Arquitectura'!$B$95)*D868+'00_Arquitectura'!$B$95*E868</x:f>
        <x:v>45.74776957361111</x:v>
      </x:c>
      <x:c r="G868" s="10" t="n">
        <x:f>'02_Actores'!$I$11</x:f>
        <x:v>45</x:v>
      </x:c>
      <x:c r="H868" s="10" t="n">
        <x:f>IF(OR(AND(F868&lt;'00_Arquitectura'!$B$118,G868&lt;'00_Arquitectura'!$B$119),F868&lt;'00_Arquitectura'!$B$120),1,0)</x:f>
        <x:v>0</x:v>
      </x:c>
      <x:c r="I868" s="10" t="n">
        <x:f>IF($I$850=1,IF(OR(AND(F868&lt;'00_Arquitectura'!$B$121,G868&lt;'00_Arquitectura'!$B$122),F868&lt;'00_Arquitectura'!$B$123),1,0),IF(AND(H868=1,$H$850=1),1,0))</x:f>
        <x:v>0</x:v>
      </x:c>
      <x:c r="J868" s="10" t="n">
        <x:f>0</x:f>
        <x:v>0</x:v>
      </x:c>
      <x:c r="K868" s="10" t="n">
        <x:f>$K$863</x:f>
        <x:v>47.95315963545455</x:v>
      </x:c>
      <x:c r="L868" s="10" t="str">
        <x:v>Canal directo sólo al índice social; sin bono de popularidad.</x:v>
      </x:c>
    </x:row>
    <x:row r="869" ht="34" customHeight="1">
      <x:c r="A869" s="5" t="str">
        <x:v>S1_EMISION</x:v>
      </x:c>
      <x:c r="B869" s="5" t="n">
        <x:v>6</x:v>
      </x:c>
      <x:c r="C869" s="5" t="str">
        <x:v>cooperativas</x:v>
      </x:c>
      <x:c r="D869" s="5" t="n">
        <x:f>$F$851</x:f>
        <x:v>48.12842309351852</x:v>
      </x:c>
      <x:c r="E869" s="5" t="n">
        <x:f>(ABS('03_Sensibilidades'!$C$30)*IF('03_Sensibilidades'!$C$30&lt;0,100-$K$142,$K$142)+ABS('03_Sensibilidades'!$C$31)*IF('03_Sensibilidades'!$C$31&lt;0,100-$K$140,$K$140)+ABS('03_Sensibilidades'!$C$32)*IF('03_Sensibilidades'!$C$32&lt;0,100-$K$148,$K$148)+ABS('03_Sensibilidades'!$C$33)*IF('03_Sensibilidades'!$C$33&lt;0,100-$K$151,$K$151))/(ABS('03_Sensibilidades'!$C$30)+ABS('03_Sensibilidades'!$C$31)+ABS('03_Sensibilidades'!$C$32)+ABS('03_Sensibilidades'!$C$33))</x:f>
        <x:v>47.64572660444445</x:v>
      </x:c>
      <x:c r="F869" s="5" t="n">
        <x:f>(1-'00_Arquitectura'!$B$95)*D869+'00_Arquitectura'!$B$95*E869</x:f>
        <x:v>47.959479322342595</x:v>
      </x:c>
      <x:c r="G869" s="5" t="n">
        <x:f>'02_Actores'!$I$12</x:f>
        <x:v>45</x:v>
      </x:c>
      <x:c r="H869" s="5" t="n">
        <x:f>IF(OR(AND(F869&lt;'00_Arquitectura'!$B$118,G869&lt;'00_Arquitectura'!$B$119),F869&lt;'00_Arquitectura'!$B$120),1,0)</x:f>
        <x:v>0</x:v>
      </x:c>
      <x:c r="I869" s="5" t="n">
        <x:f>IF($I$851=1,IF(OR(AND(F869&lt;'00_Arquitectura'!$B$121,G869&lt;'00_Arquitectura'!$B$122),F869&lt;'00_Arquitectura'!$B$123),1,0),IF(AND(H869=1,$H$851=1),1,0))</x:f>
        <x:v>0</x:v>
      </x:c>
      <x:c r="J869" s="5" t="n">
        <x:f>-I869*1.5*'02_Actores'!$E$12/10</x:f>
        <x:v>0</x:v>
      </x:c>
      <x:c r="K869" s="5" t="n">
        <x:f>$K$863</x:f>
        <x:v>47.95315963545455</x:v>
      </x:c>
      <x:c r="L869" s="5" t="str">
        <x:v>J programa offset para t+1; efecto sustituible y acotado, sin voto adicional.</x:v>
      </x:c>
    </x:row>
    <x:row r="870" ht="42" customHeight="1">
      <x:c r="A870" s="10" t="str">
        <x:v>S1_EMISION</x:v>
      </x:c>
      <x:c r="B870" s="10" t="n">
        <x:v>6</x:v>
      </x:c>
      <x:c r="C870" s="10" t="str">
        <x:v>estudiantes</x:v>
      </x:c>
      <x:c r="D870" s="10" t="n">
        <x:f>$F$852</x:f>
        <x:v>49.09312459499999</x:v>
      </x:c>
      <x:c r="E870" s="10" t="n">
        <x:f>(ABS('03_Sensibilidades'!$C$34)*IF('03_Sensibilidades'!$C$34&lt;0,100-$K$146,$K$146)+ABS('03_Sensibilidades'!$C$35)*IF('03_Sensibilidades'!$C$35&lt;0,100-$K$141,$K$141)+ABS('03_Sensibilidades'!$C$36)*IF('03_Sensibilidades'!$C$36&lt;0,100-$K$151,$K$151)+ABS('03_Sensibilidades'!$C$37)*IF('03_Sensibilidades'!$C$37&lt;0,100-$K$150,$K$150))/(ABS('03_Sensibilidades'!$C$34)+ABS('03_Sensibilidades'!$C$35)+ABS('03_Sensibilidades'!$C$36)+ABS('03_Sensibilidades'!$C$37))</x:f>
        <x:v>48.33209688</x:v>
      </x:c>
      <x:c r="F870" s="10" t="n">
        <x:f>(1-'00_Arquitectura'!$B$95)*D870+'00_Arquitectura'!$B$95*E870</x:f>
        <x:v>48.82676489475</x:v>
      </x:c>
      <x:c r="G870" s="10" t="n">
        <x:f>'02_Actores'!$I$13</x:f>
        <x:v>45</x:v>
      </x:c>
      <x:c r="H870" s="10" t="n">
        <x:f>IF(OR(AND(F870&lt;'00_Arquitectura'!$B$118,G870&lt;'00_Arquitectura'!$B$119),F870&lt;'00_Arquitectura'!$B$120),1,0)</x:f>
        <x:v>0</x:v>
      </x:c>
      <x:c r="I870" s="10" t="n">
        <x:f>IF($I$852=1,IF(OR(AND(F870&lt;'00_Arquitectura'!$B$121,G870&lt;'00_Arquitectura'!$B$122),F870&lt;'00_Arquitectura'!$B$123),1,0),IF(AND(H870=1,$H$852=1),1,0))</x:f>
        <x:v>0</x:v>
      </x:c>
      <x:c r="J870" s="10" t="n">
        <x:f>0</x:f>
        <x:v>0</x:v>
      </x:c>
      <x:c r="K870" s="10" t="n">
        <x:f>$K$863</x:f>
        <x:v>47.95315963545455</x:v>
      </x:c>
      <x:c r="L870" s="10" t="str">
        <x:v>Conflicto activo captura menor eficacia en políticas ejecutadas en t+1. Magnitud0 en J: no es un offset directo de indicador.</x:v>
      </x:c>
    </x:row>
    <x:row r="871" ht="34" customHeight="1">
      <x:c r="A871" s="5" t="str">
        <x:v>S1_EMISION</x:v>
      </x:c>
      <x:c r="B871" s="5" t="n">
        <x:v>6</x:v>
      </x:c>
      <x:c r="C871" s="5" t="str">
        <x:v>docentes</x:v>
      </x:c>
      <x:c r="D871" s="5" t="n">
        <x:f>$F$853</x:f>
        <x:v>48.703939425</x:v>
      </x:c>
      <x:c r="E871" s="5" t="n">
        <x:f>(ABS('03_Sensibilidades'!$C$38)*IF('03_Sensibilidades'!$C$38&lt;0,100-$K$146,$K$146)+ABS('03_Sensibilidades'!$C$39)*IF('03_Sensibilidades'!$C$39&lt;0,100-$K$141,$K$141)+ABS('03_Sensibilidades'!$C$40)*IF('03_Sensibilidades'!$C$40&lt;0,100-$K$151,$K$151))/(ABS('03_Sensibilidades'!$C$38)+ABS('03_Sensibilidades'!$C$39)+ABS('03_Sensibilidades'!$C$40))</x:f>
        <x:v>47.21497215652173</x:v>
      </x:c>
      <x:c r="F871" s="5" t="n">
        <x:f>(1-'00_Arquitectura'!$B$95)*D871+'00_Arquitectura'!$B$95*E871</x:f>
        <x:v>48.182800881032605</x:v>
      </x:c>
      <x:c r="G871" s="5" t="n">
        <x:f>'02_Actores'!$I$14</x:f>
        <x:v>45</x:v>
      </x:c>
      <x:c r="H871" s="5" t="n">
        <x:f>IF(OR(AND(F871&lt;'00_Arquitectura'!$B$118,G871&lt;'00_Arquitectura'!$B$119),F871&lt;'00_Arquitectura'!$B$120),1,0)</x:f>
        <x:v>0</x:v>
      </x:c>
      <x:c r="I871" s="5" t="n">
        <x:f>IF($I$853=1,IF(OR(AND(F871&lt;'00_Arquitectura'!$B$121,G871&lt;'00_Arquitectura'!$B$122),F871&lt;'00_Arquitectura'!$B$123),1,0),IF(AND(H871=1,$H$853=1),1,0))</x:f>
        <x:v>0</x:v>
      </x:c>
      <x:c r="J871" s="5" t="n">
        <x:f>-I871*1.5*'02_Actores'!$E$14/10</x:f>
        <x:v>0</x:v>
      </x:c>
      <x:c r="K871" s="5" t="n">
        <x:f>$K$863</x:f>
        <x:v>47.95315963545455</x:v>
      </x:c>
      <x:c r="L871" s="5" t="str">
        <x:v>J programa offset para t+1; efecto sustituible y acotado, sin voto adicional.</x:v>
      </x:c>
    </x:row>
    <x:row r="872" ht="34" customHeight="1">
      <x:c r="A872" s="10" t="str">
        <x:v>S1_EMISION</x:v>
      </x:c>
      <x:c r="B872" s="10" t="n">
        <x:v>6</x:v>
      </x:c>
      <x:c r="C872" s="10" t="str">
        <x:v>cientificos</x:v>
      </x:c>
      <x:c r="D872" s="10" t="n">
        <x:f>$F$854</x:f>
        <x:v>46.59090909090909</x:v>
      </x:c>
      <x:c r="E872" s="10" t="n">
        <x:f>(ABS('03_Sensibilidades'!$C$41)*IF('03_Sensibilidades'!$C$41&lt;0,100-$K$150,$K$150)+ABS('03_Sensibilidades'!$C$42)*IF('03_Sensibilidades'!$C$42&lt;0,100-$K$146,$K$146)+ABS('03_Sensibilidades'!$C$43)*IF('03_Sensibilidades'!$C$43&lt;0,100-$K$151,$K$151))/(ABS('03_Sensibilidades'!$C$41)+ABS('03_Sensibilidades'!$C$42)+ABS('03_Sensibilidades'!$C$43))</x:f>
        <x:v>46.59090909090909</x:v>
      </x:c>
      <x:c r="F872" s="10" t="n">
        <x:f>(1-'00_Arquitectura'!$B$95)*D872+'00_Arquitectura'!$B$95*E872</x:f>
        <x:v>46.59090909090909</x:v>
      </x:c>
      <x:c r="G872" s="10" t="n">
        <x:f>'02_Actores'!$I$15</x:f>
        <x:v>45</x:v>
      </x:c>
      <x:c r="H872" s="10" t="n">
        <x:f>IF(OR(AND(F872&lt;'00_Arquitectura'!$B$118,G872&lt;'00_Arquitectura'!$B$119),F872&lt;'00_Arquitectura'!$B$120),1,0)</x:f>
        <x:v>0</x:v>
      </x:c>
      <x:c r="I872" s="10" t="n">
        <x:f>IF($I$854=1,IF(OR(AND(F872&lt;'00_Arquitectura'!$B$121,G872&lt;'00_Arquitectura'!$B$122),F872&lt;'00_Arquitectura'!$B$123),1,0),IF(AND(H872=1,$H$854=1),1,0))</x:f>
        <x:v>0</x:v>
      </x:c>
      <x:c r="J872" s="10" t="n">
        <x:f>-I872*1.5*'02_Actores'!$E$15/10</x:f>
        <x:v>0</x:v>
      </x:c>
      <x:c r="K872" s="10" t="n">
        <x:f>$K$863</x:f>
        <x:v>47.95315963545455</x:v>
      </x:c>
      <x:c r="L872" s="10" t="str">
        <x:v>J programa offset para t+1; efecto sustituible y acotado, sin voto adicional.</x:v>
      </x:c>
    </x:row>
    <x:row r="873" ht="34" customHeight="1">
      <x:c r="A873" s="5" t="str">
        <x:v>S1_EMISION</x:v>
      </x:c>
      <x:c r="B873" s="5" t="n">
        <x:v>6</x:v>
      </x:c>
      <x:c r="C873" s="5" t="str">
        <x:v>organizaciones</x:v>
      </x:c>
      <x:c r="D873" s="5" t="n">
        <x:f>$F$855</x:f>
        <x:v>49.48230594464286</x:v>
      </x:c>
      <x:c r="E873" s="5" t="n">
        <x:f>(ABS('03_Sensibilidades'!$C$44)*IF('03_Sensibilidades'!$C$44&lt;0,100-$K$148,$K$148)+ABS('03_Sensibilidades'!$C$45)*IF('03_Sensibilidades'!$C$45&lt;0,100-$K$147,$K$147)+ABS('03_Sensibilidades'!$C$46)*IF('03_Sensibilidades'!$C$46&lt;0,100-$K$140,$K$140)+ABS('03_Sensibilidades'!$C$47)*IF('03_Sensibilidades'!$C$47&lt;0,100-$K$151,$K$151))/(ABS('03_Sensibilidades'!$C$44)+ABS('03_Sensibilidades'!$C$45)+ABS('03_Sensibilidades'!$C$46)+ABS('03_Sensibilidades'!$C$47))</x:f>
        <x:v>49.51462925714286</x:v>
      </x:c>
      <x:c r="F873" s="5" t="n">
        <x:f>(1-'00_Arquitectura'!$B$95)*D873+'00_Arquitectura'!$B$95*E873</x:f>
        <x:v>49.49361910401786</x:v>
      </x:c>
      <x:c r="G873" s="5" t="n">
        <x:f>'02_Actores'!$I$16</x:f>
        <x:v>45</x:v>
      </x:c>
      <x:c r="H873" s="5" t="n">
        <x:f>IF(OR(AND(F873&lt;'00_Arquitectura'!$B$118,G873&lt;'00_Arquitectura'!$B$119),F873&lt;'00_Arquitectura'!$B$120),1,0)</x:f>
        <x:v>0</x:v>
      </x:c>
      <x:c r="I873" s="5" t="n">
        <x:f>IF($I$855=1,IF(OR(AND(F873&lt;'00_Arquitectura'!$B$121,G873&lt;'00_Arquitectura'!$B$122),F873&lt;'00_Arquitectura'!$B$123),1,0),IF(AND(H873=1,$H$855=1),1,0))</x:f>
        <x:v>0</x:v>
      </x:c>
      <x:c r="J873" s="5" t="n">
        <x:f>-I873*1.5*'02_Actores'!$E$16/10</x:f>
        <x:v>0</x:v>
      </x:c>
      <x:c r="K873" s="5" t="n">
        <x:f>$K$863</x:f>
        <x:v>47.95315963545455</x:v>
      </x:c>
      <x:c r="L873" s="5" t="str">
        <x:v>J programa offset para t+1; efecto sustituible y acotado, sin voto adicional.</x:v>
      </x:c>
    </x:row>
    <x:row r="874" ht="42" customHeight="1">
      <x:c r="A874" s="10" t="str">
        <x:v>S1_EMISION</x:v>
      </x:c>
      <x:c r="B874" s="10" t="n">
        <x:v>6</x:v>
      </x:c>
      <x:c r="C874" s="10" t="str">
        <x:v>ddhh</x:v>
      </x:c>
      <x:c r="D874" s="10" t="n">
        <x:f>$F$856</x:f>
        <x:v>50.88235294117648</x:v>
      </x:c>
      <x:c r="E874" s="10" t="n">
        <x:f>(ABS('03_Sensibilidades'!$C$48)*IF('03_Sensibilidades'!$C$48&lt;0,100-$K$151,$K$151)+ABS('03_Sensibilidades'!$C$49)*IF('03_Sensibilidades'!$C$49&lt;0,100-$K$149,$K$149)+ABS('03_Sensibilidades'!$C$50)*IF('03_Sensibilidades'!$C$50&lt;0,100-$K$148,$K$148))/(ABS('03_Sensibilidades'!$C$48)+ABS('03_Sensibilidades'!$C$49)+ABS('03_Sensibilidades'!$C$50))</x:f>
        <x:v>50.88235294117647</x:v>
      </x:c>
      <x:c r="F874" s="10" t="n">
        <x:f>(1-'00_Arquitectura'!$B$95)*D874+'00_Arquitectura'!$B$95*E874</x:f>
        <x:v>50.88235294117648</x:v>
      </x:c>
      <x:c r="G874" s="10" t="n">
        <x:f>'02_Actores'!$I$17</x:f>
        <x:v>45</x:v>
      </x:c>
      <x:c r="H874" s="10" t="n">
        <x:f>IF(OR(AND(F874&lt;'00_Arquitectura'!$B$118,G874&lt;'00_Arquitectura'!$B$119),F874&lt;'00_Arquitectura'!$B$120),1,0)</x:f>
        <x:v>0</x:v>
      </x:c>
      <x:c r="I874" s="10" t="n">
        <x:f>IF($I$856=1,IF(OR(AND(F874&lt;'00_Arquitectura'!$B$121,G874&lt;'00_Arquitectura'!$B$122),F874&lt;'00_Arquitectura'!$B$123),1,0),IF(AND(H874=1,$H$856=1),1,0))</x:f>
        <x:v>0</x:v>
      </x:c>
      <x:c r="J874" s="10" t="n">
        <x:f>0</x:f>
        <x:v>0</x:v>
      </x:c>
      <x:c r="K874" s="10" t="n">
        <x:f>$K$863</x:f>
        <x:v>47.95315963545455</x:v>
      </x:c>
      <x:c r="L874" s="10" t="str">
        <x:v>Conflicto activo captura menor eficacia en políticas ejecutadas en t+1. Magnitud0 en J: no es un offset directo de indicador.</x:v>
      </x:c>
    </x:row>
    <x:row r="875" ht="42" customHeight="1">
      <x:c r="A875" s="5" t="str">
        <x:v>S1_EMISION</x:v>
      </x:c>
      <x:c r="B875" s="5" t="n">
        <x:v>6</x:v>
      </x:c>
      <x:c r="C875" s="5" t="str">
        <x:v>ambientalistas</x:v>
      </x:c>
      <x:c r="D875" s="5" t="n">
        <x:f>$F$857</x:f>
        <x:v>51.388888888888886</x:v>
      </x:c>
      <x:c r="E875" s="5" t="n">
        <x:f>(ABS('03_Sensibilidades'!$C$51)*IF('03_Sensibilidades'!$C$51&lt;0,100-$K$152,$K$152)+ABS('03_Sensibilidades'!$C$52)*IF('03_Sensibilidades'!$C$52&lt;0,100-$K$151,$K$151)+ABS('03_Sensibilidades'!$C$53)*IF('03_Sensibilidades'!$C$53&lt;0,100-$K$147,$K$147))/(ABS('03_Sensibilidades'!$C$51)+ABS('03_Sensibilidades'!$C$52)+ABS('03_Sensibilidades'!$C$53))</x:f>
        <x:v>51.388888888888886</x:v>
      </x:c>
      <x:c r="F875" s="5" t="n">
        <x:f>(1-'00_Arquitectura'!$B$95)*D875+'00_Arquitectura'!$B$95*E875</x:f>
        <x:v>51.388888888888886</x:v>
      </x:c>
      <x:c r="G875" s="5" t="n">
        <x:f>'02_Actores'!$I$18</x:f>
        <x:v>45</x:v>
      </x:c>
      <x:c r="H875" s="5" t="n">
        <x:f>IF(OR(AND(F875&lt;'00_Arquitectura'!$B$118,G875&lt;'00_Arquitectura'!$B$119),F875&lt;'00_Arquitectura'!$B$120),1,0)</x:f>
        <x:v>0</x:v>
      </x:c>
      <x:c r="I875" s="5" t="n">
        <x:f>IF($I$857=1,IF(OR(AND(F875&lt;'00_Arquitectura'!$B$121,G875&lt;'00_Arquitectura'!$B$122),F875&lt;'00_Arquitectura'!$B$123),1,0),IF(AND(H875=1,$H$857=1),1,0))</x:f>
        <x:v>0</x:v>
      </x:c>
      <x:c r="J875" s="5" t="n">
        <x:f>0</x:f>
        <x:v>0</x:v>
      </x:c>
      <x:c r="K875" s="5" t="n">
        <x:f>$K$863</x:f>
        <x:v>47.95315963545455</x:v>
      </x:c>
      <x:c r="L875" s="5" t="str">
        <x:v>Conflicto activo captura menor eficacia en políticas ejecutadas en t+1. Magnitud0 en J: no es un offset directo de indicador.</x:v>
      </x:c>
    </x:row>
    <x:row r="876" ht="34" customHeight="1">
      <x:c r="A876" s="10" t="str">
        <x:v>S1_EMISION</x:v>
      </x:c>
      <x:c r="B876" s="10" t="n">
        <x:v>6</x:v>
      </x:c>
      <x:c r="C876" s="10" t="str">
        <x:v>cultura</x:v>
      </x:c>
      <x:c r="D876" s="10" t="n">
        <x:f>$F$858</x:f>
        <x:v>50.64884815131579</x:v>
      </x:c>
      <x:c r="E876" s="10" t="n">
        <x:f>(ABS('03_Sensibilidades'!$C$54)*IF('03_Sensibilidades'!$C$54&lt;0,100-$K$151,$K$151)+ABS('03_Sensibilidades'!$C$55)*IF('03_Sensibilidades'!$C$55&lt;0,100-$K$146,$K$146)+ABS('03_Sensibilidades'!$C$56)*IF('03_Sensibilidades'!$C$56&lt;0,100-$K$141,$K$141))/(ABS('03_Sensibilidades'!$C$54)+ABS('03_Sensibilidades'!$C$55)+ABS('03_Sensibilidades'!$C$56))</x:f>
        <x:v>49.64749589473684</x:v>
      </x:c>
      <x:c r="F876" s="10" t="n">
        <x:f>(1-'00_Arquitectura'!$B$95)*D876+'00_Arquitectura'!$B$95*E876</x:f>
        <x:v>50.29837486151315</x:v>
      </x:c>
      <x:c r="G876" s="10" t="n">
        <x:f>'02_Actores'!$I$19</x:f>
        <x:v>45</x:v>
      </x:c>
      <x:c r="H876" s="10" t="n">
        <x:f>IF(OR(AND(F876&lt;'00_Arquitectura'!$B$118,G876&lt;'00_Arquitectura'!$B$119),F876&lt;'00_Arquitectura'!$B$120),1,0)</x:f>
        <x:v>0</x:v>
      </x:c>
      <x:c r="I876" s="10" t="n">
        <x:f>IF($I$858=1,IF(OR(AND(F876&lt;'00_Arquitectura'!$B$121,G876&lt;'00_Arquitectura'!$B$122),F876&lt;'00_Arquitectura'!$B$123),1,0),IF(AND(H876=1,$H$858=1),1,0))</x:f>
        <x:v>0</x:v>
      </x:c>
      <x:c r="J876" s="10" t="n">
        <x:f>0</x:f>
        <x:v>0</x:v>
      </x:c>
      <x:c r="K876" s="10" t="n">
        <x:f>$K$863</x:f>
        <x:v>47.95315963545455</x:v>
      </x:c>
      <x:c r="L876" s="10" t="str">
        <x:v>Conflicto activo encarece agenda del turno siguiente; sin castigo electoral adicional.</x:v>
      </x:c>
    </x:row>
    <x:row r="877" ht="34" customHeight="1">
      <x:c r="A877" s="5" t="str">
        <x:v>S1_EMISION</x:v>
      </x:c>
      <x:c r="B877" s="5" t="n">
        <x:v>6</x:v>
      </x:c>
      <x:c r="C877" s="5" t="str">
        <x:v>oficialismo</x:v>
      </x:c>
      <x:c r="D877" s="5" t="n">
        <x:f>$F$859</x:f>
        <x:v>52.758848895999996</x:v>
      </x:c>
      <x:c r="E877" s="5" t="n">
        <x:f>(ABS('03_Sensibilidades'!$C$57)*IF('03_Sensibilidades'!$C$57&lt;0,100-$K$151,$K$151)+ABS('03_Sensibilidades'!$C$58)*IF('03_Sensibilidades'!$C$58&lt;0,100-$K$140,$K$140)+ABS('03_Sensibilidades'!$C$59)*IF('03_Sensibilidades'!$C$59&lt;0,100-$K$143,$K$143)+ABS('03_Sensibilidades'!$C$60)*IF('03_Sensibilidades'!$C$60&lt;0,100-$K$148,$K$148))/(ABS('03_Sensibilidades'!$C$57)+ABS('03_Sensibilidades'!$C$58)+ABS('03_Sensibilidades'!$C$59)+ABS('03_Sensibilidades'!$C$60))</x:f>
        <x:v>52.822636032</x:v>
      </x:c>
      <x:c r="F877" s="5" t="n">
        <x:f>(1-'00_Arquitectura'!$B$95)*D877+'00_Arquitectura'!$B$95*E877</x:f>
        <x:v>52.7811743936</x:v>
      </x:c>
      <x:c r="G877" s="5" t="n">
        <x:f>'02_Actores'!$I$20</x:f>
        <x:v>60</x:v>
      </x:c>
      <x:c r="H877" s="5" t="n">
        <x:f>IF(OR(AND(F877&lt;'00_Arquitectura'!$B$118,G877&lt;'00_Arquitectura'!$B$119),F877&lt;'00_Arquitectura'!$B$120),1,0)</x:f>
        <x:v>0</x:v>
      </x:c>
      <x:c r="I877" s="5" t="n">
        <x:f>IF($I$859=1,IF(OR(AND(F877&lt;'00_Arquitectura'!$B$121,G877&lt;'00_Arquitectura'!$B$122),F877&lt;'00_Arquitectura'!$B$123),1,0),IF(AND(H877=1,$H$859=1),1,0))</x:f>
        <x:v>0</x:v>
      </x:c>
      <x:c r="J877" s="5" t="n">
        <x:f>0</x:f>
        <x:v>0</x:v>
      </x:c>
      <x:c r="K877" s="5" t="n">
        <x:f>$K$863</x:f>
        <x:v>47.95315963545455</x:v>
      </x:c>
      <x:c r="L877" s="5" t="str">
        <x:v>No aporta E_social; S y R alimentan disposición a leyes según07.</x:v>
      </x:c>
    </x:row>
    <x:row r="878" ht="34" customHeight="1">
      <x:c r="A878" s="10" t="str">
        <x:v>S1_EMISION</x:v>
      </x:c>
      <x:c r="B878" s="10" t="n">
        <x:v>6</x:v>
      </x:c>
      <x:c r="C878" s="10" t="str">
        <x:v>aliados</x:v>
      </x:c>
      <x:c r="D878" s="10" t="n">
        <x:f>$F$860</x:f>
        <x:v>53.252031242857136</x:v>
      </x:c>
      <x:c r="E878" s="10" t="n">
        <x:f>(ABS('03_Sensibilidades'!$C$61)*IF('03_Sensibilidades'!$C$61&lt;0,100-$K$151,$K$151)+ABS('03_Sensibilidades'!$C$62)*IF('03_Sensibilidades'!$C$62&lt;0,100-$K$143,$K$143)+ABS('03_Sensibilidades'!$C$63)*IF('03_Sensibilidades'!$C$63&lt;0,100-$K$145,$K$145))/(ABS('03_Sensibilidades'!$C$61)+ABS('03_Sensibilidades'!$C$62)+ABS('03_Sensibilidades'!$C$63))</x:f>
        <x:v>53.273583542857146</x:v>
      </x:c>
      <x:c r="F878" s="10" t="n">
        <x:f>(1-'00_Arquitectura'!$B$95)*D878+'00_Arquitectura'!$B$95*E878</x:f>
        <x:v>53.25957454785714</x:v>
      </x:c>
      <x:c r="G878" s="10" t="n">
        <x:f>'02_Actores'!$I$21</x:f>
        <x:v>45</x:v>
      </x:c>
      <x:c r="H878" s="10" t="n">
        <x:f>IF(OR(AND(F878&lt;'00_Arquitectura'!$B$118,G878&lt;'00_Arquitectura'!$B$119),F878&lt;'00_Arquitectura'!$B$120),1,0)</x:f>
        <x:v>0</x:v>
      </x:c>
      <x:c r="I878" s="10" t="n">
        <x:f>IF($I$860=1,IF(OR(AND(F878&lt;'00_Arquitectura'!$B$121,G878&lt;'00_Arquitectura'!$B$122),F878&lt;'00_Arquitectura'!$B$123),1,0),IF(AND(H878=1,$H$860=1),1,0))</x:f>
        <x:v>0</x:v>
      </x:c>
      <x:c r="J878" s="10" t="n">
        <x:f>0</x:f>
        <x:v>0</x:v>
      </x:c>
      <x:c r="K878" s="10" t="n">
        <x:f>$K$863</x:f>
        <x:v>47.95315963545455</x:v>
      </x:c>
      <x:c r="L878" s="10" t="str">
        <x:v>No aporta E_social; S y R alimentan disposición a leyes según07.</x:v>
      </x:c>
    </x:row>
    <x:row r="879" ht="34" customHeight="1">
      <x:c r="A879" s="5" t="str">
        <x:v>S1_EMISION</x:v>
      </x:c>
      <x:c r="B879" s="5" t="n">
        <x:v>6</x:v>
      </x:c>
      <x:c r="C879" s="5" t="str">
        <x:v>oposicion</x:v>
      </x:c>
      <x:c r="D879" s="5" t="n">
        <x:f>$F$861</x:f>
        <x:v>53.998256690000005</x:v>
      </x:c>
      <x:c r="E879" s="5" t="n">
        <x:f>(ABS('03_Sensibilidades'!$C$64)*IF('03_Sensibilidades'!$C$64&lt;0,100-$K$151,$K$151)+ABS('03_Sensibilidades'!$C$65)*IF('03_Sensibilidades'!$C$65&lt;0,100-$K$143,$K$143)+ABS('03_Sensibilidades'!$C$66)*IF('03_Sensibilidades'!$C$66&lt;0,100-$K$149,$K$149))/(ABS('03_Sensibilidades'!$C$64)+ABS('03_Sensibilidades'!$C$65)+ABS('03_Sensibilidades'!$C$66))</x:f>
        <x:v>54.01765376000001</x:v>
      </x:c>
      <x:c r="F879" s="5" t="n">
        <x:f>(1-'00_Arquitectura'!$B$95)*D879+'00_Arquitectura'!$B$95*E879</x:f>
        <x:v>54.0050456645</x:v>
      </x:c>
      <x:c r="G879" s="5" t="n">
        <x:f>'02_Actores'!$I$22</x:f>
        <x:v>30</x:v>
      </x:c>
      <x:c r="H879" s="5" t="n">
        <x:f>IF(OR(AND(F879&lt;'00_Arquitectura'!$B$118,G879&lt;'00_Arquitectura'!$B$119),F879&lt;'00_Arquitectura'!$B$120),1,0)</x:f>
        <x:v>0</x:v>
      </x:c>
      <x:c r="I879" s="5" t="n">
        <x:f>IF($I$861=1,IF(OR(AND(F879&lt;'00_Arquitectura'!$B$121,G879&lt;'00_Arquitectura'!$B$122),F879&lt;'00_Arquitectura'!$B$123),1,0),IF(AND(H879=1,$H$861=1),1,0))</x:f>
        <x:v>0</x:v>
      </x:c>
      <x:c r="J879" s="5" t="n">
        <x:f>0</x:f>
        <x:v>0</x:v>
      </x:c>
      <x:c r="K879" s="5" t="n">
        <x:f>$K$863</x:f>
        <x:v>47.95315963545455</x:v>
      </x:c>
      <x:c r="L879" s="5" t="str">
        <x:v>No aporta E_social; S y R alimentan disposición a leyes según07.</x:v>
      </x:c>
    </x:row>
    <x:row r="880" ht="42" customHeight="1">
      <x:c r="A880" s="10" t="str">
        <x:v>S1_EMISION</x:v>
      </x:c>
      <x:c r="B880" s="10" t="n">
        <x:v>6</x:v>
      </x:c>
      <x:c r="C880" s="10" t="str">
        <x:v>gobernadores</x:v>
      </x:c>
      <x:c r="D880" s="10" t="n">
        <x:f>$F$862</x:f>
        <x:v>50.171211510344826</x:v>
      </x:c>
      <x:c r="E880" s="10" t="n">
        <x:f>(ABS('03_Sensibilidades'!$C$67)*IF('03_Sensibilidades'!$C$67&lt;0,100-$K$145,$K$145)+ABS('03_Sensibilidades'!$C$68)*IF('03_Sensibilidades'!$C$68&lt;0,100-$K$147,$K$147)+ABS('03_Sensibilidades'!$C$69)*IF('03_Sensibilidades'!$C$69&lt;0,100-$K$146,$K$146)+ABS('03_Sensibilidades'!$C$70)*IF('03_Sensibilidades'!$C$70&lt;0,100-$K$143,$K$143))/(ABS('03_Sensibilidades'!$C$67)+ABS('03_Sensibilidades'!$C$68)+ABS('03_Sensibilidades'!$C$69)+ABS('03_Sensibilidades'!$C$70))</x:f>
        <x:v>50.18458880000001</x:v>
      </x:c>
      <x:c r="F880" s="10" t="n">
        <x:f>(1-'00_Arquitectura'!$B$95)*D880+'00_Arquitectura'!$B$95*E880</x:f>
        <x:v>50.17589356172414</x:v>
      </x:c>
      <x:c r="G880" s="10" t="n">
        <x:f>'02_Actores'!$I$23</x:f>
        <x:v>45</x:v>
      </x:c>
      <x:c r="H880" s="10" t="n">
        <x:f>IF(OR(AND(F880&lt;'00_Arquitectura'!$B$118,G880&lt;'00_Arquitectura'!$B$119),F880&lt;'00_Arquitectura'!$B$120),1,0)</x:f>
        <x:v>0</x:v>
      </x:c>
      <x:c r="I880" s="10" t="n">
        <x:f>IF($I$862=1,IF(OR(AND(F880&lt;'00_Arquitectura'!$B$121,G880&lt;'00_Arquitectura'!$B$122),F880&lt;'00_Arquitectura'!$B$123),1,0),IF(AND(H880=1,$H$862=1),1,0))</x:f>
        <x:v>0</x:v>
      </x:c>
      <x:c r="J880" s="10" t="n">
        <x:f>0</x:f>
        <x:v>0</x:v>
      </x:c>
      <x:c r="K880" s="10" t="n">
        <x:f>$K$863</x:f>
        <x:v>47.95315963545455</x:v>
      </x:c>
      <x:c r="L880" s="10" t="str">
        <x:v>Conflicto activo captura menor eficacia en políticas ejecutadas en t+1. Magnitud0 en J: no es un offset directo de indicador.</x:v>
      </x:c>
    </x:row>
    <x:row r="881" ht="34" customHeight="1">
      <x:c r="A881" s="5" t="str">
        <x:v>S1_EMISION</x:v>
      </x:c>
      <x:c r="B881" s="5" t="n">
        <x:v>7</x:v>
      </x:c>
      <x:c r="C881" s="5" t="str">
        <x:v>industria</x:v>
      </x:c>
      <x:c r="D881" s="5" t="n">
        <x:f>$F$863</x:f>
        <x:v>46.68914038955555</x:v>
      </x:c>
      <x:c r="E881" s="5" t="n">
        <x:f>(ABS('03_Sensibilidades'!$C$6)*IF('03_Sensibilidades'!$C$6&lt;0,100-$K$156,$K$156)+ABS('03_Sensibilidades'!$C$7)*IF('03_Sensibilidades'!$C$7&lt;0,100-$K$154,$K$154)+ABS('03_Sensibilidades'!$C$8)*IF('03_Sensibilidades'!$C$8&lt;0,100-$K$159,$K$159)+ABS('03_Sensibilidades'!$C$9)*IF('03_Sensibilidades'!$C$9&lt;0,100-$K$158,$K$158))/(ABS('03_Sensibilidades'!$C$6)+ABS('03_Sensibilidades'!$C$7)+ABS('03_Sensibilidades'!$C$8)+ABS('03_Sensibilidades'!$C$9))</x:f>
        <x:v>45.08502185031111</x:v>
      </x:c>
      <x:c r="F881" s="5" t="n">
        <x:f>(1-'00_Arquitectura'!$B$95)*D881+'00_Arquitectura'!$B$95*E881</x:f>
        <x:v>46.12769890081999</x:v>
      </x:c>
      <x:c r="G881" s="5" t="n">
        <x:f>'02_Actores'!$I$6</x:f>
        <x:v>45</x:v>
      </x:c>
      <x:c r="H881" s="5" t="n">
        <x:f>IF(OR(AND(F881&lt;'00_Arquitectura'!$B$118,G881&lt;'00_Arquitectura'!$B$119),F881&lt;'00_Arquitectura'!$B$120),1,0)</x:f>
        <x:v>0</x:v>
      </x:c>
      <x:c r="I881" s="5" t="n">
        <x:f>IF($I$863=1,IF(OR(AND(F881&lt;'00_Arquitectura'!$B$121,G881&lt;'00_Arquitectura'!$B$122),F881&lt;'00_Arquitectura'!$B$123),1,0),IF(AND(H881=1,$H$863=1),1,0))</x:f>
        <x:v>0</x:v>
      </x:c>
      <x:c r="J881" s="5" t="n">
        <x:f>-I881*2*'02_Actores'!$E$6/10</x:f>
        <x:v>0</x:v>
      </x:c>
      <x:c r="K881" s="5" t="n">
        <x:f>($F$881*'02_Actores'!$F$6+$F$882*'02_Actores'!$F$7+$F$883*'02_Actores'!$F$8+$F$884*'02_Actores'!$F$9+$F$885*'02_Actores'!$F$10+$F$886*'02_Actores'!$F$11+$F$887*'02_Actores'!$F$12+$F$888*'02_Actores'!$F$13+$F$889*'02_Actores'!$F$14+$F$890*'02_Actores'!$F$15+$F$891*'02_Actores'!$F$16+$F$892*'02_Actores'!$F$17+$F$893*'02_Actores'!$F$18+$F$894*'02_Actores'!$F$19)/('02_Actores'!$F$6+'02_Actores'!$F$7+'02_Actores'!$F$8+'02_Actores'!$F$9+'02_Actores'!$F$10+'02_Actores'!$F$11+'02_Actores'!$F$12+'02_Actores'!$F$13+'02_Actores'!$F$14+'02_Actores'!$F$15+'02_Actores'!$F$16+'02_Actores'!$F$17+'02_Actores'!$F$18+'02_Actores'!$F$19)</x:f>
        <x:v>47.23929263170365</x:v>
      </x:c>
      <x:c r="L881" s="5" t="str">
        <x:v>J programa offset para t+1; efecto sustituible y acotado, sin voto adicional.</x:v>
      </x:c>
    </x:row>
    <x:row r="882" ht="34" customHeight="1">
      <x:c r="A882" s="10" t="str">
        <x:v>S1_EMISION</x:v>
      </x:c>
      <x:c r="B882" s="10" t="n">
        <x:v>7</x:v>
      </x:c>
      <x:c r="C882" s="10" t="str">
        <x:v>agro</x:v>
      </x:c>
      <x:c r="D882" s="10" t="n">
        <x:f>$F$864</x:f>
        <x:v>45.69594517785714</x:v>
      </x:c>
      <x:c r="E882" s="10" t="n">
        <x:f>(ABS('03_Sensibilidades'!$C$10)*IF('03_Sensibilidades'!$C$10&lt;0,100-$K$158,$K$158)+ABS('03_Sensibilidades'!$C$11)*IF('03_Sensibilidades'!$C$11&lt;0,100-$K$159,$K$159)+ABS('03_Sensibilidades'!$C$12)*IF('03_Sensibilidades'!$C$12&lt;0,100-$K$166,$K$166)+ABS('03_Sensibilidades'!$C$13)*IF('03_Sensibilidades'!$C$13&lt;0,100-$K$156,$K$156))/(ABS('03_Sensibilidades'!$C$10)+ABS('03_Sensibilidades'!$C$11)+ABS('03_Sensibilidades'!$C$12)+ABS('03_Sensibilidades'!$C$13))</x:f>
        <x:v>45.09973958214285</x:v>
      </x:c>
      <x:c r="F882" s="10" t="n">
        <x:f>(1-'00_Arquitectura'!$B$95)*D882+'00_Arquitectura'!$B$95*E882</x:f>
        <x:v>45.487273219357135</x:v>
      </x:c>
      <x:c r="G882" s="10" t="n">
        <x:f>'02_Actores'!$I$7</x:f>
        <x:v>45</x:v>
      </x:c>
      <x:c r="H882" s="10" t="n">
        <x:f>IF(OR(AND(F882&lt;'00_Arquitectura'!$B$118,G882&lt;'00_Arquitectura'!$B$119),F882&lt;'00_Arquitectura'!$B$120),1,0)</x:f>
        <x:v>0</x:v>
      </x:c>
      <x:c r="I882" s="10" t="n">
        <x:f>IF($I$864=1,IF(OR(AND(F882&lt;'00_Arquitectura'!$B$121,G882&lt;'00_Arquitectura'!$B$122),F882&lt;'00_Arquitectura'!$B$123),1,0),IF(AND(H882=1,$H$864=1),1,0))</x:f>
        <x:v>0</x:v>
      </x:c>
      <x:c r="J882" s="10" t="n">
        <x:f>-I882*2*'02_Actores'!$E$7/10</x:f>
        <x:v>0</x:v>
      </x:c>
      <x:c r="K882" s="10" t="n">
        <x:f>$K$881</x:f>
        <x:v>47.23929263170365</x:v>
      </x:c>
      <x:c r="L882" s="10" t="str">
        <x:v>J programa offset para t+1; efecto sustituible y acotado, sin voto adicional.</x:v>
      </x:c>
    </x:row>
    <x:row r="883" ht="34" customHeight="1">
      <x:c r="A883" s="5" t="str">
        <x:v>S1_EMISION</x:v>
      </x:c>
      <x:c r="B883" s="5" t="n">
        <x:v>7</x:v>
      </x:c>
      <x:c r="C883" s="5" t="str">
        <x:v>financiero</x:v>
      </x:c>
      <x:c r="D883" s="5" t="n">
        <x:f>$F$865</x:f>
        <x:v>51.327091055931035</x:v>
      </x:c>
      <x:c r="E883" s="5" t="n">
        <x:f>(ABS('03_Sensibilidades'!$C$14)*IF('03_Sensibilidades'!$C$14&lt;0,100-$K$157,$K$157)+ABS('03_Sensibilidades'!$C$15)*IF('03_Sensibilidades'!$C$15&lt;0,100-$K$153,$K$153)+ABS('03_Sensibilidades'!$C$16)*IF('03_Sensibilidades'!$C$16&lt;0,100-$K$156,$K$156)+ABS('03_Sensibilidades'!$C$17)*IF('03_Sensibilidades'!$C$17&lt;0,100-$K$165,$K$165))/(ABS('03_Sensibilidades'!$C$14)+ABS('03_Sensibilidades'!$C$15)+ABS('03_Sensibilidades'!$C$16)+ABS('03_Sensibilidades'!$C$17))</x:f>
        <x:v>47.792834414482755</x:v>
      </x:c>
      <x:c r="F883" s="5" t="n">
        <x:f>(1-'00_Arquitectura'!$B$95)*D883+'00_Arquitectura'!$B$95*E883</x:f>
        <x:v>50.090101231424136</x:v>
      </x:c>
      <x:c r="G883" s="5" t="n">
        <x:f>'02_Actores'!$I$8</x:f>
        <x:v>45</x:v>
      </x:c>
      <x:c r="H883" s="5" t="n">
        <x:f>IF(OR(AND(F883&lt;'00_Arquitectura'!$B$118,G883&lt;'00_Arquitectura'!$B$119),F883&lt;'00_Arquitectura'!$B$120),1,0)</x:f>
        <x:v>0</x:v>
      </x:c>
      <x:c r="I883" s="5" t="n">
        <x:f>IF($I$865=1,IF(OR(AND(F883&lt;'00_Arquitectura'!$B$121,G883&lt;'00_Arquitectura'!$B$122),F883&lt;'00_Arquitectura'!$B$123),1,0),IF(AND(H883=1,$H$865=1),1,0))</x:f>
        <x:v>0</x:v>
      </x:c>
      <x:c r="J883" s="5" t="n">
        <x:f>-I883*2*'02_Actores'!$E$8/10</x:f>
        <x:v>0</x:v>
      </x:c>
      <x:c r="K883" s="5" t="n">
        <x:f>$K$881</x:f>
        <x:v>47.23929263170365</x:v>
      </x:c>
      <x:c r="L883" s="5" t="str">
        <x:v>J programa offset para t+1; efecto sustituible y acotado, sin voto adicional.</x:v>
      </x:c>
    </x:row>
    <x:row r="884" ht="34" customHeight="1">
      <x:c r="A884" s="10" t="str">
        <x:v>S1_EMISION</x:v>
      </x:c>
      <x:c r="B884" s="10" t="n">
        <x:v>7</x:v>
      </x:c>
      <x:c r="C884" s="10" t="str">
        <x:v>sindicatos</x:v>
      </x:c>
      <x:c r="D884" s="10" t="n">
        <x:f>$F$866</x:f>
        <x:v>47.847249900215516</x:v>
      </x:c>
      <x:c r="E884" s="10" t="n">
        <x:f>(ABS('03_Sensibilidades'!$C$18)*IF('03_Sensibilidades'!$C$18&lt;0,100-$K$155,$K$155)+ABS('03_Sensibilidades'!$C$19)*IF('03_Sensibilidades'!$C$19&lt;0,100-$K$154,$K$154)+ABS('03_Sensibilidades'!$C$20)*IF('03_Sensibilidades'!$C$20&lt;0,100-$K$162,$K$162)+ABS('03_Sensibilidades'!$C$21)*IF('03_Sensibilidades'!$C$21&lt;0,100-$K$165,$K$165))/(ABS('03_Sensibilidades'!$C$18)+ABS('03_Sensibilidades'!$C$19)+ABS('03_Sensibilidades'!$C$20)+ABS('03_Sensibilidades'!$C$21))</x:f>
        <x:v>44.89901960562758</x:v>
      </x:c>
      <x:c r="F884" s="10" t="n">
        <x:f>(1-'00_Arquitectura'!$B$95)*D884+'00_Arquitectura'!$B$95*E884</x:f>
        <x:v>46.81536929710974</x:v>
      </x:c>
      <x:c r="G884" s="10" t="n">
        <x:f>'02_Actores'!$I$9</x:f>
        <x:v>45</x:v>
      </x:c>
      <x:c r="H884" s="10" t="n">
        <x:f>IF(OR(AND(F884&lt;'00_Arquitectura'!$B$118,G884&lt;'00_Arquitectura'!$B$119),F884&lt;'00_Arquitectura'!$B$120),1,0)</x:f>
        <x:v>0</x:v>
      </x:c>
      <x:c r="I884" s="10" t="n">
        <x:f>IF($I$866=1,IF(OR(AND(F884&lt;'00_Arquitectura'!$B$121,G884&lt;'00_Arquitectura'!$B$122),F884&lt;'00_Arquitectura'!$B$123),1,0),IF(AND(H884=1,$H$866=1),1,0))</x:f>
        <x:v>0</x:v>
      </x:c>
      <x:c r="J884" s="10" t="n">
        <x:f>-I884*2*'02_Actores'!$E$9/10</x:f>
        <x:v>0</x:v>
      </x:c>
      <x:c r="K884" s="10" t="n">
        <x:f>$K$881</x:f>
        <x:v>47.23929263170365</x:v>
      </x:c>
      <x:c r="L884" s="10" t="str">
        <x:v>J programa offset para t+1; efecto sustituible y acotado, sin voto adicional.</x:v>
      </x:c>
    </x:row>
    <x:row r="885" ht="34" customHeight="1">
      <x:c r="A885" s="5" t="str">
        <x:v>S1_EMISION</x:v>
      </x:c>
      <x:c r="B885" s="5" t="n">
        <x:v>7</x:v>
      </x:c>
      <x:c r="C885" s="5" t="str">
        <x:v>pymes</x:v>
      </x:c>
      <x:c r="D885" s="5" t="n">
        <x:f>$F$867</x:f>
        <x:v>47.11273619021552</x:v>
      </x:c>
      <x:c r="E885" s="5" t="n">
        <x:f>(ABS('03_Sensibilidades'!$C$22)*IF('03_Sensibilidades'!$C$22&lt;0,100-$K$156,$K$156)+ABS('03_Sensibilidades'!$C$23)*IF('03_Sensibilidades'!$C$23&lt;0,100-$K$154,$K$154)+ABS('03_Sensibilidades'!$C$24)*IF('03_Sensibilidades'!$C$24&lt;0,100-$K$159,$K$159)+ABS('03_Sensibilidades'!$C$25)*IF('03_Sensibilidades'!$C$25&lt;0,100-$K$153,$K$153))/(ABS('03_Sensibilidades'!$C$22)+ABS('03_Sensibilidades'!$C$23)+ABS('03_Sensibilidades'!$C$24)+ABS('03_Sensibilidades'!$C$25))</x:f>
        <x:v>43.605709667696544</x:v>
      </x:c>
      <x:c r="F885" s="5" t="n">
        <x:f>(1-'00_Arquitectura'!$B$95)*D885+'00_Arquitectura'!$B$95*E885</x:f>
        <x:v>45.885276907333875</x:v>
      </x:c>
      <x:c r="G885" s="5" t="n">
        <x:f>'02_Actores'!$I$10</x:f>
        <x:v>45</x:v>
      </x:c>
      <x:c r="H885" s="5" t="n">
        <x:f>IF(OR(AND(F885&lt;'00_Arquitectura'!$B$118,G885&lt;'00_Arquitectura'!$B$119),F885&lt;'00_Arquitectura'!$B$120),1,0)</x:f>
        <x:v>0</x:v>
      </x:c>
      <x:c r="I885" s="5" t="n">
        <x:f>IF($I$867=1,IF(OR(AND(F885&lt;'00_Arquitectura'!$B$121,G885&lt;'00_Arquitectura'!$B$122),F885&lt;'00_Arquitectura'!$B$123),1,0),IF(AND(H885=1,$H$867=1),1,0))</x:f>
        <x:v>0</x:v>
      </x:c>
      <x:c r="J885" s="5" t="n">
        <x:f>-I885*2*'02_Actores'!$E$10/10</x:f>
        <x:v>0</x:v>
      </x:c>
      <x:c r="K885" s="5" t="n">
        <x:f>$K$881</x:f>
        <x:v>47.23929263170365</x:v>
      </x:c>
      <x:c r="L885" s="5" t="str">
        <x:v>J programa offset para t+1; efecto sustituible y acotado, sin voto adicional.</x:v>
      </x:c>
    </x:row>
    <x:row r="886" ht="34" customHeight="1">
      <x:c r="A886" s="10" t="str">
        <x:v>S1_EMISION</x:v>
      </x:c>
      <x:c r="B886" s="10" t="n">
        <x:v>7</x:v>
      </x:c>
      <x:c r="C886" s="10" t="str">
        <x:v>clase_media</x:v>
      </x:c>
      <x:c r="D886" s="10" t="n">
        <x:f>$F$868</x:f>
        <x:v>45.74776957361111</x:v>
      </x:c>
      <x:c r="E886" s="10" t="n">
        <x:f>(ABS('03_Sensibilidades'!$C$26)*IF('03_Sensibilidades'!$C$26&lt;0,100-$K$155,$K$155)+ABS('03_Sensibilidades'!$C$27)*IF('03_Sensibilidades'!$C$27&lt;0,100-$K$163,$K$163)+ABS('03_Sensibilidades'!$C$28)*IF('03_Sensibilidades'!$C$28&lt;0,100-$K$160,$K$160)+ABS('03_Sensibilidades'!$C$29)*IF('03_Sensibilidades'!$C$29&lt;0,100-$K$153,$K$153))/(ABS('03_Sensibilidades'!$C$26)+ABS('03_Sensibilidades'!$C$27)+ABS('03_Sensibilidades'!$C$28)+ABS('03_Sensibilidades'!$C$29))</x:f>
        <x:v>41.80205573333333</x:v>
      </x:c>
      <x:c r="F886" s="10" t="n">
        <x:f>(1-'00_Arquitectura'!$B$95)*D886+'00_Arquitectura'!$B$95*E886</x:f>
        <x:v>44.36676972951389</x:v>
      </x:c>
      <x:c r="G886" s="10" t="n">
        <x:f>'02_Actores'!$I$11</x:f>
        <x:v>45</x:v>
      </x:c>
      <x:c r="H886" s="10" t="n">
        <x:f>IF(OR(AND(F886&lt;'00_Arquitectura'!$B$118,G886&lt;'00_Arquitectura'!$B$119),F886&lt;'00_Arquitectura'!$B$120),1,0)</x:f>
        <x:v>0</x:v>
      </x:c>
      <x:c r="I886" s="10" t="n">
        <x:f>IF($I$868=1,IF(OR(AND(F886&lt;'00_Arquitectura'!$B$121,G886&lt;'00_Arquitectura'!$B$122),F886&lt;'00_Arquitectura'!$B$123),1,0),IF(AND(H886=1,$H$868=1),1,0))</x:f>
        <x:v>0</x:v>
      </x:c>
      <x:c r="J886" s="10" t="n">
        <x:f>0</x:f>
        <x:v>0</x:v>
      </x:c>
      <x:c r="K886" s="10" t="n">
        <x:f>$K$881</x:f>
        <x:v>47.23929263170365</x:v>
      </x:c>
      <x:c r="L886" s="10" t="str">
        <x:v>Canal directo sólo al índice social; sin bono de popularidad.</x:v>
      </x:c>
    </x:row>
    <x:row r="887" ht="34" customHeight="1">
      <x:c r="A887" s="5" t="str">
        <x:v>S1_EMISION</x:v>
      </x:c>
      <x:c r="B887" s="5" t="n">
        <x:v>7</x:v>
      </x:c>
      <x:c r="C887" s="5" t="str">
        <x:v>cooperativas</x:v>
      </x:c>
      <x:c r="D887" s="5" t="n">
        <x:f>$F$869</x:f>
        <x:v>47.959479322342595</x:v>
      </x:c>
      <x:c r="E887" s="5" t="n">
        <x:f>(ABS('03_Sensibilidades'!$C$30)*IF('03_Sensibilidades'!$C$30&lt;0,100-$K$156,$K$156)+ABS('03_Sensibilidades'!$C$31)*IF('03_Sensibilidades'!$C$31&lt;0,100-$K$154,$K$154)+ABS('03_Sensibilidades'!$C$32)*IF('03_Sensibilidades'!$C$32&lt;0,100-$K$162,$K$162)+ABS('03_Sensibilidades'!$C$33)*IF('03_Sensibilidades'!$C$33&lt;0,100-$K$165,$K$165))/(ABS('03_Sensibilidades'!$C$30)+ABS('03_Sensibilidades'!$C$31)+ABS('03_Sensibilidades'!$C$32)+ABS('03_Sensibilidades'!$C$33))</x:f>
        <x:v>46.555875600503704</x:v>
      </x:c>
      <x:c r="F887" s="5" t="n">
        <x:f>(1-'00_Arquitectura'!$B$95)*D887+'00_Arquitectura'!$B$95*E887</x:f>
        <x:v>47.46821801969898</x:v>
      </x:c>
      <x:c r="G887" s="5" t="n">
        <x:f>'02_Actores'!$I$12</x:f>
        <x:v>45</x:v>
      </x:c>
      <x:c r="H887" s="5" t="n">
        <x:f>IF(OR(AND(F887&lt;'00_Arquitectura'!$B$118,G887&lt;'00_Arquitectura'!$B$119),F887&lt;'00_Arquitectura'!$B$120),1,0)</x:f>
        <x:v>0</x:v>
      </x:c>
      <x:c r="I887" s="5" t="n">
        <x:f>IF($I$869=1,IF(OR(AND(F887&lt;'00_Arquitectura'!$B$121,G887&lt;'00_Arquitectura'!$B$122),F887&lt;'00_Arquitectura'!$B$123),1,0),IF(AND(H887=1,$H$869=1),1,0))</x:f>
        <x:v>0</x:v>
      </x:c>
      <x:c r="J887" s="5" t="n">
        <x:f>-I887*1.5*'02_Actores'!$E$12/10</x:f>
        <x:v>0</x:v>
      </x:c>
      <x:c r="K887" s="5" t="n">
        <x:f>$K$881</x:f>
        <x:v>47.23929263170365</x:v>
      </x:c>
      <x:c r="L887" s="5" t="str">
        <x:v>J programa offset para t+1; efecto sustituible y acotado, sin voto adicional.</x:v>
      </x:c>
    </x:row>
    <x:row r="888" ht="42" customHeight="1">
      <x:c r="A888" s="10" t="str">
        <x:v>S1_EMISION</x:v>
      </x:c>
      <x:c r="B888" s="10" t="n">
        <x:v>7</x:v>
      </x:c>
      <x:c r="C888" s="10" t="str">
        <x:v>estudiantes</x:v>
      </x:c>
      <x:c r="D888" s="10" t="n">
        <x:f>$F$870</x:f>
        <x:v>48.82676489475</x:v>
      </x:c>
      <x:c r="E888" s="10" t="n">
        <x:f>(ABS('03_Sensibilidades'!$C$34)*IF('03_Sensibilidades'!$C$34&lt;0,100-$K$160,$K$160)+ABS('03_Sensibilidades'!$C$35)*IF('03_Sensibilidades'!$C$35&lt;0,100-$K$155,$K$155)+ABS('03_Sensibilidades'!$C$36)*IF('03_Sensibilidades'!$C$36&lt;0,100-$K$165,$K$165)+ABS('03_Sensibilidades'!$C$37)*IF('03_Sensibilidades'!$C$37&lt;0,100-$K$164,$K$164))/(ABS('03_Sensibilidades'!$C$34)+ABS('03_Sensibilidades'!$C$35)+ABS('03_Sensibilidades'!$C$36)+ABS('03_Sensibilidades'!$C$37))</x:f>
        <x:v>47.490318096</x:v>
      </x:c>
      <x:c r="F888" s="10" t="n">
        <x:f>(1-'00_Arquitectura'!$B$95)*D888+'00_Arquitectura'!$B$95*E888</x:f>
        <x:v>48.3590085151875</x:v>
      </x:c>
      <x:c r="G888" s="10" t="n">
        <x:f>'02_Actores'!$I$13</x:f>
        <x:v>45</x:v>
      </x:c>
      <x:c r="H888" s="10" t="n">
        <x:f>IF(OR(AND(F888&lt;'00_Arquitectura'!$B$118,G888&lt;'00_Arquitectura'!$B$119),F888&lt;'00_Arquitectura'!$B$120),1,0)</x:f>
        <x:v>0</x:v>
      </x:c>
      <x:c r="I888" s="10" t="n">
        <x:f>IF($I$870=1,IF(OR(AND(F888&lt;'00_Arquitectura'!$B$121,G888&lt;'00_Arquitectura'!$B$122),F888&lt;'00_Arquitectura'!$B$123),1,0),IF(AND(H888=1,$H$870=1),1,0))</x:f>
        <x:v>0</x:v>
      </x:c>
      <x:c r="J888" s="10" t="n">
        <x:f>0</x:f>
        <x:v>0</x:v>
      </x:c>
      <x:c r="K888" s="10" t="n">
        <x:f>$K$881</x:f>
        <x:v>47.23929263170365</x:v>
      </x:c>
      <x:c r="L888" s="10" t="str">
        <x:v>Conflicto activo captura menor eficacia en políticas ejecutadas en t+1. Magnitud0 en J: no es un offset directo de indicador.</x:v>
      </x:c>
    </x:row>
    <x:row r="889" ht="34" customHeight="1">
      <x:c r="A889" s="5" t="str">
        <x:v>S1_EMISION</x:v>
      </x:c>
      <x:c r="B889" s="5" t="n">
        <x:v>7</x:v>
      </x:c>
      <x:c r="C889" s="5" t="str">
        <x:v>docentes</x:v>
      </x:c>
      <x:c r="D889" s="5" t="n">
        <x:f>$F$871</x:f>
        <x:v>48.182800881032605</x:v>
      </x:c>
      <x:c r="E889" s="5" t="n">
        <x:f>(ABS('03_Sensibilidades'!$C$38)*IF('03_Sensibilidades'!$C$38&lt;0,100-$K$160,$K$160)+ABS('03_Sensibilidades'!$C$39)*IF('03_Sensibilidades'!$C$39&lt;0,100-$K$155,$K$155)+ABS('03_Sensibilidades'!$C$40)*IF('03_Sensibilidades'!$C$40&lt;0,100-$K$165,$K$165))/(ABS('03_Sensibilidades'!$C$38)+ABS('03_Sensibilidades'!$C$39)+ABS('03_Sensibilidades'!$C$40))</x:f>
        <x:v>45.568013666086955</x:v>
      </x:c>
      <x:c r="F889" s="5" t="n">
        <x:f>(1-'00_Arquitectura'!$B$95)*D889+'00_Arquitectura'!$B$95*E889</x:f>
        <x:v>47.26762535580163</x:v>
      </x:c>
      <x:c r="G889" s="5" t="n">
        <x:f>'02_Actores'!$I$14</x:f>
        <x:v>45</x:v>
      </x:c>
      <x:c r="H889" s="5" t="n">
        <x:f>IF(OR(AND(F889&lt;'00_Arquitectura'!$B$118,G889&lt;'00_Arquitectura'!$B$119),F889&lt;'00_Arquitectura'!$B$120),1,0)</x:f>
        <x:v>0</x:v>
      </x:c>
      <x:c r="I889" s="5" t="n">
        <x:f>IF($I$871=1,IF(OR(AND(F889&lt;'00_Arquitectura'!$B$121,G889&lt;'00_Arquitectura'!$B$122),F889&lt;'00_Arquitectura'!$B$123),1,0),IF(AND(H889=1,$H$871=1),1,0))</x:f>
        <x:v>0</x:v>
      </x:c>
      <x:c r="J889" s="5" t="n">
        <x:f>-I889*1.5*'02_Actores'!$E$14/10</x:f>
        <x:v>0</x:v>
      </x:c>
      <x:c r="K889" s="5" t="n">
        <x:f>$K$881</x:f>
        <x:v>47.23929263170365</x:v>
      </x:c>
      <x:c r="L889" s="5" t="str">
        <x:v>J programa offset para t+1; efecto sustituible y acotado, sin voto adicional.</x:v>
      </x:c>
    </x:row>
    <x:row r="890" ht="34" customHeight="1">
      <x:c r="A890" s="10" t="str">
        <x:v>S1_EMISION</x:v>
      </x:c>
      <x:c r="B890" s="10" t="n">
        <x:v>7</x:v>
      </x:c>
      <x:c r="C890" s="10" t="str">
        <x:v>cientificos</x:v>
      </x:c>
      <x:c r="D890" s="10" t="n">
        <x:f>$F$872</x:f>
        <x:v>46.59090909090909</x:v>
      </x:c>
      <x:c r="E890" s="10" t="n">
        <x:f>(ABS('03_Sensibilidades'!$C$41)*IF('03_Sensibilidades'!$C$41&lt;0,100-$K$164,$K$164)+ABS('03_Sensibilidades'!$C$42)*IF('03_Sensibilidades'!$C$42&lt;0,100-$K$160,$K$160)+ABS('03_Sensibilidades'!$C$43)*IF('03_Sensibilidades'!$C$43&lt;0,100-$K$165,$K$165))/(ABS('03_Sensibilidades'!$C$41)+ABS('03_Sensibilidades'!$C$42)+ABS('03_Sensibilidades'!$C$43))</x:f>
        <x:v>46.59090909090909</x:v>
      </x:c>
      <x:c r="F890" s="10" t="n">
        <x:f>(1-'00_Arquitectura'!$B$95)*D890+'00_Arquitectura'!$B$95*E890</x:f>
        <x:v>46.59090909090909</x:v>
      </x:c>
      <x:c r="G890" s="10" t="n">
        <x:f>'02_Actores'!$I$15</x:f>
        <x:v>45</x:v>
      </x:c>
      <x:c r="H890" s="10" t="n">
        <x:f>IF(OR(AND(F890&lt;'00_Arquitectura'!$B$118,G890&lt;'00_Arquitectura'!$B$119),F890&lt;'00_Arquitectura'!$B$120),1,0)</x:f>
        <x:v>0</x:v>
      </x:c>
      <x:c r="I890" s="10" t="n">
        <x:f>IF($I$872=1,IF(OR(AND(F890&lt;'00_Arquitectura'!$B$121,G890&lt;'00_Arquitectura'!$B$122),F890&lt;'00_Arquitectura'!$B$123),1,0),IF(AND(H890=1,$H$872=1),1,0))</x:f>
        <x:v>0</x:v>
      </x:c>
      <x:c r="J890" s="10" t="n">
        <x:f>-I890*1.5*'02_Actores'!$E$15/10</x:f>
        <x:v>0</x:v>
      </x:c>
      <x:c r="K890" s="10" t="n">
        <x:f>$K$881</x:f>
        <x:v>47.23929263170365</x:v>
      </x:c>
      <x:c r="L890" s="10" t="str">
        <x:v>J programa offset para t+1; efecto sustituible y acotado, sin voto adicional.</x:v>
      </x:c>
    </x:row>
    <x:row r="891" ht="34" customHeight="1">
      <x:c r="A891" s="5" t="str">
        <x:v>S1_EMISION</x:v>
      </x:c>
      <x:c r="B891" s="5" t="n">
        <x:v>7</x:v>
      </x:c>
      <x:c r="C891" s="5" t="str">
        <x:v>organizaciones</x:v>
      </x:c>
      <x:c r="D891" s="5" t="n">
        <x:f>$F$873</x:f>
        <x:v>49.49361910401786</x:v>
      </x:c>
      <x:c r="E891" s="5" t="n">
        <x:f>(ABS('03_Sensibilidades'!$C$44)*IF('03_Sensibilidades'!$C$44&lt;0,100-$K$162,$K$162)+ABS('03_Sensibilidades'!$C$45)*IF('03_Sensibilidades'!$C$45&lt;0,100-$K$161,$K$161)+ABS('03_Sensibilidades'!$C$46)*IF('03_Sensibilidades'!$C$46&lt;0,100-$K$154,$K$154)+ABS('03_Sensibilidades'!$C$47)*IF('03_Sensibilidades'!$C$47&lt;0,100-$K$165,$K$165))/(ABS('03_Sensibilidades'!$C$44)+ABS('03_Sensibilidades'!$C$45)+ABS('03_Sensibilidades'!$C$46)+ABS('03_Sensibilidades'!$C$47))</x:f>
        <x:v>49.048944375314285</x:v>
      </x:c>
      <x:c r="F891" s="5" t="n">
        <x:f>(1-'00_Arquitectura'!$B$95)*D891+'00_Arquitectura'!$B$95*E891</x:f>
        <x:v>49.337982948971614</x:v>
      </x:c>
      <x:c r="G891" s="5" t="n">
        <x:f>'02_Actores'!$I$16</x:f>
        <x:v>45</x:v>
      </x:c>
      <x:c r="H891" s="5" t="n">
        <x:f>IF(OR(AND(F891&lt;'00_Arquitectura'!$B$118,G891&lt;'00_Arquitectura'!$B$119),F891&lt;'00_Arquitectura'!$B$120),1,0)</x:f>
        <x:v>0</x:v>
      </x:c>
      <x:c r="I891" s="5" t="n">
        <x:f>IF($I$873=1,IF(OR(AND(F891&lt;'00_Arquitectura'!$B$121,G891&lt;'00_Arquitectura'!$B$122),F891&lt;'00_Arquitectura'!$B$123),1,0),IF(AND(H891=1,$H$873=1),1,0))</x:f>
        <x:v>0</x:v>
      </x:c>
      <x:c r="J891" s="5" t="n">
        <x:f>-I891*1.5*'02_Actores'!$E$16/10</x:f>
        <x:v>0</x:v>
      </x:c>
      <x:c r="K891" s="5" t="n">
        <x:f>$K$881</x:f>
        <x:v>47.23929263170365</x:v>
      </x:c>
      <x:c r="L891" s="5" t="str">
        <x:v>J programa offset para t+1; efecto sustituible y acotado, sin voto adicional.</x:v>
      </x:c>
    </x:row>
    <x:row r="892" ht="42" customHeight="1">
      <x:c r="A892" s="10" t="str">
        <x:v>S1_EMISION</x:v>
      </x:c>
      <x:c r="B892" s="10" t="n">
        <x:v>7</x:v>
      </x:c>
      <x:c r="C892" s="10" t="str">
        <x:v>ddhh</x:v>
      </x:c>
      <x:c r="D892" s="10" t="n">
        <x:f>$F$874</x:f>
        <x:v>50.88235294117648</x:v>
      </x:c>
      <x:c r="E892" s="10" t="n">
        <x:f>(ABS('03_Sensibilidades'!$C$48)*IF('03_Sensibilidades'!$C$48&lt;0,100-$K$165,$K$165)+ABS('03_Sensibilidades'!$C$49)*IF('03_Sensibilidades'!$C$49&lt;0,100-$K$163,$K$163)+ABS('03_Sensibilidades'!$C$50)*IF('03_Sensibilidades'!$C$50&lt;0,100-$K$162,$K$162))/(ABS('03_Sensibilidades'!$C$48)+ABS('03_Sensibilidades'!$C$49)+ABS('03_Sensibilidades'!$C$50))</x:f>
        <x:v>50.88235294117647</x:v>
      </x:c>
      <x:c r="F892" s="10" t="n">
        <x:f>(1-'00_Arquitectura'!$B$95)*D892+'00_Arquitectura'!$B$95*E892</x:f>
        <x:v>50.88235294117648</x:v>
      </x:c>
      <x:c r="G892" s="10" t="n">
        <x:f>'02_Actores'!$I$17</x:f>
        <x:v>45</x:v>
      </x:c>
      <x:c r="H892" s="10" t="n">
        <x:f>IF(OR(AND(F892&lt;'00_Arquitectura'!$B$118,G892&lt;'00_Arquitectura'!$B$119),F892&lt;'00_Arquitectura'!$B$120),1,0)</x:f>
        <x:v>0</x:v>
      </x:c>
      <x:c r="I892" s="10" t="n">
        <x:f>IF($I$874=1,IF(OR(AND(F892&lt;'00_Arquitectura'!$B$121,G892&lt;'00_Arquitectura'!$B$122),F892&lt;'00_Arquitectura'!$B$123),1,0),IF(AND(H892=1,$H$874=1),1,0))</x:f>
        <x:v>0</x:v>
      </x:c>
      <x:c r="J892" s="10" t="n">
        <x:f>0</x:f>
        <x:v>0</x:v>
      </x:c>
      <x:c r="K892" s="10" t="n">
        <x:f>$K$881</x:f>
        <x:v>47.23929263170365</x:v>
      </x:c>
      <x:c r="L892" s="10" t="str">
        <x:v>Conflicto activo captura menor eficacia en políticas ejecutadas en t+1. Magnitud0 en J: no es un offset directo de indicador.</x:v>
      </x:c>
    </x:row>
    <x:row r="893" ht="42" customHeight="1">
      <x:c r="A893" s="5" t="str">
        <x:v>S1_EMISION</x:v>
      </x:c>
      <x:c r="B893" s="5" t="n">
        <x:v>7</x:v>
      </x:c>
      <x:c r="C893" s="5" t="str">
        <x:v>ambientalistas</x:v>
      </x:c>
      <x:c r="D893" s="5" t="n">
        <x:f>$F$875</x:f>
        <x:v>51.388888888888886</x:v>
      </x:c>
      <x:c r="E893" s="5" t="n">
        <x:f>(ABS('03_Sensibilidades'!$C$51)*IF('03_Sensibilidades'!$C$51&lt;0,100-$K$166,$K$166)+ABS('03_Sensibilidades'!$C$52)*IF('03_Sensibilidades'!$C$52&lt;0,100-$K$165,$K$165)+ABS('03_Sensibilidades'!$C$53)*IF('03_Sensibilidades'!$C$53&lt;0,100-$K$161,$K$161))/(ABS('03_Sensibilidades'!$C$51)+ABS('03_Sensibilidades'!$C$52)+ABS('03_Sensibilidades'!$C$53))</x:f>
        <x:v>51.388888888888886</x:v>
      </x:c>
      <x:c r="F893" s="5" t="n">
        <x:f>(1-'00_Arquitectura'!$B$95)*D893+'00_Arquitectura'!$B$95*E893</x:f>
        <x:v>51.388888888888886</x:v>
      </x:c>
      <x:c r="G893" s="5" t="n">
        <x:f>'02_Actores'!$I$18</x:f>
        <x:v>45</x:v>
      </x:c>
      <x:c r="H893" s="5" t="n">
        <x:f>IF(OR(AND(F893&lt;'00_Arquitectura'!$B$118,G893&lt;'00_Arquitectura'!$B$119),F893&lt;'00_Arquitectura'!$B$120),1,0)</x:f>
        <x:v>0</x:v>
      </x:c>
      <x:c r="I893" s="5" t="n">
        <x:f>IF($I$875=1,IF(OR(AND(F893&lt;'00_Arquitectura'!$B$121,G893&lt;'00_Arquitectura'!$B$122),F893&lt;'00_Arquitectura'!$B$123),1,0),IF(AND(H893=1,$H$875=1),1,0))</x:f>
        <x:v>0</x:v>
      </x:c>
      <x:c r="J893" s="5" t="n">
        <x:f>0</x:f>
        <x:v>0</x:v>
      </x:c>
      <x:c r="K893" s="5" t="n">
        <x:f>$K$881</x:f>
        <x:v>47.23929263170365</x:v>
      </x:c>
      <x:c r="L893" s="5" t="str">
        <x:v>Conflicto activo captura menor eficacia en políticas ejecutadas en t+1. Magnitud0 en J: no es un offset directo de indicador.</x:v>
      </x:c>
    </x:row>
    <x:row r="894" ht="34" customHeight="1">
      <x:c r="A894" s="10" t="str">
        <x:v>S1_EMISION</x:v>
      </x:c>
      <x:c r="B894" s="10" t="n">
        <x:v>7</x:v>
      </x:c>
      <x:c r="C894" s="10" t="str">
        <x:v>cultura</x:v>
      </x:c>
      <x:c r="D894" s="10" t="n">
        <x:f>$F$876</x:f>
        <x:v>50.29837486151315</x:v>
      </x:c>
      <x:c r="E894" s="10" t="n">
        <x:f>(ABS('03_Sensibilidades'!$C$54)*IF('03_Sensibilidades'!$C$54&lt;0,100-$K$165,$K$165)+ABS('03_Sensibilidades'!$C$55)*IF('03_Sensibilidades'!$C$55&lt;0,100-$K$160,$K$160)+ABS('03_Sensibilidades'!$C$56)*IF('03_Sensibilidades'!$C$56&lt;0,100-$K$155,$K$155))/(ABS('03_Sensibilidades'!$C$54)+ABS('03_Sensibilidades'!$C$55)+ABS('03_Sensibilidades'!$C$56))</x:f>
        <x:v>48.539892231578946</x:v>
      </x:c>
      <x:c r="F894" s="10" t="n">
        <x:f>(1-'00_Arquitectura'!$B$95)*D894+'00_Arquitectura'!$B$95*E894</x:f>
        <x:v>49.68290594103618</x:v>
      </x:c>
      <x:c r="G894" s="10" t="n">
        <x:f>'02_Actores'!$I$19</x:f>
        <x:v>45</x:v>
      </x:c>
      <x:c r="H894" s="10" t="n">
        <x:f>IF(OR(AND(F894&lt;'00_Arquitectura'!$B$118,G894&lt;'00_Arquitectura'!$B$119),F894&lt;'00_Arquitectura'!$B$120),1,0)</x:f>
        <x:v>0</x:v>
      </x:c>
      <x:c r="I894" s="10" t="n">
        <x:f>IF($I$876=1,IF(OR(AND(F894&lt;'00_Arquitectura'!$B$121,G894&lt;'00_Arquitectura'!$B$122),F894&lt;'00_Arquitectura'!$B$123),1,0),IF(AND(H894=1,$H$876=1),1,0))</x:f>
        <x:v>0</x:v>
      </x:c>
      <x:c r="J894" s="10" t="n">
        <x:f>0</x:f>
        <x:v>0</x:v>
      </x:c>
      <x:c r="K894" s="10" t="n">
        <x:f>$K$881</x:f>
        <x:v>47.23929263170365</x:v>
      </x:c>
      <x:c r="L894" s="10" t="str">
        <x:v>Conflicto activo encarece agenda del turno siguiente; sin castigo electoral adicional.</x:v>
      </x:c>
    </x:row>
    <x:row r="895" ht="34" customHeight="1">
      <x:c r="A895" s="5" t="str">
        <x:v>S1_EMISION</x:v>
      </x:c>
      <x:c r="B895" s="5" t="n">
        <x:v>7</x:v>
      </x:c>
      <x:c r="C895" s="5" t="str">
        <x:v>oficialismo</x:v>
      </x:c>
      <x:c r="D895" s="5" t="n">
        <x:f>$F$877</x:f>
        <x:v>52.7811743936</x:v>
      </x:c>
      <x:c r="E895" s="5" t="n">
        <x:f>(ABS('03_Sensibilidades'!$C$57)*IF('03_Sensibilidades'!$C$57&lt;0,100-$K$165,$K$165)+ABS('03_Sensibilidades'!$C$58)*IF('03_Sensibilidades'!$C$58&lt;0,100-$K$154,$K$154)+ABS('03_Sensibilidades'!$C$59)*IF('03_Sensibilidades'!$C$59&lt;0,100-$K$157,$K$157)+ABS('03_Sensibilidades'!$C$60)*IF('03_Sensibilidades'!$C$60&lt;0,100-$K$162,$K$162))/(ABS('03_Sensibilidades'!$C$57)+ABS('03_Sensibilidades'!$C$58)+ABS('03_Sensibilidades'!$C$59)+ABS('03_Sensibilidades'!$C$60))</x:f>
        <x:v>52.124367220736005</x:v>
      </x:c>
      <x:c r="F895" s="5" t="n">
        <x:f>(1-'00_Arquitectura'!$B$95)*D895+'00_Arquitectura'!$B$95*E895</x:f>
        <x:v>52.551291883097605</x:v>
      </x:c>
      <x:c r="G895" s="5" t="n">
        <x:f>'02_Actores'!$I$20</x:f>
        <x:v>60</x:v>
      </x:c>
      <x:c r="H895" s="5" t="n">
        <x:f>IF(OR(AND(F895&lt;'00_Arquitectura'!$B$118,G895&lt;'00_Arquitectura'!$B$119),F895&lt;'00_Arquitectura'!$B$120),1,0)</x:f>
        <x:v>0</x:v>
      </x:c>
      <x:c r="I895" s="5" t="n">
        <x:f>IF($I$877=1,IF(OR(AND(F895&lt;'00_Arquitectura'!$B$121,G895&lt;'00_Arquitectura'!$B$122),F895&lt;'00_Arquitectura'!$B$123),1,0),IF(AND(H895=1,$H$877=1),1,0))</x:f>
        <x:v>0</x:v>
      </x:c>
      <x:c r="J895" s="5" t="n">
        <x:f>0</x:f>
        <x:v>0</x:v>
      </x:c>
      <x:c r="K895" s="5" t="n">
        <x:f>$K$881</x:f>
        <x:v>47.23929263170365</x:v>
      </x:c>
      <x:c r="L895" s="5" t="str">
        <x:v>No aporta E_social; S y R alimentan disposición a leyes según07.</x:v>
      </x:c>
    </x:row>
    <x:row r="896" ht="34" customHeight="1">
      <x:c r="A896" s="10" t="str">
        <x:v>S1_EMISION</x:v>
      </x:c>
      <x:c r="B896" s="10" t="n">
        <x:v>7</x:v>
      </x:c>
      <x:c r="C896" s="10" t="str">
        <x:v>aliados</x:v>
      </x:c>
      <x:c r="D896" s="10" t="n">
        <x:f>$F$878</x:f>
        <x:v>53.25957454785714</x:v>
      </x:c>
      <x:c r="E896" s="10" t="n">
        <x:f>(ABS('03_Sensibilidades'!$C$61)*IF('03_Sensibilidades'!$C$61&lt;0,100-$K$165,$K$165)+ABS('03_Sensibilidades'!$C$62)*IF('03_Sensibilidades'!$C$62&lt;0,100-$K$157,$K$157)+ABS('03_Sensibilidades'!$C$63)*IF('03_Sensibilidades'!$C$63&lt;0,100-$K$159,$K$159))/(ABS('03_Sensibilidades'!$C$61)+ABS('03_Sensibilidades'!$C$62)+ABS('03_Sensibilidades'!$C$63))</x:f>
        <x:v>53.26963068952381</x:v>
      </x:c>
      <x:c r="F896" s="10" t="n">
        <x:f>(1-'00_Arquitectura'!$B$95)*D896+'00_Arquitectura'!$B$95*E896</x:f>
        <x:v>53.26309419744047</x:v>
      </x:c>
      <x:c r="G896" s="10" t="n">
        <x:f>'02_Actores'!$I$21</x:f>
        <x:v>45</x:v>
      </x:c>
      <x:c r="H896" s="10" t="n">
        <x:f>IF(OR(AND(F896&lt;'00_Arquitectura'!$B$118,G896&lt;'00_Arquitectura'!$B$119),F896&lt;'00_Arquitectura'!$B$120),1,0)</x:f>
        <x:v>0</x:v>
      </x:c>
      <x:c r="I896" s="10" t="n">
        <x:f>IF($I$878=1,IF(OR(AND(F896&lt;'00_Arquitectura'!$B$121,G896&lt;'00_Arquitectura'!$B$122),F896&lt;'00_Arquitectura'!$B$123),1,0),IF(AND(H896=1,$H$878=1),1,0))</x:f>
        <x:v>0</x:v>
      </x:c>
      <x:c r="J896" s="10" t="n">
        <x:f>0</x:f>
        <x:v>0</x:v>
      </x:c>
      <x:c r="K896" s="10" t="n">
        <x:f>$K$881</x:f>
        <x:v>47.23929263170365</x:v>
      </x:c>
      <x:c r="L896" s="10" t="str">
        <x:v>No aporta E_social; S y R alimentan disposición a leyes según07.</x:v>
      </x:c>
    </x:row>
    <x:row r="897" ht="34" customHeight="1">
      <x:c r="A897" s="5" t="str">
        <x:v>S1_EMISION</x:v>
      </x:c>
      <x:c r="B897" s="5" t="n">
        <x:v>7</x:v>
      </x:c>
      <x:c r="C897" s="5" t="str">
        <x:v>oposicion</x:v>
      </x:c>
      <x:c r="D897" s="5" t="n">
        <x:f>$F$879</x:f>
        <x:v>54.0050456645</x:v>
      </x:c>
      <x:c r="E897" s="5" t="n">
        <x:f>(ABS('03_Sensibilidades'!$C$64)*IF('03_Sensibilidades'!$C$64&lt;0,100-$K$165,$K$165)+ABS('03_Sensibilidades'!$C$65)*IF('03_Sensibilidades'!$C$65&lt;0,100-$K$157,$K$157)+ABS('03_Sensibilidades'!$C$66)*IF('03_Sensibilidades'!$C$66&lt;0,100-$K$163,$K$163))/(ABS('03_Sensibilidades'!$C$64)+ABS('03_Sensibilidades'!$C$65)+ABS('03_Sensibilidades'!$C$66))</x:f>
        <x:v>54.014096192</x:v>
      </x:c>
      <x:c r="F897" s="5" t="n">
        <x:f>(1-'00_Arquitectura'!$B$95)*D897+'00_Arquitectura'!$B$95*E897</x:f>
        <x:v>54.008213349125</x:v>
      </x:c>
      <x:c r="G897" s="5" t="n">
        <x:f>'02_Actores'!$I$22</x:f>
        <x:v>30</x:v>
      </x:c>
      <x:c r="H897" s="5" t="n">
        <x:f>IF(OR(AND(F897&lt;'00_Arquitectura'!$B$118,G897&lt;'00_Arquitectura'!$B$119),F897&lt;'00_Arquitectura'!$B$120),1,0)</x:f>
        <x:v>0</x:v>
      </x:c>
      <x:c r="I897" s="5" t="n">
        <x:f>IF($I$879=1,IF(OR(AND(F897&lt;'00_Arquitectura'!$B$121,G897&lt;'00_Arquitectura'!$B$122),F897&lt;'00_Arquitectura'!$B$123),1,0),IF(AND(H897=1,$H$879=1),1,0))</x:f>
        <x:v>0</x:v>
      </x:c>
      <x:c r="J897" s="5" t="n">
        <x:f>0</x:f>
        <x:v>0</x:v>
      </x:c>
      <x:c r="K897" s="5" t="n">
        <x:f>$K$881</x:f>
        <x:v>47.23929263170365</x:v>
      </x:c>
      <x:c r="L897" s="5" t="str">
        <x:v>No aporta E_social; S y R alimentan disposición a leyes según07.</x:v>
      </x:c>
    </x:row>
    <x:row r="898" ht="42" customHeight="1">
      <x:c r="A898" s="10" t="str">
        <x:v>S1_EMISION</x:v>
      </x:c>
      <x:c r="B898" s="10" t="n">
        <x:v>7</x:v>
      </x:c>
      <x:c r="C898" s="10" t="str">
        <x:v>gobernadores</x:v>
      </x:c>
      <x:c r="D898" s="10" t="n">
        <x:f>$F$880</x:f>
        <x:v>50.17589356172414</x:v>
      </x:c>
      <x:c r="E898" s="10" t="n">
        <x:f>(ABS('03_Sensibilidades'!$C$67)*IF('03_Sensibilidades'!$C$67&lt;0,100-$K$159,$K$159)+ABS('03_Sensibilidades'!$C$68)*IF('03_Sensibilidades'!$C$68&lt;0,100-$K$161,$K$161)+ABS('03_Sensibilidades'!$C$69)*IF('03_Sensibilidades'!$C$69&lt;0,100-$K$160,$K$160)+ABS('03_Sensibilidades'!$C$70)*IF('03_Sensibilidades'!$C$70&lt;0,100-$K$157,$K$157))/(ABS('03_Sensibilidades'!$C$67)+ABS('03_Sensibilidades'!$C$68)+ABS('03_Sensibilidades'!$C$69)+ABS('03_Sensibilidades'!$C$70))</x:f>
        <x:v>50.18213530482758</x:v>
      </x:c>
      <x:c r="F898" s="10" t="n">
        <x:f>(1-'00_Arquitectura'!$B$95)*D898+'00_Arquitectura'!$B$95*E898</x:f>
        <x:v>50.17807817181034</x:v>
      </x:c>
      <x:c r="G898" s="10" t="n">
        <x:f>'02_Actores'!$I$23</x:f>
        <x:v>45</x:v>
      </x:c>
      <x:c r="H898" s="10" t="n">
        <x:f>IF(OR(AND(F898&lt;'00_Arquitectura'!$B$118,G898&lt;'00_Arquitectura'!$B$119),F898&lt;'00_Arquitectura'!$B$120),1,0)</x:f>
        <x:v>0</x:v>
      </x:c>
      <x:c r="I898" s="10" t="n">
        <x:f>IF($I$880=1,IF(OR(AND(F898&lt;'00_Arquitectura'!$B$121,G898&lt;'00_Arquitectura'!$B$122),F898&lt;'00_Arquitectura'!$B$123),1,0),IF(AND(H898=1,$H$880=1),1,0))</x:f>
        <x:v>0</x:v>
      </x:c>
      <x:c r="J898" s="10" t="n">
        <x:f>0</x:f>
        <x:v>0</x:v>
      </x:c>
      <x:c r="K898" s="10" t="n">
        <x:f>$K$881</x:f>
        <x:v>47.23929263170365</x:v>
      </x:c>
      <x:c r="L898" s="10" t="str">
        <x:v>Conflicto activo captura menor eficacia en políticas ejecutadas en t+1. Magnitud0 en J: no es un offset directo de indicador.</x:v>
      </x:c>
    </x:row>
    <x:row r="899" ht="34" customHeight="1">
      <x:c r="A899" s="5" t="str">
        <x:v>S1_EMISION</x:v>
      </x:c>
      <x:c r="B899" s="5" t="n">
        <x:v>8</x:v>
      </x:c>
      <x:c r="C899" s="5" t="str">
        <x:v>industria</x:v>
      </x:c>
      <x:c r="D899" s="5" t="n">
        <x:f>$F$881</x:f>
        <x:v>46.12769890081999</x:v>
      </x:c>
      <x:c r="E899" s="5" t="n">
        <x:f>(ABS('03_Sensibilidades'!$C$6)*IF('03_Sensibilidades'!$C$6&lt;0,100-$K$170,$K$170)+ABS('03_Sensibilidades'!$C$7)*IF('03_Sensibilidades'!$C$7&lt;0,100-$K$168,$K$168)+ABS('03_Sensibilidades'!$C$8)*IF('03_Sensibilidades'!$C$8&lt;0,100-$K$173,$K$173)+ABS('03_Sensibilidades'!$C$9)*IF('03_Sensibilidades'!$C$9&lt;0,100-$K$172,$K$172))/(ABS('03_Sensibilidades'!$C$6)+ABS('03_Sensibilidades'!$C$7)+ABS('03_Sensibilidades'!$C$8)+ABS('03_Sensibilidades'!$C$9))</x:f>
        <x:v>45.34505357761185</x:v>
      </x:c>
      <x:c r="F899" s="5" t="n">
        <x:f>(1-'00_Arquitectura'!$B$95)*D899+'00_Arquitectura'!$B$95*E899</x:f>
        <x:v>45.85377303769714</x:v>
      </x:c>
      <x:c r="G899" s="5" t="n">
        <x:f>'02_Actores'!$I$6</x:f>
        <x:v>45</x:v>
      </x:c>
      <x:c r="H899" s="5" t="n">
        <x:f>IF(OR(AND(F899&lt;'00_Arquitectura'!$B$118,G899&lt;'00_Arquitectura'!$B$119),F899&lt;'00_Arquitectura'!$B$120),1,0)</x:f>
        <x:v>0</x:v>
      </x:c>
      <x:c r="I899" s="5" t="n">
        <x:f>IF($I$881=1,IF(OR(AND(F899&lt;'00_Arquitectura'!$B$121,G899&lt;'00_Arquitectura'!$B$122),F899&lt;'00_Arquitectura'!$B$123),1,0),IF(AND(H899=1,$H$881=1),1,0))</x:f>
        <x:v>0</x:v>
      </x:c>
      <x:c r="J899" s="5" t="n">
        <x:f>-I899*2*'02_Actores'!$E$6/10</x:f>
        <x:v>0</x:v>
      </x:c>
      <x:c r="K899" s="5" t="n">
        <x:f>($F$899*'02_Actores'!$F$6+$F$900*'02_Actores'!$F$7+$F$901*'02_Actores'!$F$8+$F$902*'02_Actores'!$F$9+$F$903*'02_Actores'!$F$10+$F$904*'02_Actores'!$F$11+$F$905*'02_Actores'!$F$12+$F$906*'02_Actores'!$F$13+$F$907*'02_Actores'!$F$14+$F$908*'02_Actores'!$F$15+$F$909*'02_Actores'!$F$16+$F$910*'02_Actores'!$F$17+$F$911*'02_Actores'!$F$18+$F$912*'02_Actores'!$F$19)/('02_Actores'!$F$6+'02_Actores'!$F$7+'02_Actores'!$F$8+'02_Actores'!$F$9+'02_Actores'!$F$10+'02_Actores'!$F$11+'02_Actores'!$F$12+'02_Actores'!$F$13+'02_Actores'!$F$14+'02_Actores'!$F$15+'02_Actores'!$F$16+'02_Actores'!$F$17+'02_Actores'!$F$18+'02_Actores'!$F$19)</x:f>
        <x:v>46.86892636550906</x:v>
      </x:c>
      <x:c r="L899" s="5" t="str">
        <x:v>J programa offset para t+1; efecto sustituible y acotado, sin voto adicional.</x:v>
      </x:c>
    </x:row>
    <x:row r="900" ht="34" customHeight="1">
      <x:c r="A900" s="10" t="str">
        <x:v>S1_EMISION</x:v>
      </x:c>
      <x:c r="B900" s="10" t="n">
        <x:v>8</x:v>
      </x:c>
      <x:c r="C900" s="10" t="str">
        <x:v>agro</x:v>
      </x:c>
      <x:c r="D900" s="10" t="n">
        <x:f>$F$882</x:f>
        <x:v>45.487273219357135</x:v>
      </x:c>
      <x:c r="E900" s="10" t="n">
        <x:f>(ABS('03_Sensibilidades'!$C$10)*IF('03_Sensibilidades'!$C$10&lt;0,100-$K$172,$K$172)+ABS('03_Sensibilidades'!$C$11)*IF('03_Sensibilidades'!$C$11&lt;0,100-$K$173,$K$173)+ABS('03_Sensibilidades'!$C$12)*IF('03_Sensibilidades'!$C$12&lt;0,100-$K$180,$K$180)+ABS('03_Sensibilidades'!$C$13)*IF('03_Sensibilidades'!$C$13&lt;0,100-$K$170,$K$170))/(ABS('03_Sensibilidades'!$C$10)+ABS('03_Sensibilidades'!$C$11)+ABS('03_Sensibilidades'!$C$12)+ABS('03_Sensibilidades'!$C$13))</x:f>
        <x:v>45.31020478996429</x:v>
      </x:c>
      <x:c r="F900" s="10" t="n">
        <x:f>(1-'00_Arquitectura'!$B$95)*D900+'00_Arquitectura'!$B$95*E900</x:f>
        <x:v>45.42529926906964</x:v>
      </x:c>
      <x:c r="G900" s="10" t="n">
        <x:f>'02_Actores'!$I$7</x:f>
        <x:v>45</x:v>
      </x:c>
      <x:c r="H900" s="10" t="n">
        <x:f>IF(OR(AND(F900&lt;'00_Arquitectura'!$B$118,G900&lt;'00_Arquitectura'!$B$119),F900&lt;'00_Arquitectura'!$B$120),1,0)</x:f>
        <x:v>0</x:v>
      </x:c>
      <x:c r="I900" s="10" t="n">
        <x:f>IF($I$882=1,IF(OR(AND(F900&lt;'00_Arquitectura'!$B$121,G900&lt;'00_Arquitectura'!$B$122),F900&lt;'00_Arquitectura'!$B$123),1,0),IF(AND(H900=1,$H$882=1),1,0))</x:f>
        <x:v>0</x:v>
      </x:c>
      <x:c r="J900" s="10" t="n">
        <x:f>-I900*2*'02_Actores'!$E$7/10</x:f>
        <x:v>0</x:v>
      </x:c>
      <x:c r="K900" s="10" t="n">
        <x:f>$K$899</x:f>
        <x:v>46.86892636550906</x:v>
      </x:c>
      <x:c r="L900" s="10" t="str">
        <x:v>J programa offset para t+1; efecto sustituible y acotado, sin voto adicional.</x:v>
      </x:c>
    </x:row>
    <x:row r="901" ht="34" customHeight="1">
      <x:c r="A901" s="5" t="str">
        <x:v>S1_EMISION</x:v>
      </x:c>
      <x:c r="B901" s="5" t="n">
        <x:v>8</x:v>
      </x:c>
      <x:c r="C901" s="5" t="str">
        <x:v>financiero</x:v>
      </x:c>
      <x:c r="D901" s="5" t="n">
        <x:f>$F$883</x:f>
        <x:v>50.090101231424136</x:v>
      </x:c>
      <x:c r="E901" s="5" t="n">
        <x:f>(ABS('03_Sensibilidades'!$C$14)*IF('03_Sensibilidades'!$C$14&lt;0,100-$K$171,$K$171)+ABS('03_Sensibilidades'!$C$15)*IF('03_Sensibilidades'!$C$15&lt;0,100-$K$167,$K$167)+ABS('03_Sensibilidades'!$C$16)*IF('03_Sensibilidades'!$C$16&lt;0,100-$K$170,$K$170)+ABS('03_Sensibilidades'!$C$17)*IF('03_Sensibilidades'!$C$17&lt;0,100-$K$179,$K$179))/(ABS('03_Sensibilidades'!$C$14)+ABS('03_Sensibilidades'!$C$15)+ABS('03_Sensibilidades'!$C$16)+ABS('03_Sensibilidades'!$C$17))</x:f>
        <x:v>48.55407317021379</x:v>
      </x:c>
      <x:c r="F901" s="5" t="n">
        <x:f>(1-'00_Arquitectura'!$B$95)*D901+'00_Arquitectura'!$B$95*E901</x:f>
        <x:v>49.55249141000051</x:v>
      </x:c>
      <x:c r="G901" s="5" t="n">
        <x:f>'02_Actores'!$I$8</x:f>
        <x:v>45</x:v>
      </x:c>
      <x:c r="H901" s="5" t="n">
        <x:f>IF(OR(AND(F901&lt;'00_Arquitectura'!$B$118,G901&lt;'00_Arquitectura'!$B$119),F901&lt;'00_Arquitectura'!$B$120),1,0)</x:f>
        <x:v>0</x:v>
      </x:c>
      <x:c r="I901" s="5" t="n">
        <x:f>IF($I$883=1,IF(OR(AND(F901&lt;'00_Arquitectura'!$B$121,G901&lt;'00_Arquitectura'!$B$122),F901&lt;'00_Arquitectura'!$B$123),1,0),IF(AND(H901=1,$H$883=1),1,0))</x:f>
        <x:v>0</x:v>
      </x:c>
      <x:c r="J901" s="5" t="n">
        <x:f>-I901*2*'02_Actores'!$E$8/10</x:f>
        <x:v>0</x:v>
      </x:c>
      <x:c r="K901" s="5" t="n">
        <x:f>$K$899</x:f>
        <x:v>46.86892636550906</x:v>
      </x:c>
      <x:c r="L901" s="5" t="str">
        <x:v>J programa offset para t+1; efecto sustituible y acotado, sin voto adicional.</x:v>
      </x:c>
    </x:row>
    <x:row r="902" ht="34" customHeight="1">
      <x:c r="A902" s="10" t="str">
        <x:v>S1_EMISION</x:v>
      </x:c>
      <x:c r="B902" s="10" t="n">
        <x:v>8</x:v>
      </x:c>
      <x:c r="C902" s="10" t="str">
        <x:v>sindicatos</x:v>
      </x:c>
      <x:c r="D902" s="10" t="n">
        <x:f>$F$884</x:f>
        <x:v>46.81536929710974</x:v>
      </x:c>
      <x:c r="E902" s="10" t="n">
        <x:f>(ABS('03_Sensibilidades'!$C$18)*IF('03_Sensibilidades'!$C$18&lt;0,100-$K$169,$K$169)+ABS('03_Sensibilidades'!$C$19)*IF('03_Sensibilidades'!$C$19&lt;0,100-$K$168,$K$168)+ABS('03_Sensibilidades'!$C$20)*IF('03_Sensibilidades'!$C$20&lt;0,100-$K$176,$K$176)+ABS('03_Sensibilidades'!$C$21)*IF('03_Sensibilidades'!$C$21&lt;0,100-$K$179,$K$179))/(ABS('03_Sensibilidades'!$C$18)+ABS('03_Sensibilidades'!$C$19)+ABS('03_Sensibilidades'!$C$20)+ABS('03_Sensibilidades'!$C$21))</x:f>
        <x:v>44.99780833217103</x:v>
      </x:c>
      <x:c r="F902" s="10" t="n">
        <x:f>(1-'00_Arquitectura'!$B$95)*D902+'00_Arquitectura'!$B$95*E902</x:f>
        <x:v>46.17922295938119</x:v>
      </x:c>
      <x:c r="G902" s="10" t="n">
        <x:f>'02_Actores'!$I$9</x:f>
        <x:v>45</x:v>
      </x:c>
      <x:c r="H902" s="10" t="n">
        <x:f>IF(OR(AND(F902&lt;'00_Arquitectura'!$B$118,G902&lt;'00_Arquitectura'!$B$119),F902&lt;'00_Arquitectura'!$B$120),1,0)</x:f>
        <x:v>0</x:v>
      </x:c>
      <x:c r="I902" s="10" t="n">
        <x:f>IF($I$884=1,IF(OR(AND(F902&lt;'00_Arquitectura'!$B$121,G902&lt;'00_Arquitectura'!$B$122),F902&lt;'00_Arquitectura'!$B$123),1,0),IF(AND(H902=1,$H$884=1),1,0))</x:f>
        <x:v>0</x:v>
      </x:c>
      <x:c r="J902" s="10" t="n">
        <x:f>-I902*2*'02_Actores'!$E$9/10</x:f>
        <x:v>0</x:v>
      </x:c>
      <x:c r="K902" s="10" t="n">
        <x:f>$K$899</x:f>
        <x:v>46.86892636550906</x:v>
      </x:c>
      <x:c r="L902" s="10" t="str">
        <x:v>J programa offset para t+1; efecto sustituible y acotado, sin voto adicional.</x:v>
      </x:c>
    </x:row>
    <x:row r="903" ht="34" customHeight="1">
      <x:c r="A903" s="5" t="str">
        <x:v>S1_EMISION</x:v>
      </x:c>
      <x:c r="B903" s="5" t="n">
        <x:v>8</x:v>
      </x:c>
      <x:c r="C903" s="5" t="str">
        <x:v>pymes</x:v>
      </x:c>
      <x:c r="D903" s="5" t="n">
        <x:f>$F$885</x:f>
        <x:v>45.885276907333875</x:v>
      </x:c>
      <x:c r="E903" s="5" t="n">
        <x:f>(ABS('03_Sensibilidades'!$C$22)*IF('03_Sensibilidades'!$C$22&lt;0,100-$K$170,$K$170)+ABS('03_Sensibilidades'!$C$23)*IF('03_Sensibilidades'!$C$23&lt;0,100-$K$168,$K$168)+ABS('03_Sensibilidades'!$C$24)*IF('03_Sensibilidades'!$C$24&lt;0,100-$K$173,$K$173)+ABS('03_Sensibilidades'!$C$25)*IF('03_Sensibilidades'!$C$25&lt;0,100-$K$167,$K$167))/(ABS('03_Sensibilidades'!$C$22)+ABS('03_Sensibilidades'!$C$23)+ABS('03_Sensibilidades'!$C$24)+ABS('03_Sensibilidades'!$C$25))</x:f>
        <x:v>44.310351698060686</x:v>
      </x:c>
      <x:c r="F903" s="5" t="n">
        <x:f>(1-'00_Arquitectura'!$B$95)*D903+'00_Arquitectura'!$B$95*E903</x:f>
        <x:v>45.33405308408826</x:v>
      </x:c>
      <x:c r="G903" s="5" t="n">
        <x:f>'02_Actores'!$I$10</x:f>
        <x:v>45</x:v>
      </x:c>
      <x:c r="H903" s="5" t="n">
        <x:f>IF(OR(AND(F903&lt;'00_Arquitectura'!$B$118,G903&lt;'00_Arquitectura'!$B$119),F903&lt;'00_Arquitectura'!$B$120),1,0)</x:f>
        <x:v>0</x:v>
      </x:c>
      <x:c r="I903" s="5" t="n">
        <x:f>IF($I$885=1,IF(OR(AND(F903&lt;'00_Arquitectura'!$B$121,G903&lt;'00_Arquitectura'!$B$122),F903&lt;'00_Arquitectura'!$B$123),1,0),IF(AND(H903=1,$H$885=1),1,0))</x:f>
        <x:v>0</x:v>
      </x:c>
      <x:c r="J903" s="5" t="n">
        <x:f>-I903*2*'02_Actores'!$E$10/10</x:f>
        <x:v>0</x:v>
      </x:c>
      <x:c r="K903" s="5" t="n">
        <x:f>$K$899</x:f>
        <x:v>46.86892636550906</x:v>
      </x:c>
      <x:c r="L903" s="5" t="str">
        <x:v>J programa offset para t+1; efecto sustituible y acotado, sin voto adicional.</x:v>
      </x:c>
    </x:row>
    <x:row r="904" ht="34" customHeight="1">
      <x:c r="A904" s="10" t="str">
        <x:v>S1_EMISION</x:v>
      </x:c>
      <x:c r="B904" s="10" t="n">
        <x:v>8</x:v>
      </x:c>
      <x:c r="C904" s="10" t="str">
        <x:v>clase_media</x:v>
      </x:c>
      <x:c r="D904" s="10" t="n">
        <x:f>$F$886</x:f>
        <x:v>44.36676972951389</x:v>
      </x:c>
      <x:c r="E904" s="10" t="n">
        <x:f>(ABS('03_Sensibilidades'!$C$26)*IF('03_Sensibilidades'!$C$26&lt;0,100-$K$169,$K$169)+ABS('03_Sensibilidades'!$C$27)*IF('03_Sensibilidades'!$C$27&lt;0,100-$K$177,$K$177)+ABS('03_Sensibilidades'!$C$28)*IF('03_Sensibilidades'!$C$28&lt;0,100-$K$174,$K$174)+ABS('03_Sensibilidades'!$C$29)*IF('03_Sensibilidades'!$C$29&lt;0,100-$K$167,$K$167))/(ABS('03_Sensibilidades'!$C$26)+ABS('03_Sensibilidades'!$C$27)+ABS('03_Sensibilidades'!$C$28)+ABS('03_Sensibilidades'!$C$29))</x:f>
        <x:v>42.345014838044435</x:v>
      </x:c>
      <x:c r="F904" s="10" t="n">
        <x:f>(1-'00_Arquitectura'!$B$95)*D904+'00_Arquitectura'!$B$95*E904</x:f>
        <x:v>43.65915551749958</x:v>
      </x:c>
      <x:c r="G904" s="10" t="n">
        <x:f>'02_Actores'!$I$11</x:f>
        <x:v>45</x:v>
      </x:c>
      <x:c r="H904" s="10" t="n">
        <x:f>IF(OR(AND(F904&lt;'00_Arquitectura'!$B$118,G904&lt;'00_Arquitectura'!$B$119),F904&lt;'00_Arquitectura'!$B$120),1,0)</x:f>
        <x:v>0</x:v>
      </x:c>
      <x:c r="I904" s="10" t="n">
        <x:f>IF($I$886=1,IF(OR(AND(F904&lt;'00_Arquitectura'!$B$121,G904&lt;'00_Arquitectura'!$B$122),F904&lt;'00_Arquitectura'!$B$123),1,0),IF(AND(H904=1,$H$886=1),1,0))</x:f>
        <x:v>0</x:v>
      </x:c>
      <x:c r="J904" s="10" t="n">
        <x:f>0</x:f>
        <x:v>0</x:v>
      </x:c>
      <x:c r="K904" s="10" t="n">
        <x:f>$K$899</x:f>
        <x:v>46.86892636550906</x:v>
      </x:c>
      <x:c r="L904" s="10" t="str">
        <x:v>Canal directo sólo al índice social; sin bono de popularidad.</x:v>
      </x:c>
    </x:row>
    <x:row r="905" ht="34" customHeight="1">
      <x:c r="A905" s="5" t="str">
        <x:v>S1_EMISION</x:v>
      </x:c>
      <x:c r="B905" s="5" t="n">
        <x:v>8</x:v>
      </x:c>
      <x:c r="C905" s="5" t="str">
        <x:v>cooperativas</x:v>
      </x:c>
      <x:c r="D905" s="5" t="n">
        <x:f>$F$887</x:f>
        <x:v>47.46821801969898</x:v>
      </x:c>
      <x:c r="E905" s="5" t="n">
        <x:f>(ABS('03_Sensibilidades'!$C$30)*IF('03_Sensibilidades'!$C$30&lt;0,100-$K$170,$K$170)+ABS('03_Sensibilidades'!$C$31)*IF('03_Sensibilidades'!$C$31&lt;0,100-$K$168,$K$168)+ABS('03_Sensibilidades'!$C$32)*IF('03_Sensibilidades'!$C$32&lt;0,100-$K$176,$K$176)+ABS('03_Sensibilidades'!$C$33)*IF('03_Sensibilidades'!$C$33&lt;0,100-$K$179,$K$179))/(ABS('03_Sensibilidades'!$C$30)+ABS('03_Sensibilidades'!$C$31)+ABS('03_Sensibilidades'!$C$32)+ABS('03_Sensibilidades'!$C$33))</x:f>
        <x:v>46.78340336189185</x:v>
      </x:c>
      <x:c r="F905" s="5" t="n">
        <x:f>(1-'00_Arquitectura'!$B$95)*D905+'00_Arquitectura'!$B$95*E905</x:f>
        <x:v>47.228532889466486</x:v>
      </x:c>
      <x:c r="G905" s="5" t="n">
        <x:f>'02_Actores'!$I$12</x:f>
        <x:v>45</x:v>
      </x:c>
      <x:c r="H905" s="5" t="n">
        <x:f>IF(OR(AND(F905&lt;'00_Arquitectura'!$B$118,G905&lt;'00_Arquitectura'!$B$119),F905&lt;'00_Arquitectura'!$B$120),1,0)</x:f>
        <x:v>0</x:v>
      </x:c>
      <x:c r="I905" s="5" t="n">
        <x:f>IF($I$887=1,IF(OR(AND(F905&lt;'00_Arquitectura'!$B$121,G905&lt;'00_Arquitectura'!$B$122),F905&lt;'00_Arquitectura'!$B$123),1,0),IF(AND(H905=1,$H$887=1),1,0))</x:f>
        <x:v>0</x:v>
      </x:c>
      <x:c r="J905" s="5" t="n">
        <x:f>-I905*1.5*'02_Actores'!$E$12/10</x:f>
        <x:v>0</x:v>
      </x:c>
      <x:c r="K905" s="5" t="n">
        <x:f>$K$899</x:f>
        <x:v>46.86892636550906</x:v>
      </x:c>
      <x:c r="L905" s="5" t="str">
        <x:v>J programa offset para t+1; efecto sustituible y acotado, sin voto adicional.</x:v>
      </x:c>
    </x:row>
    <x:row r="906" ht="42" customHeight="1">
      <x:c r="A906" s="10" t="str">
        <x:v>S1_EMISION</x:v>
      </x:c>
      <x:c r="B906" s="10" t="n">
        <x:v>8</x:v>
      </x:c>
      <x:c r="C906" s="10" t="str">
        <x:v>estudiantes</x:v>
      </x:c>
      <x:c r="D906" s="10" t="n">
        <x:f>$F$888</x:f>
        <x:v>48.3590085151875</x:v>
      </x:c>
      <x:c r="E906" s="10" t="n">
        <x:f>(ABS('03_Sensibilidades'!$C$34)*IF('03_Sensibilidades'!$C$34&lt;0,100-$K$174,$K$174)+ABS('03_Sensibilidades'!$C$35)*IF('03_Sensibilidades'!$C$35&lt;0,100-$K$169,$K$169)+ABS('03_Sensibilidades'!$C$36)*IF('03_Sensibilidades'!$C$36&lt;0,100-$K$179,$K$179)+ABS('03_Sensibilidades'!$C$37)*IF('03_Sensibilidades'!$C$37&lt;0,100-$K$178,$K$178))/(ABS('03_Sensibilidades'!$C$34)+ABS('03_Sensibilidades'!$C$35)+ABS('03_Sensibilidades'!$C$36)+ABS('03_Sensibilidades'!$C$37))</x:f>
        <x:v>47.601795212544005</x:v>
      </x:c>
      <x:c r="F906" s="10" t="n">
        <x:f>(1-'00_Arquitectura'!$B$95)*D906+'00_Arquitectura'!$B$95*E906</x:f>
        <x:v>48.09398385926228</x:v>
      </x:c>
      <x:c r="G906" s="10" t="n">
        <x:f>'02_Actores'!$I$13</x:f>
        <x:v>45</x:v>
      </x:c>
      <x:c r="H906" s="10" t="n">
        <x:f>IF(OR(AND(F906&lt;'00_Arquitectura'!$B$118,G906&lt;'00_Arquitectura'!$B$119),F906&lt;'00_Arquitectura'!$B$120),1,0)</x:f>
        <x:v>0</x:v>
      </x:c>
      <x:c r="I906" s="10" t="n">
        <x:f>IF($I$888=1,IF(OR(AND(F906&lt;'00_Arquitectura'!$B$121,G906&lt;'00_Arquitectura'!$B$122),F906&lt;'00_Arquitectura'!$B$123),1,0),IF(AND(H906=1,$H$888=1),1,0))</x:f>
        <x:v>0</x:v>
      </x:c>
      <x:c r="J906" s="10" t="n">
        <x:f>0</x:f>
        <x:v>0</x:v>
      </x:c>
      <x:c r="K906" s="10" t="n">
        <x:f>$K$899</x:f>
        <x:v>46.86892636550906</x:v>
      </x:c>
      <x:c r="L906" s="10" t="str">
        <x:v>Conflicto activo captura menor eficacia en políticas ejecutadas en t+1. Magnitud0 en J: no es un offset directo de indicador.</x:v>
      </x:c>
    </x:row>
    <x:row r="907" ht="34" customHeight="1">
      <x:c r="A907" s="5" t="str">
        <x:v>S1_EMISION</x:v>
      </x:c>
      <x:c r="B907" s="5" t="n">
        <x:v>8</x:v>
      </x:c>
      <x:c r="C907" s="5" t="str">
        <x:v>docentes</x:v>
      </x:c>
      <x:c r="D907" s="5" t="n">
        <x:f>$F$889</x:f>
        <x:v>47.26762535580163</x:v>
      </x:c>
      <x:c r="E907" s="5" t="n">
        <x:f>(ABS('03_Sensibilidades'!$C$38)*IF('03_Sensibilidades'!$C$38&lt;0,100-$K$174,$K$174)+ABS('03_Sensibilidades'!$C$39)*IF('03_Sensibilidades'!$C$39&lt;0,100-$K$169,$K$169)+ABS('03_Sensibilidades'!$C$40)*IF('03_Sensibilidades'!$C$40&lt;0,100-$K$179,$K$179))/(ABS('03_Sensibilidades'!$C$38)+ABS('03_Sensibilidades'!$C$39)+ABS('03_Sensibilidades'!$C$40))</x:f>
        <x:v>45.78612106802087</x:v>
      </x:c>
      <x:c r="F907" s="5" t="n">
        <x:f>(1-'00_Arquitectura'!$B$95)*D907+'00_Arquitectura'!$B$95*E907</x:f>
        <x:v>46.74909885507836</x:v>
      </x:c>
      <x:c r="G907" s="5" t="n">
        <x:f>'02_Actores'!$I$14</x:f>
        <x:v>45</x:v>
      </x:c>
      <x:c r="H907" s="5" t="n">
        <x:f>IF(OR(AND(F907&lt;'00_Arquitectura'!$B$118,G907&lt;'00_Arquitectura'!$B$119),F907&lt;'00_Arquitectura'!$B$120),1,0)</x:f>
        <x:v>0</x:v>
      </x:c>
      <x:c r="I907" s="5" t="n">
        <x:f>IF($I$889=1,IF(OR(AND(F907&lt;'00_Arquitectura'!$B$121,G907&lt;'00_Arquitectura'!$B$122),F907&lt;'00_Arquitectura'!$B$123),1,0),IF(AND(H907=1,$H$889=1),1,0))</x:f>
        <x:v>0</x:v>
      </x:c>
      <x:c r="J907" s="5" t="n">
        <x:f>-I907*1.5*'02_Actores'!$E$14/10</x:f>
        <x:v>0</x:v>
      </x:c>
      <x:c r="K907" s="5" t="n">
        <x:f>$K$899</x:f>
        <x:v>46.86892636550906</x:v>
      </x:c>
      <x:c r="L907" s="5" t="str">
        <x:v>J programa offset para t+1; efecto sustituible y acotado, sin voto adicional.</x:v>
      </x:c>
    </x:row>
    <x:row r="908" ht="34" customHeight="1">
      <x:c r="A908" s="10" t="str">
        <x:v>S1_EMISION</x:v>
      </x:c>
      <x:c r="B908" s="10" t="n">
        <x:v>8</x:v>
      </x:c>
      <x:c r="C908" s="10" t="str">
        <x:v>cientificos</x:v>
      </x:c>
      <x:c r="D908" s="10" t="n">
        <x:f>$F$890</x:f>
        <x:v>46.59090909090909</x:v>
      </x:c>
      <x:c r="E908" s="10" t="n">
        <x:f>(ABS('03_Sensibilidades'!$C$41)*IF('03_Sensibilidades'!$C$41&lt;0,100-$K$178,$K$178)+ABS('03_Sensibilidades'!$C$42)*IF('03_Sensibilidades'!$C$42&lt;0,100-$K$174,$K$174)+ABS('03_Sensibilidades'!$C$43)*IF('03_Sensibilidades'!$C$43&lt;0,100-$K$179,$K$179))/(ABS('03_Sensibilidades'!$C$41)+ABS('03_Sensibilidades'!$C$42)+ABS('03_Sensibilidades'!$C$43))</x:f>
        <x:v>46.59090909090909</x:v>
      </x:c>
      <x:c r="F908" s="10" t="n">
        <x:f>(1-'00_Arquitectura'!$B$95)*D908+'00_Arquitectura'!$B$95*E908</x:f>
        <x:v>46.59090909090909</x:v>
      </x:c>
      <x:c r="G908" s="10" t="n">
        <x:f>'02_Actores'!$I$15</x:f>
        <x:v>45</x:v>
      </x:c>
      <x:c r="H908" s="10" t="n">
        <x:f>IF(OR(AND(F908&lt;'00_Arquitectura'!$B$118,G908&lt;'00_Arquitectura'!$B$119),F908&lt;'00_Arquitectura'!$B$120),1,0)</x:f>
        <x:v>0</x:v>
      </x:c>
      <x:c r="I908" s="10" t="n">
        <x:f>IF($I$890=1,IF(OR(AND(F908&lt;'00_Arquitectura'!$B$121,G908&lt;'00_Arquitectura'!$B$122),F908&lt;'00_Arquitectura'!$B$123),1,0),IF(AND(H908=1,$H$890=1),1,0))</x:f>
        <x:v>0</x:v>
      </x:c>
      <x:c r="J908" s="10" t="n">
        <x:f>-I908*1.5*'02_Actores'!$E$15/10</x:f>
        <x:v>0</x:v>
      </x:c>
      <x:c r="K908" s="10" t="n">
        <x:f>$K$899</x:f>
        <x:v>46.86892636550906</x:v>
      </x:c>
      <x:c r="L908" s="10" t="str">
        <x:v>J programa offset para t+1; efecto sustituible y acotado, sin voto adicional.</x:v>
      </x:c>
    </x:row>
    <x:row r="909" ht="34" customHeight="1">
      <x:c r="A909" s="5" t="str">
        <x:v>S1_EMISION</x:v>
      </x:c>
      <x:c r="B909" s="5" t="n">
        <x:v>8</x:v>
      </x:c>
      <x:c r="C909" s="5" t="str">
        <x:v>organizaciones</x:v>
      </x:c>
      <x:c r="D909" s="5" t="n">
        <x:f>$F$891</x:f>
        <x:v>49.337982948971614</x:v>
      </x:c>
      <x:c r="E909" s="5" t="n">
        <x:f>(ABS('03_Sensibilidades'!$C$44)*IF('03_Sensibilidades'!$C$44&lt;0,100-$K$176,$K$176)+ABS('03_Sensibilidades'!$C$45)*IF('03_Sensibilidades'!$C$45&lt;0,100-$K$175,$K$175)+ABS('03_Sensibilidades'!$C$46)*IF('03_Sensibilidades'!$C$46&lt;0,100-$K$168,$K$168)+ABS('03_Sensibilidades'!$C$47)*IF('03_Sensibilidades'!$C$47&lt;0,100-$K$179,$K$179))/(ABS('03_Sensibilidades'!$C$44)+ABS('03_Sensibilidades'!$C$45)+ABS('03_Sensibilidades'!$C$46)+ABS('03_Sensibilidades'!$C$47))</x:f>
        <x:v>48.98444478585143</x:v>
      </x:c>
      <x:c r="F909" s="5" t="n">
        <x:f>(1-'00_Arquitectura'!$B$95)*D909+'00_Arquitectura'!$B$95*E909</x:f>
        <x:v>49.21424459187955</x:v>
      </x:c>
      <x:c r="G909" s="5" t="n">
        <x:f>'02_Actores'!$I$16</x:f>
        <x:v>45</x:v>
      </x:c>
      <x:c r="H909" s="5" t="n">
        <x:f>IF(OR(AND(F909&lt;'00_Arquitectura'!$B$118,G909&lt;'00_Arquitectura'!$B$119),F909&lt;'00_Arquitectura'!$B$120),1,0)</x:f>
        <x:v>0</x:v>
      </x:c>
      <x:c r="I909" s="5" t="n">
        <x:f>IF($I$891=1,IF(OR(AND(F909&lt;'00_Arquitectura'!$B$121,G909&lt;'00_Arquitectura'!$B$122),F909&lt;'00_Arquitectura'!$B$123),1,0),IF(AND(H909=1,$H$891=1),1,0))</x:f>
        <x:v>0</x:v>
      </x:c>
      <x:c r="J909" s="5" t="n">
        <x:f>-I909*1.5*'02_Actores'!$E$16/10</x:f>
        <x:v>0</x:v>
      </x:c>
      <x:c r="K909" s="5" t="n">
        <x:f>$K$899</x:f>
        <x:v>46.86892636550906</x:v>
      </x:c>
      <x:c r="L909" s="5" t="str">
        <x:v>J programa offset para t+1; efecto sustituible y acotado, sin voto adicional.</x:v>
      </x:c>
    </x:row>
    <x:row r="910" ht="42" customHeight="1">
      <x:c r="A910" s="10" t="str">
        <x:v>S1_EMISION</x:v>
      </x:c>
      <x:c r="B910" s="10" t="n">
        <x:v>8</x:v>
      </x:c>
      <x:c r="C910" s="10" t="str">
        <x:v>ddhh</x:v>
      </x:c>
      <x:c r="D910" s="10" t="n">
        <x:f>$F$892</x:f>
        <x:v>50.88235294117648</x:v>
      </x:c>
      <x:c r="E910" s="10" t="n">
        <x:f>(ABS('03_Sensibilidades'!$C$48)*IF('03_Sensibilidades'!$C$48&lt;0,100-$K$179,$K$179)+ABS('03_Sensibilidades'!$C$49)*IF('03_Sensibilidades'!$C$49&lt;0,100-$K$177,$K$177)+ABS('03_Sensibilidades'!$C$50)*IF('03_Sensibilidades'!$C$50&lt;0,100-$K$176,$K$176))/(ABS('03_Sensibilidades'!$C$48)+ABS('03_Sensibilidades'!$C$49)+ABS('03_Sensibilidades'!$C$50))</x:f>
        <x:v>50.88235294117647</x:v>
      </x:c>
      <x:c r="F910" s="10" t="n">
        <x:f>(1-'00_Arquitectura'!$B$95)*D910+'00_Arquitectura'!$B$95*E910</x:f>
        <x:v>50.88235294117648</x:v>
      </x:c>
      <x:c r="G910" s="10" t="n">
        <x:f>'02_Actores'!$I$17</x:f>
        <x:v>45</x:v>
      </x:c>
      <x:c r="H910" s="10" t="n">
        <x:f>IF(OR(AND(F910&lt;'00_Arquitectura'!$B$118,G910&lt;'00_Arquitectura'!$B$119),F910&lt;'00_Arquitectura'!$B$120),1,0)</x:f>
        <x:v>0</x:v>
      </x:c>
      <x:c r="I910" s="10" t="n">
        <x:f>IF($I$892=1,IF(OR(AND(F910&lt;'00_Arquitectura'!$B$121,G910&lt;'00_Arquitectura'!$B$122),F910&lt;'00_Arquitectura'!$B$123),1,0),IF(AND(H910=1,$H$892=1),1,0))</x:f>
        <x:v>0</x:v>
      </x:c>
      <x:c r="J910" s="10" t="n">
        <x:f>0</x:f>
        <x:v>0</x:v>
      </x:c>
      <x:c r="K910" s="10" t="n">
        <x:f>$K$899</x:f>
        <x:v>46.86892636550906</x:v>
      </x:c>
      <x:c r="L910" s="10" t="str">
        <x:v>Conflicto activo captura menor eficacia en políticas ejecutadas en t+1. Magnitud0 en J: no es un offset directo de indicador.</x:v>
      </x:c>
    </x:row>
    <x:row r="911" ht="42" customHeight="1">
      <x:c r="A911" s="5" t="str">
        <x:v>S1_EMISION</x:v>
      </x:c>
      <x:c r="B911" s="5" t="n">
        <x:v>8</x:v>
      </x:c>
      <x:c r="C911" s="5" t="str">
        <x:v>ambientalistas</x:v>
      </x:c>
      <x:c r="D911" s="5" t="n">
        <x:f>$F$893</x:f>
        <x:v>51.388888888888886</x:v>
      </x:c>
      <x:c r="E911" s="5" t="n">
        <x:f>(ABS('03_Sensibilidades'!$C$51)*IF('03_Sensibilidades'!$C$51&lt;0,100-$K$180,$K$180)+ABS('03_Sensibilidades'!$C$52)*IF('03_Sensibilidades'!$C$52&lt;0,100-$K$179,$K$179)+ABS('03_Sensibilidades'!$C$53)*IF('03_Sensibilidades'!$C$53&lt;0,100-$K$175,$K$175))/(ABS('03_Sensibilidades'!$C$51)+ABS('03_Sensibilidades'!$C$52)+ABS('03_Sensibilidades'!$C$53))</x:f>
        <x:v>51.388888888888886</x:v>
      </x:c>
      <x:c r="F911" s="5" t="n">
        <x:f>(1-'00_Arquitectura'!$B$95)*D911+'00_Arquitectura'!$B$95*E911</x:f>
        <x:v>51.388888888888886</x:v>
      </x:c>
      <x:c r="G911" s="5" t="n">
        <x:f>'02_Actores'!$I$18</x:f>
        <x:v>45</x:v>
      </x:c>
      <x:c r="H911" s="5" t="n">
        <x:f>IF(OR(AND(F911&lt;'00_Arquitectura'!$B$118,G911&lt;'00_Arquitectura'!$B$119),F911&lt;'00_Arquitectura'!$B$120),1,0)</x:f>
        <x:v>0</x:v>
      </x:c>
      <x:c r="I911" s="5" t="n">
        <x:f>IF($I$893=1,IF(OR(AND(F911&lt;'00_Arquitectura'!$B$121,G911&lt;'00_Arquitectura'!$B$122),F911&lt;'00_Arquitectura'!$B$123),1,0),IF(AND(H911=1,$H$893=1),1,0))</x:f>
        <x:v>0</x:v>
      </x:c>
      <x:c r="J911" s="5" t="n">
        <x:f>0</x:f>
        <x:v>0</x:v>
      </x:c>
      <x:c r="K911" s="5" t="n">
        <x:f>$K$899</x:f>
        <x:v>46.86892636550906</x:v>
      </x:c>
      <x:c r="L911" s="5" t="str">
        <x:v>Conflicto activo captura menor eficacia en políticas ejecutadas en t+1. Magnitud0 en J: no es un offset directo de indicador.</x:v>
      </x:c>
    </x:row>
    <x:row r="912" ht="34" customHeight="1">
      <x:c r="A912" s="10" t="str">
        <x:v>S1_EMISION</x:v>
      </x:c>
      <x:c r="B912" s="10" t="n">
        <x:v>8</x:v>
      </x:c>
      <x:c r="C912" s="10" t="str">
        <x:v>cultura</x:v>
      </x:c>
      <x:c r="D912" s="10" t="n">
        <x:f>$F$894</x:f>
        <x:v>49.68290594103618</x:v>
      </x:c>
      <x:c r="E912" s="10" t="n">
        <x:f>(ABS('03_Sensibilidades'!$C$54)*IF('03_Sensibilidades'!$C$54&lt;0,100-$K$179,$K$179)+ABS('03_Sensibilidades'!$C$55)*IF('03_Sensibilidades'!$C$55&lt;0,100-$K$174,$K$174)+ABS('03_Sensibilidades'!$C$56)*IF('03_Sensibilidades'!$C$56&lt;0,100-$K$169,$K$169))/(ABS('03_Sensibilidades'!$C$54)+ABS('03_Sensibilidades'!$C$55)+ABS('03_Sensibilidades'!$C$56))</x:f>
        <x:v>48.68657264808421</x:v>
      </x:c>
      <x:c r="F912" s="10" t="n">
        <x:f>(1-'00_Arquitectura'!$B$95)*D912+'00_Arquitectura'!$B$95*E912</x:f>
        <x:v>49.334189288503</x:v>
      </x:c>
      <x:c r="G912" s="10" t="n">
        <x:f>'02_Actores'!$I$19</x:f>
        <x:v>45</x:v>
      </x:c>
      <x:c r="H912" s="10" t="n">
        <x:f>IF(OR(AND(F912&lt;'00_Arquitectura'!$B$118,G912&lt;'00_Arquitectura'!$B$119),F912&lt;'00_Arquitectura'!$B$120),1,0)</x:f>
        <x:v>0</x:v>
      </x:c>
      <x:c r="I912" s="10" t="n">
        <x:f>IF($I$894=1,IF(OR(AND(F912&lt;'00_Arquitectura'!$B$121,G912&lt;'00_Arquitectura'!$B$122),F912&lt;'00_Arquitectura'!$B$123),1,0),IF(AND(H912=1,$H$894=1),1,0))</x:f>
        <x:v>0</x:v>
      </x:c>
      <x:c r="J912" s="10" t="n">
        <x:f>0</x:f>
        <x:v>0</x:v>
      </x:c>
      <x:c r="K912" s="10" t="n">
        <x:f>$K$899</x:f>
        <x:v>46.86892636550906</x:v>
      </x:c>
      <x:c r="L912" s="10" t="str">
        <x:v>Conflicto activo encarece agenda del turno siguiente; sin castigo electoral adicional.</x:v>
      </x:c>
    </x:row>
    <x:row r="913" ht="34" customHeight="1">
      <x:c r="A913" s="5" t="str">
        <x:v>S1_EMISION</x:v>
      </x:c>
      <x:c r="B913" s="5" t="n">
        <x:v>8</x:v>
      </x:c>
      <x:c r="C913" s="5" t="str">
        <x:v>oficialismo</x:v>
      </x:c>
      <x:c r="D913" s="5" t="n">
        <x:f>$F$895</x:f>
        <x:v>52.551291883097605</x:v>
      </x:c>
      <x:c r="E913" s="5" t="n">
        <x:f>(ABS('03_Sensibilidades'!$C$57)*IF('03_Sensibilidades'!$C$57&lt;0,100-$K$179,$K$179)+ABS('03_Sensibilidades'!$C$58)*IF('03_Sensibilidades'!$C$58&lt;0,100-$K$168,$K$168)+ABS('03_Sensibilidades'!$C$59)*IF('03_Sensibilidades'!$C$59&lt;0,100-$K$171,$K$171)+ABS('03_Sensibilidades'!$C$60)*IF('03_Sensibilidades'!$C$60&lt;0,100-$K$176,$K$176))/(ABS('03_Sensibilidades'!$C$57)+ABS('03_Sensibilidades'!$C$58)+ABS('03_Sensibilidades'!$C$59)+ABS('03_Sensibilidades'!$C$60))</x:f>
        <x:v>51.923734420275196</x:v>
      </x:c>
      <x:c r="F913" s="5" t="n">
        <x:f>(1-'00_Arquitectura'!$B$95)*D913+'00_Arquitectura'!$B$95*E913</x:f>
        <x:v>52.33164677110976</x:v>
      </x:c>
      <x:c r="G913" s="5" t="n">
        <x:f>'02_Actores'!$I$20</x:f>
        <x:v>60</x:v>
      </x:c>
      <x:c r="H913" s="5" t="n">
        <x:f>IF(OR(AND(F913&lt;'00_Arquitectura'!$B$118,G913&lt;'00_Arquitectura'!$B$119),F913&lt;'00_Arquitectura'!$B$120),1,0)</x:f>
        <x:v>0</x:v>
      </x:c>
      <x:c r="I913" s="5" t="n">
        <x:f>IF($I$895=1,IF(OR(AND(F913&lt;'00_Arquitectura'!$B$121,G913&lt;'00_Arquitectura'!$B$122),F913&lt;'00_Arquitectura'!$B$123),1,0),IF(AND(H913=1,$H$895=1),1,0))</x:f>
        <x:v>0</x:v>
      </x:c>
      <x:c r="J913" s="5" t="n">
        <x:f>0</x:f>
        <x:v>0</x:v>
      </x:c>
      <x:c r="K913" s="5" t="n">
        <x:f>$K$899</x:f>
        <x:v>46.86892636550906</x:v>
      </x:c>
      <x:c r="L913" s="5" t="str">
        <x:v>No aporta E_social; S y R alimentan disposición a leyes según07.</x:v>
      </x:c>
    </x:row>
    <x:row r="914" ht="34" customHeight="1">
      <x:c r="A914" s="10" t="str">
        <x:v>S1_EMISION</x:v>
      </x:c>
      <x:c r="B914" s="10" t="n">
        <x:v>8</x:v>
      </x:c>
      <x:c r="C914" s="10" t="str">
        <x:v>aliados</x:v>
      </x:c>
      <x:c r="D914" s="10" t="n">
        <x:f>$F$896</x:f>
        <x:v>53.26309419744047</x:v>
      </x:c>
      <x:c r="E914" s="10" t="n">
        <x:f>(ABS('03_Sensibilidades'!$C$61)*IF('03_Sensibilidades'!$C$61&lt;0,100-$K$179,$K$179)+ABS('03_Sensibilidades'!$C$62)*IF('03_Sensibilidades'!$C$62&lt;0,100-$K$171,$K$171)+ABS('03_Sensibilidades'!$C$63)*IF('03_Sensibilidades'!$C$63&lt;0,100-$K$173,$K$173))/(ABS('03_Sensibilidades'!$C$61)+ABS('03_Sensibilidades'!$C$62)+ABS('03_Sensibilidades'!$C$63))</x:f>
        <x:v>53.12475094851048</x:v>
      </x:c>
      <x:c r="F914" s="10" t="n">
        <x:f>(1-'00_Arquitectura'!$B$95)*D914+'00_Arquitectura'!$B$95*E914</x:f>
        <x:v>53.21467406031498</x:v>
      </x:c>
      <x:c r="G914" s="10" t="n">
        <x:f>'02_Actores'!$I$21</x:f>
        <x:v>45</x:v>
      </x:c>
      <x:c r="H914" s="10" t="n">
        <x:f>IF(OR(AND(F914&lt;'00_Arquitectura'!$B$118,G914&lt;'00_Arquitectura'!$B$119),F914&lt;'00_Arquitectura'!$B$120),1,0)</x:f>
        <x:v>0</x:v>
      </x:c>
      <x:c r="I914" s="10" t="n">
        <x:f>IF($I$896=1,IF(OR(AND(F914&lt;'00_Arquitectura'!$B$121,G914&lt;'00_Arquitectura'!$B$122),F914&lt;'00_Arquitectura'!$B$123),1,0),IF(AND(H914=1,$H$896=1),1,0))</x:f>
        <x:v>0</x:v>
      </x:c>
      <x:c r="J914" s="10" t="n">
        <x:f>0</x:f>
        <x:v>0</x:v>
      </x:c>
      <x:c r="K914" s="10" t="n">
        <x:f>$K$899</x:f>
        <x:v>46.86892636550906</x:v>
      </x:c>
      <x:c r="L914" s="10" t="str">
        <x:v>No aporta E_social; S y R alimentan disposición a leyes según07.</x:v>
      </x:c>
    </x:row>
    <x:row r="915" ht="34" customHeight="1">
      <x:c r="A915" s="5" t="str">
        <x:v>S1_EMISION</x:v>
      </x:c>
      <x:c r="B915" s="5" t="n">
        <x:v>8</x:v>
      </x:c>
      <x:c r="C915" s="5" t="str">
        <x:v>oposicion</x:v>
      </x:c>
      <x:c r="D915" s="5" t="n">
        <x:f>$F$897</x:f>
        <x:v>54.008213349125</x:v>
      </x:c>
      <x:c r="E915" s="5" t="n">
        <x:f>(ABS('03_Sensibilidades'!$C$64)*IF('03_Sensibilidades'!$C$64&lt;0,100-$K$179,$K$179)+ABS('03_Sensibilidades'!$C$65)*IF('03_Sensibilidades'!$C$65&lt;0,100-$K$171,$K$171)+ABS('03_Sensibilidades'!$C$66)*IF('03_Sensibilidades'!$C$66&lt;0,100-$K$177,$K$177))/(ABS('03_Sensibilidades'!$C$64)+ABS('03_Sensibilidades'!$C$65)+ABS('03_Sensibilidades'!$C$66))</x:f>
        <x:v>53.883704425088</x:v>
      </x:c>
      <x:c r="F915" s="5" t="n">
        <x:f>(1-'00_Arquitectura'!$B$95)*D915+'00_Arquitectura'!$B$95*E915</x:f>
        <x:v>53.96463522571205</x:v>
      </x:c>
      <x:c r="G915" s="5" t="n">
        <x:f>'02_Actores'!$I$22</x:f>
        <x:v>30</x:v>
      </x:c>
      <x:c r="H915" s="5" t="n">
        <x:f>IF(OR(AND(F915&lt;'00_Arquitectura'!$B$118,G915&lt;'00_Arquitectura'!$B$119),F915&lt;'00_Arquitectura'!$B$120),1,0)</x:f>
        <x:v>0</x:v>
      </x:c>
      <x:c r="I915" s="5" t="n">
        <x:f>IF($I$897=1,IF(OR(AND(F915&lt;'00_Arquitectura'!$B$121,G915&lt;'00_Arquitectura'!$B$122),F915&lt;'00_Arquitectura'!$B$123),1,0),IF(AND(H915=1,$H$897=1),1,0))</x:f>
        <x:v>0</x:v>
      </x:c>
      <x:c r="J915" s="5" t="n">
        <x:f>0</x:f>
        <x:v>0</x:v>
      </x:c>
      <x:c r="K915" s="5" t="n">
        <x:f>$K$899</x:f>
        <x:v>46.86892636550906</x:v>
      </x:c>
      <x:c r="L915" s="5" t="str">
        <x:v>No aporta E_social; S y R alimentan disposición a leyes según07.</x:v>
      </x:c>
    </x:row>
    <x:row r="916" ht="42" customHeight="1">
      <x:c r="A916" s="10" t="str">
        <x:v>S1_EMISION</x:v>
      </x:c>
      <x:c r="B916" s="10" t="n">
        <x:v>8</x:v>
      </x:c>
      <x:c r="C916" s="10" t="str">
        <x:v>gobernadores</x:v>
      </x:c>
      <x:c r="D916" s="10" t="n">
        <x:f>$F$898</x:f>
        <x:v>50.17807817181034</x:v>
      </x:c>
      <x:c r="E916" s="10" t="n">
        <x:f>(ABS('03_Sensibilidades'!$C$67)*IF('03_Sensibilidades'!$C$67&lt;0,100-$K$173,$K$173)+ABS('03_Sensibilidades'!$C$68)*IF('03_Sensibilidades'!$C$68&lt;0,100-$K$175,$K$175)+ABS('03_Sensibilidades'!$C$69)*IF('03_Sensibilidades'!$C$69&lt;0,100-$K$174,$K$174)+ABS('03_Sensibilidades'!$C$70)*IF('03_Sensibilidades'!$C$70&lt;0,100-$K$171,$K$171))/(ABS('03_Sensibilidades'!$C$67)+ABS('03_Sensibilidades'!$C$68)+ABS('03_Sensibilidades'!$C$69)+ABS('03_Sensibilidades'!$C$70))</x:f>
        <x:v>50.09220994833655</x:v>
      </x:c>
      <x:c r="F916" s="10" t="n">
        <x:f>(1-'00_Arquitectura'!$B$95)*D916+'00_Arquitectura'!$B$95*E916</x:f>
        <x:v>50.14802429359452</x:v>
      </x:c>
      <x:c r="G916" s="10" t="n">
        <x:f>'02_Actores'!$I$23</x:f>
        <x:v>45</x:v>
      </x:c>
      <x:c r="H916" s="10" t="n">
        <x:f>IF(OR(AND(F916&lt;'00_Arquitectura'!$B$118,G916&lt;'00_Arquitectura'!$B$119),F916&lt;'00_Arquitectura'!$B$120),1,0)</x:f>
        <x:v>0</x:v>
      </x:c>
      <x:c r="I916" s="10" t="n">
        <x:f>IF($I$898=1,IF(OR(AND(F916&lt;'00_Arquitectura'!$B$121,G916&lt;'00_Arquitectura'!$B$122),F916&lt;'00_Arquitectura'!$B$123),1,0),IF(AND(H916=1,$H$898=1),1,0))</x:f>
        <x:v>0</x:v>
      </x:c>
      <x:c r="J916" s="10" t="n">
        <x:f>0</x:f>
        <x:v>0</x:v>
      </x:c>
      <x:c r="K916" s="10" t="n">
        <x:f>$K$899</x:f>
        <x:v>46.86892636550906</x:v>
      </x:c>
      <x:c r="L916" s="10" t="str">
        <x:v>Conflicto activo captura menor eficacia en políticas ejecutadas en t+1. Magnitud0 en J: no es un offset directo de indicador.</x:v>
      </x:c>
    </x:row>
    <x:row r="917" ht="34" customHeight="1">
      <x:c r="A917" s="5" t="str">
        <x:v>S1_EMISION</x:v>
      </x:c>
      <x:c r="B917" s="5" t="n">
        <x:v>9</x:v>
      </x:c>
      <x:c r="C917" s="5" t="str">
        <x:v>industria</x:v>
      </x:c>
      <x:c r="D917" s="5" t="n">
        <x:f>$F$899</x:f>
        <x:v>45.85377303769714</x:v>
      </x:c>
      <x:c r="E917" s="5" t="n">
        <x:f>(ABS('03_Sensibilidades'!$C$6)*IF('03_Sensibilidades'!$C$6&lt;0,100-$K$184,$K$184)+ABS('03_Sensibilidades'!$C$7)*IF('03_Sensibilidades'!$C$7&lt;0,100-$K$182,$K$182)+ABS('03_Sensibilidades'!$C$8)*IF('03_Sensibilidades'!$C$8&lt;0,100-$K$187,$K$187)+ABS('03_Sensibilidades'!$C$9)*IF('03_Sensibilidades'!$C$9&lt;0,100-$K$186,$K$186))/(ABS('03_Sensibilidades'!$C$6)+ABS('03_Sensibilidades'!$C$7)+ABS('03_Sensibilidades'!$C$8)+ABS('03_Sensibilidades'!$C$9))</x:f>
        <x:v>45.58094499999561</x:v>
      </x:c>
      <x:c r="F917" s="5" t="n">
        <x:f>(1-'00_Arquitectura'!$B$95)*D917+'00_Arquitectura'!$B$95*E917</x:f>
        <x:v>45.758283224501604</x:v>
      </x:c>
      <x:c r="G917" s="5" t="n">
        <x:f>'02_Actores'!$I$6</x:f>
        <x:v>45</x:v>
      </x:c>
      <x:c r="H917" s="5" t="n">
        <x:f>IF(OR(AND(F917&lt;'00_Arquitectura'!$B$118,G917&lt;'00_Arquitectura'!$B$119),F917&lt;'00_Arquitectura'!$B$120),1,0)</x:f>
        <x:v>0</x:v>
      </x:c>
      <x:c r="I917" s="5" t="n">
        <x:f>IF($I$899=1,IF(OR(AND(F917&lt;'00_Arquitectura'!$B$121,G917&lt;'00_Arquitectura'!$B$122),F917&lt;'00_Arquitectura'!$B$123),1,0),IF(AND(H917=1,$H$899=1),1,0))</x:f>
        <x:v>0</x:v>
      </x:c>
      <x:c r="J917" s="5" t="n">
        <x:f>-I917*2*'02_Actores'!$E$6/10</x:f>
        <x:v>0</x:v>
      </x:c>
      <x:c r="K917" s="5" t="n">
        <x:f>($F$917*'02_Actores'!$F$6+$F$918*'02_Actores'!$F$7+$F$919*'02_Actores'!$F$8+$F$920*'02_Actores'!$F$9+$F$921*'02_Actores'!$F$10+$F$922*'02_Actores'!$F$11+$F$923*'02_Actores'!$F$12+$F$924*'02_Actores'!$F$13+$F$925*'02_Actores'!$F$14+$F$926*'02_Actores'!$F$15+$F$927*'02_Actores'!$F$16+$F$928*'02_Actores'!$F$17+$F$929*'02_Actores'!$F$18+$F$930*'02_Actores'!$F$19)/('02_Actores'!$F$6+'02_Actores'!$F$7+'02_Actores'!$F$8+'02_Actores'!$F$9+'02_Actores'!$F$10+'02_Actores'!$F$11+'02_Actores'!$F$12+'02_Actores'!$F$13+'02_Actores'!$F$14+'02_Actores'!$F$15+'02_Actores'!$F$16+'02_Actores'!$F$17+'02_Actores'!$F$18+'02_Actores'!$F$19)</x:f>
        <x:v>46.72800601299841</x:v>
      </x:c>
      <x:c r="L917" s="5" t="str">
        <x:v>J programa offset para t+1; efecto sustituible y acotado, sin voto adicional.</x:v>
      </x:c>
    </x:row>
    <x:row r="918" ht="34" customHeight="1">
      <x:c r="A918" s="10" t="str">
        <x:v>S1_EMISION</x:v>
      </x:c>
      <x:c r="B918" s="10" t="n">
        <x:v>9</x:v>
      </x:c>
      <x:c r="C918" s="10" t="str">
        <x:v>agro</x:v>
      </x:c>
      <x:c r="D918" s="10" t="n">
        <x:f>$F$900</x:f>
        <x:v>45.42529926906964</x:v>
      </x:c>
      <x:c r="E918" s="10" t="n">
        <x:f>(ABS('03_Sensibilidades'!$C$10)*IF('03_Sensibilidades'!$C$10&lt;0,100-$K$186,$K$186)+ABS('03_Sensibilidades'!$C$11)*IF('03_Sensibilidades'!$C$11&lt;0,100-$K$187,$K$187)+ABS('03_Sensibilidades'!$C$12)*IF('03_Sensibilidades'!$C$12&lt;0,100-$K$194,$K$194)+ABS('03_Sensibilidades'!$C$13)*IF('03_Sensibilidades'!$C$13&lt;0,100-$K$184,$K$184))/(ABS('03_Sensibilidades'!$C$10)+ABS('03_Sensibilidades'!$C$11)+ABS('03_Sensibilidades'!$C$12)+ABS('03_Sensibilidades'!$C$13))</x:f>
        <x:v>45.47853400510164</x:v>
      </x:c>
      <x:c r="F918" s="10" t="n">
        <x:f>(1-'00_Arquitectura'!$B$95)*D918+'00_Arquitectura'!$B$95*E918</x:f>
        <x:v>45.44393142668084</x:v>
      </x:c>
      <x:c r="G918" s="10" t="n">
        <x:f>'02_Actores'!$I$7</x:f>
        <x:v>45</x:v>
      </x:c>
      <x:c r="H918" s="10" t="n">
        <x:f>IF(OR(AND(F918&lt;'00_Arquitectura'!$B$118,G918&lt;'00_Arquitectura'!$B$119),F918&lt;'00_Arquitectura'!$B$120),1,0)</x:f>
        <x:v>0</x:v>
      </x:c>
      <x:c r="I918" s="10" t="n">
        <x:f>IF($I$900=1,IF(OR(AND(F918&lt;'00_Arquitectura'!$B$121,G918&lt;'00_Arquitectura'!$B$122),F918&lt;'00_Arquitectura'!$B$123),1,0),IF(AND(H918=1,$H$900=1),1,0))</x:f>
        <x:v>0</x:v>
      </x:c>
      <x:c r="J918" s="10" t="n">
        <x:f>-I918*2*'02_Actores'!$E$7/10</x:f>
        <x:v>0</x:v>
      </x:c>
      <x:c r="K918" s="10" t="n">
        <x:f>$K$917</x:f>
        <x:v>46.72800601299841</x:v>
      </x:c>
      <x:c r="L918" s="10" t="str">
        <x:v>J programa offset para t+1; efecto sustituible y acotado, sin voto adicional.</x:v>
      </x:c>
    </x:row>
    <x:row r="919" ht="34" customHeight="1">
      <x:c r="A919" s="5" t="str">
        <x:v>S1_EMISION</x:v>
      </x:c>
      <x:c r="B919" s="5" t="n">
        <x:v>9</x:v>
      </x:c>
      <x:c r="C919" s="5" t="str">
        <x:v>financiero</x:v>
      </x:c>
      <x:c r="D919" s="5" t="n">
        <x:f>$F$901</x:f>
        <x:v>49.55249141000051</x:v>
      </x:c>
      <x:c r="E919" s="5" t="n">
        <x:f>(ABS('03_Sensibilidades'!$C$14)*IF('03_Sensibilidades'!$C$14&lt;0,100-$K$185,$K$185)+ABS('03_Sensibilidades'!$C$15)*IF('03_Sensibilidades'!$C$15&lt;0,100-$K$181,$K$181)+ABS('03_Sensibilidades'!$C$16)*IF('03_Sensibilidades'!$C$16&lt;0,100-$K$184,$K$184)+ABS('03_Sensibilidades'!$C$17)*IF('03_Sensibilidades'!$C$17&lt;0,100-$K$193,$K$193))/(ABS('03_Sensibilidades'!$C$14)+ABS('03_Sensibilidades'!$C$15)+ABS('03_Sensibilidades'!$C$16)+ABS('03_Sensibilidades'!$C$17))</x:f>
        <x:v>49.32481044831946</x:v>
      </x:c>
      <x:c r="F919" s="5" t="n">
        <x:f>(1-'00_Arquitectura'!$B$95)*D919+'00_Arquitectura'!$B$95*E919</x:f>
        <x:v>49.472803073412145</x:v>
      </x:c>
      <x:c r="G919" s="5" t="n">
        <x:f>'02_Actores'!$I$8</x:f>
        <x:v>45</x:v>
      </x:c>
      <x:c r="H919" s="5" t="n">
        <x:f>IF(OR(AND(F919&lt;'00_Arquitectura'!$B$118,G919&lt;'00_Arquitectura'!$B$119),F919&lt;'00_Arquitectura'!$B$120),1,0)</x:f>
        <x:v>0</x:v>
      </x:c>
      <x:c r="I919" s="5" t="n">
        <x:f>IF($I$901=1,IF(OR(AND(F919&lt;'00_Arquitectura'!$B$121,G919&lt;'00_Arquitectura'!$B$122),F919&lt;'00_Arquitectura'!$B$123),1,0),IF(AND(H919=1,$H$901=1),1,0))</x:f>
        <x:v>0</x:v>
      </x:c>
      <x:c r="J919" s="5" t="n">
        <x:f>-I919*2*'02_Actores'!$E$8/10</x:f>
        <x:v>0</x:v>
      </x:c>
      <x:c r="K919" s="5" t="n">
        <x:f>$K$917</x:f>
        <x:v>46.72800601299841</x:v>
      </x:c>
      <x:c r="L919" s="5" t="str">
        <x:v>J programa offset para t+1; efecto sustituible y acotado, sin voto adicional.</x:v>
      </x:c>
    </x:row>
    <x:row r="920" ht="34" customHeight="1">
      <x:c r="A920" s="10" t="str">
        <x:v>S1_EMISION</x:v>
      </x:c>
      <x:c r="B920" s="10" t="n">
        <x:v>9</x:v>
      </x:c>
      <x:c r="C920" s="10" t="str">
        <x:v>sindicatos</x:v>
      </x:c>
      <x:c r="D920" s="10" t="n">
        <x:f>$F$902</x:f>
        <x:v>46.17922295938119</x:v>
      </x:c>
      <x:c r="E920" s="10" t="n">
        <x:f>(ABS('03_Sensibilidades'!$C$18)*IF('03_Sensibilidades'!$C$18&lt;0,100-$K$183,$K$183)+ABS('03_Sensibilidades'!$C$19)*IF('03_Sensibilidades'!$C$19&lt;0,100-$K$182,$K$182)+ABS('03_Sensibilidades'!$C$20)*IF('03_Sensibilidades'!$C$20&lt;0,100-$K$190,$K$190)+ABS('03_Sensibilidades'!$C$21)*IF('03_Sensibilidades'!$C$21&lt;0,100-$K$193,$K$193))/(ABS('03_Sensibilidades'!$C$18)+ABS('03_Sensibilidades'!$C$19)+ABS('03_Sensibilidades'!$C$20)+ABS('03_Sensibilidades'!$C$21))</x:f>
        <x:v>45.210918586851854</x:v>
      </x:c>
      <x:c r="F920" s="10" t="n">
        <x:f>(1-'00_Arquitectura'!$B$95)*D920+'00_Arquitectura'!$B$95*E920</x:f>
        <x:v>45.84031642899592</x:v>
      </x:c>
      <x:c r="G920" s="10" t="n">
        <x:f>'02_Actores'!$I$9</x:f>
        <x:v>45</x:v>
      </x:c>
      <x:c r="H920" s="10" t="n">
        <x:f>IF(OR(AND(F920&lt;'00_Arquitectura'!$B$118,G920&lt;'00_Arquitectura'!$B$119),F920&lt;'00_Arquitectura'!$B$120),1,0)</x:f>
        <x:v>0</x:v>
      </x:c>
      <x:c r="I920" s="10" t="n">
        <x:f>IF($I$902=1,IF(OR(AND(F920&lt;'00_Arquitectura'!$B$121,G920&lt;'00_Arquitectura'!$B$122),F920&lt;'00_Arquitectura'!$B$123),1,0),IF(AND(H920=1,$H$902=1),1,0))</x:f>
        <x:v>0</x:v>
      </x:c>
      <x:c r="J920" s="10" t="n">
        <x:f>-I920*2*'02_Actores'!$E$9/10</x:f>
        <x:v>0</x:v>
      </x:c>
      <x:c r="K920" s="10" t="n">
        <x:f>$K$917</x:f>
        <x:v>46.72800601299841</x:v>
      </x:c>
      <x:c r="L920" s="10" t="str">
        <x:v>J programa offset para t+1; efecto sustituible y acotado, sin voto adicional.</x:v>
      </x:c>
    </x:row>
    <x:row r="921" ht="34" customHeight="1">
      <x:c r="A921" s="5" t="str">
        <x:v>S1_EMISION</x:v>
      </x:c>
      <x:c r="B921" s="5" t="n">
        <x:v>9</x:v>
      </x:c>
      <x:c r="C921" s="5" t="str">
        <x:v>pymes</x:v>
      </x:c>
      <x:c r="D921" s="5" t="n">
        <x:f>$F$903</x:f>
        <x:v>45.33405308408826</x:v>
      </x:c>
      <x:c r="E921" s="5" t="n">
        <x:f>(ABS('03_Sensibilidades'!$C$22)*IF('03_Sensibilidades'!$C$22&lt;0,100-$K$184,$K$184)+ABS('03_Sensibilidades'!$C$23)*IF('03_Sensibilidades'!$C$23&lt;0,100-$K$182,$K$182)+ABS('03_Sensibilidades'!$C$24)*IF('03_Sensibilidades'!$C$24&lt;0,100-$K$187,$K$187)+ABS('03_Sensibilidades'!$C$25)*IF('03_Sensibilidades'!$C$25&lt;0,100-$K$181,$K$181))/(ABS('03_Sensibilidades'!$C$22)+ABS('03_Sensibilidades'!$C$23)+ABS('03_Sensibilidades'!$C$24)+ABS('03_Sensibilidades'!$C$25))</x:f>
        <x:v>44.942408269084</x:v>
      </x:c>
      <x:c r="F921" s="5" t="n">
        <x:f>(1-'00_Arquitectura'!$B$95)*D921+'00_Arquitectura'!$B$95*E921</x:f>
        <x:v>45.196977398836765</x:v>
      </x:c>
      <x:c r="G921" s="5" t="n">
        <x:f>'02_Actores'!$I$10</x:f>
        <x:v>45</x:v>
      </x:c>
      <x:c r="H921" s="5" t="n">
        <x:f>IF(OR(AND(F921&lt;'00_Arquitectura'!$B$118,G921&lt;'00_Arquitectura'!$B$119),F921&lt;'00_Arquitectura'!$B$120),1,0)</x:f>
        <x:v>0</x:v>
      </x:c>
      <x:c r="I921" s="5" t="n">
        <x:f>IF($I$903=1,IF(OR(AND(F921&lt;'00_Arquitectura'!$B$121,G921&lt;'00_Arquitectura'!$B$122),F921&lt;'00_Arquitectura'!$B$123),1,0),IF(AND(H921=1,$H$903=1),1,0))</x:f>
        <x:v>0</x:v>
      </x:c>
      <x:c r="J921" s="5" t="n">
        <x:f>-I921*2*'02_Actores'!$E$10/10</x:f>
        <x:v>0</x:v>
      </x:c>
      <x:c r="K921" s="5" t="n">
        <x:f>$K$917</x:f>
        <x:v>46.72800601299841</x:v>
      </x:c>
      <x:c r="L921" s="5" t="str">
        <x:v>J programa offset para t+1; efecto sustituible y acotado, sin voto adicional.</x:v>
      </x:c>
    </x:row>
    <x:row r="922" ht="34" customHeight="1">
      <x:c r="A922" s="10" t="str">
        <x:v>S1_EMISION</x:v>
      </x:c>
      <x:c r="B922" s="10" t="n">
        <x:v>9</x:v>
      </x:c>
      <x:c r="C922" s="10" t="str">
        <x:v>clase_media</x:v>
      </x:c>
      <x:c r="D922" s="10" t="n">
        <x:f>$F$904</x:f>
        <x:v>43.65915551749958</x:v>
      </x:c>
      <x:c r="E922" s="10" t="n">
        <x:f>(ABS('03_Sensibilidades'!$C$26)*IF('03_Sensibilidades'!$C$26&lt;0,100-$K$183,$K$183)+ABS('03_Sensibilidades'!$C$27)*IF('03_Sensibilidades'!$C$27&lt;0,100-$K$191,$K$191)+ABS('03_Sensibilidades'!$C$28)*IF('03_Sensibilidades'!$C$28&lt;0,100-$K$188,$K$188)+ABS('03_Sensibilidades'!$C$29)*IF('03_Sensibilidades'!$C$29&lt;0,100-$K$181,$K$181))/(ABS('03_Sensibilidades'!$C$26)+ABS('03_Sensibilidades'!$C$27)+ABS('03_Sensibilidades'!$C$28)+ABS('03_Sensibilidades'!$C$29))</x:f>
        <x:v>42.925615722257774</x:v>
      </x:c>
      <x:c r="F922" s="10" t="n">
        <x:f>(1-'00_Arquitectura'!$B$95)*D922+'00_Arquitectura'!$B$95*E922</x:f>
        <x:v>43.40241658916495</x:v>
      </x:c>
      <x:c r="G922" s="10" t="n">
        <x:f>'02_Actores'!$I$11</x:f>
        <x:v>45</x:v>
      </x:c>
      <x:c r="H922" s="10" t="n">
        <x:f>IF(OR(AND(F922&lt;'00_Arquitectura'!$B$118,G922&lt;'00_Arquitectura'!$B$119),F922&lt;'00_Arquitectura'!$B$120),1,0)</x:f>
        <x:v>0</x:v>
      </x:c>
      <x:c r="I922" s="10" t="n">
        <x:f>IF($I$904=1,IF(OR(AND(F922&lt;'00_Arquitectura'!$B$121,G922&lt;'00_Arquitectura'!$B$122),F922&lt;'00_Arquitectura'!$B$123),1,0),IF(AND(H922=1,$H$904=1),1,0))</x:f>
        <x:v>0</x:v>
      </x:c>
      <x:c r="J922" s="10" t="n">
        <x:f>0</x:f>
        <x:v>0</x:v>
      </x:c>
      <x:c r="K922" s="10" t="n">
        <x:f>$K$917</x:f>
        <x:v>46.72800601299841</x:v>
      </x:c>
      <x:c r="L922" s="10" t="str">
        <x:v>Canal directo sólo al índice social; sin bono de popularidad.</x:v>
      </x:c>
    </x:row>
    <x:row r="923" ht="34" customHeight="1">
      <x:c r="A923" s="5" t="str">
        <x:v>S1_EMISION</x:v>
      </x:c>
      <x:c r="B923" s="5" t="n">
        <x:v>9</x:v>
      </x:c>
      <x:c r="C923" s="5" t="str">
        <x:v>cooperativas</x:v>
      </x:c>
      <x:c r="D923" s="5" t="n">
        <x:f>$F$905</x:f>
        <x:v>47.228532889466486</x:v>
      </x:c>
      <x:c r="E923" s="5" t="n">
        <x:f>(ABS('03_Sensibilidades'!$C$30)*IF('03_Sensibilidades'!$C$30&lt;0,100-$K$184,$K$184)+ABS('03_Sensibilidades'!$C$31)*IF('03_Sensibilidades'!$C$31&lt;0,100-$K$182,$K$182)+ABS('03_Sensibilidades'!$C$32)*IF('03_Sensibilidades'!$C$32&lt;0,100-$K$190,$K$190)+ABS('03_Sensibilidades'!$C$33)*IF('03_Sensibilidades'!$C$33&lt;0,100-$K$193,$K$193))/(ABS('03_Sensibilidades'!$C$30)+ABS('03_Sensibilidades'!$C$31)+ABS('03_Sensibilidades'!$C$32)+ABS('03_Sensibilidades'!$C$33))</x:f>
        <x:v>46.98980835647764</x:v>
      </x:c>
      <x:c r="F923" s="5" t="n">
        <x:f>(1-'00_Arquitectura'!$B$95)*D923+'00_Arquitectura'!$B$95*E923</x:f>
        <x:v>47.14497930292039</x:v>
      </x:c>
      <x:c r="G923" s="5" t="n">
        <x:f>'02_Actores'!$I$12</x:f>
        <x:v>45</x:v>
      </x:c>
      <x:c r="H923" s="5" t="n">
        <x:f>IF(OR(AND(F923&lt;'00_Arquitectura'!$B$118,G923&lt;'00_Arquitectura'!$B$119),F923&lt;'00_Arquitectura'!$B$120),1,0)</x:f>
        <x:v>0</x:v>
      </x:c>
      <x:c r="I923" s="5" t="n">
        <x:f>IF($I$905=1,IF(OR(AND(F923&lt;'00_Arquitectura'!$B$121,G923&lt;'00_Arquitectura'!$B$122),F923&lt;'00_Arquitectura'!$B$123),1,0),IF(AND(H923=1,$H$905=1),1,0))</x:f>
        <x:v>0</x:v>
      </x:c>
      <x:c r="J923" s="5" t="n">
        <x:f>-I923*1.5*'02_Actores'!$E$12/10</x:f>
        <x:v>0</x:v>
      </x:c>
      <x:c r="K923" s="5" t="n">
        <x:f>$K$917</x:f>
        <x:v>46.72800601299841</x:v>
      </x:c>
      <x:c r="L923" s="5" t="str">
        <x:v>J programa offset para t+1; efecto sustituible y acotado, sin voto adicional.</x:v>
      </x:c>
    </x:row>
    <x:row r="924" ht="42" customHeight="1">
      <x:c r="A924" s="10" t="str">
        <x:v>S1_EMISION</x:v>
      </x:c>
      <x:c r="B924" s="10" t="n">
        <x:v>9</x:v>
      </x:c>
      <x:c r="C924" s="10" t="str">
        <x:v>estudiantes</x:v>
      </x:c>
      <x:c r="D924" s="10" t="n">
        <x:f>$F$906</x:f>
        <x:v>48.09398385926228</x:v>
      </x:c>
      <x:c r="E924" s="10" t="n">
        <x:f>(ABS('03_Sensibilidades'!$C$34)*IF('03_Sensibilidades'!$C$34&lt;0,100-$K$188,$K$188)+ABS('03_Sensibilidades'!$C$35)*IF('03_Sensibilidades'!$C$35&lt;0,100-$K$183,$K$183)+ABS('03_Sensibilidades'!$C$36)*IF('03_Sensibilidades'!$C$36&lt;0,100-$K$193,$K$193)+ABS('03_Sensibilidades'!$C$37)*IF('03_Sensibilidades'!$C$37&lt;0,100-$K$192,$K$192))/(ABS('03_Sensibilidades'!$C$34)+ABS('03_Sensibilidades'!$C$35)+ABS('03_Sensibilidades'!$C$36)+ABS('03_Sensibilidades'!$C$37))</x:f>
        <x:v>47.751770970019194</x:v>
      </x:c>
      <x:c r="F924" s="10" t="n">
        <x:f>(1-'00_Arquitectura'!$B$95)*D924+'00_Arquitectura'!$B$95*E924</x:f>
        <x:v>47.9742093480272</x:v>
      </x:c>
      <x:c r="G924" s="10" t="n">
        <x:f>'02_Actores'!$I$13</x:f>
        <x:v>45</x:v>
      </x:c>
      <x:c r="H924" s="10" t="n">
        <x:f>IF(OR(AND(F924&lt;'00_Arquitectura'!$B$118,G924&lt;'00_Arquitectura'!$B$119),F924&lt;'00_Arquitectura'!$B$120),1,0)</x:f>
        <x:v>0</x:v>
      </x:c>
      <x:c r="I924" s="10" t="n">
        <x:f>IF($I$906=1,IF(OR(AND(F924&lt;'00_Arquitectura'!$B$121,G924&lt;'00_Arquitectura'!$B$122),F924&lt;'00_Arquitectura'!$B$123),1,0),IF(AND(H924=1,$H$906=1),1,0))</x:f>
        <x:v>0</x:v>
      </x:c>
      <x:c r="J924" s="10" t="n">
        <x:f>0</x:f>
        <x:v>0</x:v>
      </x:c>
      <x:c r="K924" s="10" t="n">
        <x:f>$K$917</x:f>
        <x:v>46.72800601299841</x:v>
      </x:c>
      <x:c r="L924" s="10" t="str">
        <x:v>Conflicto activo captura menor eficacia en políticas ejecutadas en t+1. Magnitud0 en J: no es un offset directo de indicador.</x:v>
      </x:c>
    </x:row>
    <x:row r="925" ht="34" customHeight="1">
      <x:c r="A925" s="5" t="str">
        <x:v>S1_EMISION</x:v>
      </x:c>
      <x:c r="B925" s="5" t="n">
        <x:v>9</x:v>
      </x:c>
      <x:c r="C925" s="5" t="str">
        <x:v>docentes</x:v>
      </x:c>
      <x:c r="D925" s="5" t="n">
        <x:f>$F$907</x:f>
        <x:v>46.74909885507836</x:v>
      </x:c>
      <x:c r="E925" s="5" t="n">
        <x:f>(ABS('03_Sensibilidades'!$C$38)*IF('03_Sensibilidades'!$C$38&lt;0,100-$K$188,$K$188)+ABS('03_Sensibilidades'!$C$39)*IF('03_Sensibilidades'!$C$39&lt;0,100-$K$183,$K$183)+ABS('03_Sensibilidades'!$C$40)*IF('03_Sensibilidades'!$C$40&lt;0,100-$K$193,$K$193))/(ABS('03_Sensibilidades'!$C$38)+ABS('03_Sensibilidades'!$C$39)+ABS('03_Sensibilidades'!$C$40))</x:f>
        <x:v>46.079551897863645</x:v>
      </x:c>
      <x:c r="F925" s="5" t="n">
        <x:f>(1-'00_Arquitectura'!$B$95)*D925+'00_Arquitectura'!$B$95*E925</x:f>
        <x:v>46.514757420053215</x:v>
      </x:c>
      <x:c r="G925" s="5" t="n">
        <x:f>'02_Actores'!$I$14</x:f>
        <x:v>45</x:v>
      </x:c>
      <x:c r="H925" s="5" t="n">
        <x:f>IF(OR(AND(F925&lt;'00_Arquitectura'!$B$118,G925&lt;'00_Arquitectura'!$B$119),F925&lt;'00_Arquitectura'!$B$120),1,0)</x:f>
        <x:v>0</x:v>
      </x:c>
      <x:c r="I925" s="5" t="n">
        <x:f>IF($I$907=1,IF(OR(AND(F925&lt;'00_Arquitectura'!$B$121,G925&lt;'00_Arquitectura'!$B$122),F925&lt;'00_Arquitectura'!$B$123),1,0),IF(AND(H925=1,$H$907=1),1,0))</x:f>
        <x:v>0</x:v>
      </x:c>
      <x:c r="J925" s="5" t="n">
        <x:f>-I925*1.5*'02_Actores'!$E$14/10</x:f>
        <x:v>0</x:v>
      </x:c>
      <x:c r="K925" s="5" t="n">
        <x:f>$K$917</x:f>
        <x:v>46.72800601299841</x:v>
      </x:c>
      <x:c r="L925" s="5" t="str">
        <x:v>J programa offset para t+1; efecto sustituible y acotado, sin voto adicional.</x:v>
      </x:c>
    </x:row>
    <x:row r="926" ht="34" customHeight="1">
      <x:c r="A926" s="10" t="str">
        <x:v>S1_EMISION</x:v>
      </x:c>
      <x:c r="B926" s="10" t="n">
        <x:v>9</x:v>
      </x:c>
      <x:c r="C926" s="10" t="str">
        <x:v>cientificos</x:v>
      </x:c>
      <x:c r="D926" s="10" t="n">
        <x:f>$F$908</x:f>
        <x:v>46.59090909090909</x:v>
      </x:c>
      <x:c r="E926" s="10" t="n">
        <x:f>(ABS('03_Sensibilidades'!$C$41)*IF('03_Sensibilidades'!$C$41&lt;0,100-$K$192,$K$192)+ABS('03_Sensibilidades'!$C$42)*IF('03_Sensibilidades'!$C$42&lt;0,100-$K$188,$K$188)+ABS('03_Sensibilidades'!$C$43)*IF('03_Sensibilidades'!$C$43&lt;0,100-$K$193,$K$193))/(ABS('03_Sensibilidades'!$C$41)+ABS('03_Sensibilidades'!$C$42)+ABS('03_Sensibilidades'!$C$43))</x:f>
        <x:v>46.59090909090909</x:v>
      </x:c>
      <x:c r="F926" s="10" t="n">
        <x:f>(1-'00_Arquitectura'!$B$95)*D926+'00_Arquitectura'!$B$95*E926</x:f>
        <x:v>46.59090909090909</x:v>
      </x:c>
      <x:c r="G926" s="10" t="n">
        <x:f>'02_Actores'!$I$15</x:f>
        <x:v>45</x:v>
      </x:c>
      <x:c r="H926" s="10" t="n">
        <x:f>IF(OR(AND(F926&lt;'00_Arquitectura'!$B$118,G926&lt;'00_Arquitectura'!$B$119),F926&lt;'00_Arquitectura'!$B$120),1,0)</x:f>
        <x:v>0</x:v>
      </x:c>
      <x:c r="I926" s="10" t="n">
        <x:f>IF($I$908=1,IF(OR(AND(F926&lt;'00_Arquitectura'!$B$121,G926&lt;'00_Arquitectura'!$B$122),F926&lt;'00_Arquitectura'!$B$123),1,0),IF(AND(H926=1,$H$908=1),1,0))</x:f>
        <x:v>0</x:v>
      </x:c>
      <x:c r="J926" s="10" t="n">
        <x:f>-I926*1.5*'02_Actores'!$E$15/10</x:f>
        <x:v>0</x:v>
      </x:c>
      <x:c r="K926" s="10" t="n">
        <x:f>$K$917</x:f>
        <x:v>46.72800601299841</x:v>
      </x:c>
      <x:c r="L926" s="10" t="str">
        <x:v>J programa offset para t+1; efecto sustituible y acotado, sin voto adicional.</x:v>
      </x:c>
    </x:row>
    <x:row r="927" ht="34" customHeight="1">
      <x:c r="A927" s="5" t="str">
        <x:v>S1_EMISION</x:v>
      </x:c>
      <x:c r="B927" s="5" t="n">
        <x:v>9</x:v>
      </x:c>
      <x:c r="C927" s="5" t="str">
        <x:v>organizaciones</x:v>
      </x:c>
      <x:c r="D927" s="5" t="n">
        <x:f>$F$909</x:f>
        <x:v>49.21424459187955</x:v>
      </x:c>
      <x:c r="E927" s="5" t="n">
        <x:f>(ABS('03_Sensibilidades'!$C$44)*IF('03_Sensibilidades'!$C$44&lt;0,100-$K$190,$K$190)+ABS('03_Sensibilidades'!$C$45)*IF('03_Sensibilidades'!$C$45&lt;0,100-$K$189,$K$189)+ABS('03_Sensibilidades'!$C$46)*IF('03_Sensibilidades'!$C$46&lt;0,100-$K$182,$K$182)+ABS('03_Sensibilidades'!$C$47)*IF('03_Sensibilidades'!$C$47&lt;0,100-$K$193,$K$193))/(ABS('03_Sensibilidades'!$C$44)+ABS('03_Sensibilidades'!$C$45)+ABS('03_Sensibilidades'!$C$46)+ABS('03_Sensibilidades'!$C$47))</x:f>
        <x:v>48.953049774232</x:v>
      </x:c>
      <x:c r="F927" s="5" t="n">
        <x:f>(1-'00_Arquitectura'!$B$95)*D927+'00_Arquitectura'!$B$95*E927</x:f>
        <x:v>49.12282640570291</x:v>
      </x:c>
      <x:c r="G927" s="5" t="n">
        <x:f>'02_Actores'!$I$16</x:f>
        <x:v>45</x:v>
      </x:c>
      <x:c r="H927" s="5" t="n">
        <x:f>IF(OR(AND(F927&lt;'00_Arquitectura'!$B$118,G927&lt;'00_Arquitectura'!$B$119),F927&lt;'00_Arquitectura'!$B$120),1,0)</x:f>
        <x:v>0</x:v>
      </x:c>
      <x:c r="I927" s="5" t="n">
        <x:f>IF($I$909=1,IF(OR(AND(F927&lt;'00_Arquitectura'!$B$121,G927&lt;'00_Arquitectura'!$B$122),F927&lt;'00_Arquitectura'!$B$123),1,0),IF(AND(H927=1,$H$909=1),1,0))</x:f>
        <x:v>0</x:v>
      </x:c>
      <x:c r="J927" s="5" t="n">
        <x:f>-I927*1.5*'02_Actores'!$E$16/10</x:f>
        <x:v>0</x:v>
      </x:c>
      <x:c r="K927" s="5" t="n">
        <x:f>$K$917</x:f>
        <x:v>46.72800601299841</x:v>
      </x:c>
      <x:c r="L927" s="5" t="str">
        <x:v>J programa offset para t+1; efecto sustituible y acotado, sin voto adicional.</x:v>
      </x:c>
    </x:row>
    <x:row r="928" ht="42" customHeight="1">
      <x:c r="A928" s="10" t="str">
        <x:v>S1_EMISION</x:v>
      </x:c>
      <x:c r="B928" s="10" t="n">
        <x:v>9</x:v>
      </x:c>
      <x:c r="C928" s="10" t="str">
        <x:v>ddhh</x:v>
      </x:c>
      <x:c r="D928" s="10" t="n">
        <x:f>$F$910</x:f>
        <x:v>50.88235294117648</x:v>
      </x:c>
      <x:c r="E928" s="10" t="n">
        <x:f>(ABS('03_Sensibilidades'!$C$48)*IF('03_Sensibilidades'!$C$48&lt;0,100-$K$193,$K$193)+ABS('03_Sensibilidades'!$C$49)*IF('03_Sensibilidades'!$C$49&lt;0,100-$K$191,$K$191)+ABS('03_Sensibilidades'!$C$50)*IF('03_Sensibilidades'!$C$50&lt;0,100-$K$190,$K$190))/(ABS('03_Sensibilidades'!$C$48)+ABS('03_Sensibilidades'!$C$49)+ABS('03_Sensibilidades'!$C$50))</x:f>
        <x:v>50.88235294117647</x:v>
      </x:c>
      <x:c r="F928" s="10" t="n">
        <x:f>(1-'00_Arquitectura'!$B$95)*D928+'00_Arquitectura'!$B$95*E928</x:f>
        <x:v>50.88235294117648</x:v>
      </x:c>
      <x:c r="G928" s="10" t="n">
        <x:f>'02_Actores'!$I$17</x:f>
        <x:v>45</x:v>
      </x:c>
      <x:c r="H928" s="10" t="n">
        <x:f>IF(OR(AND(F928&lt;'00_Arquitectura'!$B$118,G928&lt;'00_Arquitectura'!$B$119),F928&lt;'00_Arquitectura'!$B$120),1,0)</x:f>
        <x:v>0</x:v>
      </x:c>
      <x:c r="I928" s="10" t="n">
        <x:f>IF($I$910=1,IF(OR(AND(F928&lt;'00_Arquitectura'!$B$121,G928&lt;'00_Arquitectura'!$B$122),F928&lt;'00_Arquitectura'!$B$123),1,0),IF(AND(H928=1,$H$910=1),1,0))</x:f>
        <x:v>0</x:v>
      </x:c>
      <x:c r="J928" s="10" t="n">
        <x:f>0</x:f>
        <x:v>0</x:v>
      </x:c>
      <x:c r="K928" s="10" t="n">
        <x:f>$K$917</x:f>
        <x:v>46.72800601299841</x:v>
      </x:c>
      <x:c r="L928" s="10" t="str">
        <x:v>Conflicto activo captura menor eficacia en políticas ejecutadas en t+1. Magnitud0 en J: no es un offset directo de indicador.</x:v>
      </x:c>
    </x:row>
    <x:row r="929" ht="42" customHeight="1">
      <x:c r="A929" s="5" t="str">
        <x:v>S1_EMISION</x:v>
      </x:c>
      <x:c r="B929" s="5" t="n">
        <x:v>9</x:v>
      </x:c>
      <x:c r="C929" s="5" t="str">
        <x:v>ambientalistas</x:v>
      </x:c>
      <x:c r="D929" s="5" t="n">
        <x:f>$F$911</x:f>
        <x:v>51.388888888888886</x:v>
      </x:c>
      <x:c r="E929" s="5" t="n">
        <x:f>(ABS('03_Sensibilidades'!$C$51)*IF('03_Sensibilidades'!$C$51&lt;0,100-$K$194,$K$194)+ABS('03_Sensibilidades'!$C$52)*IF('03_Sensibilidades'!$C$52&lt;0,100-$K$193,$K$193)+ABS('03_Sensibilidades'!$C$53)*IF('03_Sensibilidades'!$C$53&lt;0,100-$K$189,$K$189))/(ABS('03_Sensibilidades'!$C$51)+ABS('03_Sensibilidades'!$C$52)+ABS('03_Sensibilidades'!$C$53))</x:f>
        <x:v>51.388888888888886</x:v>
      </x:c>
      <x:c r="F929" s="5" t="n">
        <x:f>(1-'00_Arquitectura'!$B$95)*D929+'00_Arquitectura'!$B$95*E929</x:f>
        <x:v>51.388888888888886</x:v>
      </x:c>
      <x:c r="G929" s="5" t="n">
        <x:f>'02_Actores'!$I$18</x:f>
        <x:v>45</x:v>
      </x:c>
      <x:c r="H929" s="5" t="n">
        <x:f>IF(OR(AND(F929&lt;'00_Arquitectura'!$B$118,G929&lt;'00_Arquitectura'!$B$119),F929&lt;'00_Arquitectura'!$B$120),1,0)</x:f>
        <x:v>0</x:v>
      </x:c>
      <x:c r="I929" s="5" t="n">
        <x:f>IF($I$911=1,IF(OR(AND(F929&lt;'00_Arquitectura'!$B$121,G929&lt;'00_Arquitectura'!$B$122),F929&lt;'00_Arquitectura'!$B$123),1,0),IF(AND(H929=1,$H$911=1),1,0))</x:f>
        <x:v>0</x:v>
      </x:c>
      <x:c r="J929" s="5" t="n">
        <x:f>0</x:f>
        <x:v>0</x:v>
      </x:c>
      <x:c r="K929" s="5" t="n">
        <x:f>$K$917</x:f>
        <x:v>46.72800601299841</x:v>
      </x:c>
      <x:c r="L929" s="5" t="str">
        <x:v>Conflicto activo captura menor eficacia en políticas ejecutadas en t+1. Magnitud0 en J: no es un offset directo de indicador.</x:v>
      </x:c>
    </x:row>
    <x:row r="930" ht="34" customHeight="1">
      <x:c r="A930" s="10" t="str">
        <x:v>S1_EMISION</x:v>
      </x:c>
      <x:c r="B930" s="10" t="n">
        <x:v>9</x:v>
      </x:c>
      <x:c r="C930" s="10" t="str">
        <x:v>cultura</x:v>
      </x:c>
      <x:c r="D930" s="10" t="n">
        <x:f>$F$912</x:f>
        <x:v>49.334189288503</x:v>
      </x:c>
      <x:c r="E930" s="10" t="n">
        <x:f>(ABS('03_Sensibilidades'!$C$54)*IF('03_Sensibilidades'!$C$54&lt;0,100-$K$193,$K$193)+ABS('03_Sensibilidades'!$C$55)*IF('03_Sensibilidades'!$C$55&lt;0,100-$K$188,$K$188)+ABS('03_Sensibilidades'!$C$56)*IF('03_Sensibilidades'!$C$56&lt;0,100-$K$183,$K$183))/(ABS('03_Sensibilidades'!$C$54)+ABS('03_Sensibilidades'!$C$55)+ABS('03_Sensibilidades'!$C$56))</x:f>
        <x:v>48.88390917107789</x:v>
      </x:c>
      <x:c r="F930" s="10" t="n">
        <x:f>(1-'00_Arquitectura'!$B$95)*D930+'00_Arquitectura'!$B$95*E930</x:f>
        <x:v>49.17659124740421</x:v>
      </x:c>
      <x:c r="G930" s="10" t="n">
        <x:f>'02_Actores'!$I$19</x:f>
        <x:v>45</x:v>
      </x:c>
      <x:c r="H930" s="10" t="n">
        <x:f>IF(OR(AND(F930&lt;'00_Arquitectura'!$B$118,G930&lt;'00_Arquitectura'!$B$119),F930&lt;'00_Arquitectura'!$B$120),1,0)</x:f>
        <x:v>0</x:v>
      </x:c>
      <x:c r="I930" s="10" t="n">
        <x:f>IF($I$912=1,IF(OR(AND(F930&lt;'00_Arquitectura'!$B$121,G930&lt;'00_Arquitectura'!$B$122),F930&lt;'00_Arquitectura'!$B$123),1,0),IF(AND(H930=1,$H$912=1),1,0))</x:f>
        <x:v>0</x:v>
      </x:c>
      <x:c r="J930" s="10" t="n">
        <x:f>0</x:f>
        <x:v>0</x:v>
      </x:c>
      <x:c r="K930" s="10" t="n">
        <x:f>$K$917</x:f>
        <x:v>46.72800601299841</x:v>
      </x:c>
      <x:c r="L930" s="10" t="str">
        <x:v>Conflicto activo encarece agenda del turno siguiente; sin castigo electoral adicional.</x:v>
      </x:c>
    </x:row>
    <x:row r="931" ht="34" customHeight="1">
      <x:c r="A931" s="5" t="str">
        <x:v>S1_EMISION</x:v>
      </x:c>
      <x:c r="B931" s="5" t="n">
        <x:v>9</x:v>
      </x:c>
      <x:c r="C931" s="5" t="str">
        <x:v>oficialismo</x:v>
      </x:c>
      <x:c r="D931" s="5" t="n">
        <x:f>$F$913</x:f>
        <x:v>52.33164677110976</x:v>
      </x:c>
      <x:c r="E931" s="5" t="n">
        <x:f>(ABS('03_Sensibilidades'!$C$57)*IF('03_Sensibilidades'!$C$57&lt;0,100-$K$193,$K$193)+ABS('03_Sensibilidades'!$C$58)*IF('03_Sensibilidades'!$C$58&lt;0,100-$K$182,$K$182)+ABS('03_Sensibilidades'!$C$59)*IF('03_Sensibilidades'!$C$59&lt;0,100-$K$185,$K$185)+ABS('03_Sensibilidades'!$C$60)*IF('03_Sensibilidades'!$C$60&lt;0,100-$K$190,$K$190))/(ABS('03_Sensibilidades'!$C$57)+ABS('03_Sensibilidades'!$C$58)+ABS('03_Sensibilidades'!$C$59)+ABS('03_Sensibilidades'!$C$60))</x:f>
        <x:v>51.86240329488384</x:v>
      </x:c>
      <x:c r="F931" s="5" t="n">
        <x:f>(1-'00_Arquitectura'!$B$95)*D931+'00_Arquitectura'!$B$95*E931</x:f>
        <x:v>52.167411554430686</x:v>
      </x:c>
      <x:c r="G931" s="5" t="n">
        <x:f>'02_Actores'!$I$20</x:f>
        <x:v>60</x:v>
      </x:c>
      <x:c r="H931" s="5" t="n">
        <x:f>IF(OR(AND(F931&lt;'00_Arquitectura'!$B$118,G931&lt;'00_Arquitectura'!$B$119),F931&lt;'00_Arquitectura'!$B$120),1,0)</x:f>
        <x:v>0</x:v>
      </x:c>
      <x:c r="I931" s="5" t="n">
        <x:f>IF($I$913=1,IF(OR(AND(F931&lt;'00_Arquitectura'!$B$121,G931&lt;'00_Arquitectura'!$B$122),F931&lt;'00_Arquitectura'!$B$123),1,0),IF(AND(H931=1,$H$913=1),1,0))</x:f>
        <x:v>0</x:v>
      </x:c>
      <x:c r="J931" s="5" t="n">
        <x:f>0</x:f>
        <x:v>0</x:v>
      </x:c>
      <x:c r="K931" s="5" t="n">
        <x:f>$K$917</x:f>
        <x:v>46.72800601299841</x:v>
      </x:c>
      <x:c r="L931" s="5" t="str">
        <x:v>No aporta E_social; S y R alimentan disposición a leyes según07.</x:v>
      </x:c>
    </x:row>
    <x:row r="932" ht="34" customHeight="1">
      <x:c r="A932" s="10" t="str">
        <x:v>S1_EMISION</x:v>
      </x:c>
      <x:c r="B932" s="10" t="n">
        <x:v>9</x:v>
      </x:c>
      <x:c r="C932" s="10" t="str">
        <x:v>aliados</x:v>
      </x:c>
      <x:c r="D932" s="10" t="n">
        <x:f>$F$914</x:f>
        <x:v>53.21467406031498</x:v>
      </x:c>
      <x:c r="E932" s="10" t="n">
        <x:f>(ABS('03_Sensibilidades'!$C$61)*IF('03_Sensibilidades'!$C$61&lt;0,100-$K$193,$K$193)+ABS('03_Sensibilidades'!$C$62)*IF('03_Sensibilidades'!$C$62&lt;0,100-$K$185,$K$185)+ABS('03_Sensibilidades'!$C$63)*IF('03_Sensibilidades'!$C$63&lt;0,100-$K$187,$K$187))/(ABS('03_Sensibilidades'!$C$61)+ABS('03_Sensibilidades'!$C$62)+ABS('03_Sensibilidades'!$C$63))</x:f>
        <x:v>53.10468440956648</x:v>
      </x:c>
      <x:c r="F932" s="10" t="n">
        <x:f>(1-'00_Arquitectura'!$B$95)*D932+'00_Arquitectura'!$B$95*E932</x:f>
        <x:v>53.176177682553</x:v>
      </x:c>
      <x:c r="G932" s="10" t="n">
        <x:f>'02_Actores'!$I$21</x:f>
        <x:v>45</x:v>
      </x:c>
      <x:c r="H932" s="10" t="n">
        <x:f>IF(OR(AND(F932&lt;'00_Arquitectura'!$B$118,G932&lt;'00_Arquitectura'!$B$119),F932&lt;'00_Arquitectura'!$B$120),1,0)</x:f>
        <x:v>0</x:v>
      </x:c>
      <x:c r="I932" s="10" t="n">
        <x:f>IF($I$914=1,IF(OR(AND(F932&lt;'00_Arquitectura'!$B$121,G932&lt;'00_Arquitectura'!$B$122),F932&lt;'00_Arquitectura'!$B$123),1,0),IF(AND(H932=1,$H$914=1),1,0))</x:f>
        <x:v>0</x:v>
      </x:c>
      <x:c r="J932" s="10" t="n">
        <x:f>0</x:f>
        <x:v>0</x:v>
      </x:c>
      <x:c r="K932" s="10" t="n">
        <x:f>$K$917</x:f>
        <x:v>46.72800601299841</x:v>
      </x:c>
      <x:c r="L932" s="10" t="str">
        <x:v>No aporta E_social; S y R alimentan disposición a leyes según07.</x:v>
      </x:c>
    </x:row>
    <x:row r="933" ht="34" customHeight="1">
      <x:c r="A933" s="5" t="str">
        <x:v>S1_EMISION</x:v>
      </x:c>
      <x:c r="B933" s="5" t="n">
        <x:v>9</x:v>
      </x:c>
      <x:c r="C933" s="5" t="str">
        <x:v>oposicion</x:v>
      </x:c>
      <x:c r="D933" s="5" t="n">
        <x:f>$F$915</x:f>
        <x:v>53.96463522571205</x:v>
      </x:c>
      <x:c r="E933" s="5" t="n">
        <x:f>(ABS('03_Sensibilidades'!$C$64)*IF('03_Sensibilidades'!$C$64&lt;0,100-$K$193,$K$193)+ABS('03_Sensibilidades'!$C$65)*IF('03_Sensibilidades'!$C$65&lt;0,100-$K$185,$K$185)+ABS('03_Sensibilidades'!$C$66)*IF('03_Sensibilidades'!$C$66&lt;0,100-$K$191,$K$191))/(ABS('03_Sensibilidades'!$C$64)+ABS('03_Sensibilidades'!$C$65)+ABS('03_Sensibilidades'!$C$66))</x:f>
        <x:v>53.865644540038396</x:v>
      </x:c>
      <x:c r="F933" s="5" t="n">
        <x:f>(1-'00_Arquitectura'!$B$95)*D933+'00_Arquitectura'!$B$95*E933</x:f>
        <x:v>53.92998848572627</x:v>
      </x:c>
      <x:c r="G933" s="5" t="n">
        <x:f>'02_Actores'!$I$22</x:f>
        <x:v>30</x:v>
      </x:c>
      <x:c r="H933" s="5" t="n">
        <x:f>IF(OR(AND(F933&lt;'00_Arquitectura'!$B$118,G933&lt;'00_Arquitectura'!$B$119),F933&lt;'00_Arquitectura'!$B$120),1,0)</x:f>
        <x:v>0</x:v>
      </x:c>
      <x:c r="I933" s="5" t="n">
        <x:f>IF($I$915=1,IF(OR(AND(F933&lt;'00_Arquitectura'!$B$121,G933&lt;'00_Arquitectura'!$B$122),F933&lt;'00_Arquitectura'!$B$123),1,0),IF(AND(H933=1,$H$915=1),1,0))</x:f>
        <x:v>0</x:v>
      </x:c>
      <x:c r="J933" s="5" t="n">
        <x:f>0</x:f>
        <x:v>0</x:v>
      </x:c>
      <x:c r="K933" s="5" t="n">
        <x:f>$K$917</x:f>
        <x:v>46.72800601299841</x:v>
      </x:c>
      <x:c r="L933" s="5" t="str">
        <x:v>No aporta E_social; S y R alimentan disposición a leyes según07.</x:v>
      </x:c>
    </x:row>
    <x:row r="934" ht="42" customHeight="1">
      <x:c r="A934" s="10" t="str">
        <x:v>S1_EMISION</x:v>
      </x:c>
      <x:c r="B934" s="10" t="n">
        <x:v>9</x:v>
      </x:c>
      <x:c r="C934" s="10" t="str">
        <x:v>gobernadores</x:v>
      </x:c>
      <x:c r="D934" s="10" t="n">
        <x:f>$F$916</x:f>
        <x:v>50.14802429359452</x:v>
      </x:c>
      <x:c r="E934" s="10" t="n">
        <x:f>(ABS('03_Sensibilidades'!$C$67)*IF('03_Sensibilidades'!$C$67&lt;0,100-$K$187,$K$187)+ABS('03_Sensibilidades'!$C$68)*IF('03_Sensibilidades'!$C$68&lt;0,100-$K$189,$K$189)+ABS('03_Sensibilidades'!$C$69)*IF('03_Sensibilidades'!$C$69&lt;0,100-$K$188,$K$188)+ABS('03_Sensibilidades'!$C$70)*IF('03_Sensibilidades'!$C$70&lt;0,100-$K$185,$K$185))/(ABS('03_Sensibilidades'!$C$67)+ABS('03_Sensibilidades'!$C$68)+ABS('03_Sensibilidades'!$C$69)+ABS('03_Sensibilidades'!$C$70))</x:f>
        <x:v>50.07975485519889</x:v>
      </x:c>
      <x:c r="F934" s="10" t="n">
        <x:f>(1-'00_Arquitectura'!$B$95)*D934+'00_Arquitectura'!$B$95*E934</x:f>
        <x:v>50.12412999015605</x:v>
      </x:c>
      <x:c r="G934" s="10" t="n">
        <x:f>'02_Actores'!$I$23</x:f>
        <x:v>45</x:v>
      </x:c>
      <x:c r="H934" s="10" t="n">
        <x:f>IF(OR(AND(F934&lt;'00_Arquitectura'!$B$118,G934&lt;'00_Arquitectura'!$B$119),F934&lt;'00_Arquitectura'!$B$120),1,0)</x:f>
        <x:v>0</x:v>
      </x:c>
      <x:c r="I934" s="10" t="n">
        <x:f>IF($I$916=1,IF(OR(AND(F934&lt;'00_Arquitectura'!$B$121,G934&lt;'00_Arquitectura'!$B$122),F934&lt;'00_Arquitectura'!$B$123),1,0),IF(AND(H934=1,$H$916=1),1,0))</x:f>
        <x:v>0</x:v>
      </x:c>
      <x:c r="J934" s="10" t="n">
        <x:f>0</x:f>
        <x:v>0</x:v>
      </x:c>
      <x:c r="K934" s="10" t="n">
        <x:f>$K$917</x:f>
        <x:v>46.72800601299841</x:v>
      </x:c>
      <x:c r="L934" s="10" t="str">
        <x:v>Conflicto activo captura menor eficacia en políticas ejecutadas en t+1. Magnitud0 en J: no es un offset directo de indicador.</x:v>
      </x:c>
    </x:row>
    <x:row r="935" ht="34" customHeight="1">
      <x:c r="A935" s="5" t="str">
        <x:v>S1_EMISION</x:v>
      </x:c>
      <x:c r="B935" s="5" t="n">
        <x:v>10</x:v>
      </x:c>
      <x:c r="C935" s="5" t="str">
        <x:v>industria</x:v>
      </x:c>
      <x:c r="D935" s="5" t="n">
        <x:f>$F$917</x:f>
        <x:v>45.758283224501604</x:v>
      </x:c>
      <x:c r="E935" s="5" t="n">
        <x:f>(ABS('03_Sensibilidades'!$C$6)*IF('03_Sensibilidades'!$C$6&lt;0,100-$K$198,$K$198)+ABS('03_Sensibilidades'!$C$7)*IF('03_Sensibilidades'!$C$7&lt;0,100-$K$196,$K$196)+ABS('03_Sensibilidades'!$C$8)*IF('03_Sensibilidades'!$C$8&lt;0,100-$K$201,$K$201)+ABS('03_Sensibilidades'!$C$9)*IF('03_Sensibilidades'!$C$9&lt;0,100-$K$200,$K$200))/(ABS('03_Sensibilidades'!$C$6)+ABS('03_Sensibilidades'!$C$7)+ABS('03_Sensibilidades'!$C$8)+ABS('03_Sensibilidades'!$C$9))</x:f>
        <x:v>45.79214983457918</x:v>
      </x:c>
      <x:c r="F935" s="5" t="n">
        <x:f>(1-'00_Arquitectura'!$B$95)*D935+'00_Arquitectura'!$B$95*E935</x:f>
        <x:v>45.77013653802875</x:v>
      </x:c>
      <x:c r="G935" s="5" t="n">
        <x:f>'02_Actores'!$I$6</x:f>
        <x:v>45</x:v>
      </x:c>
      <x:c r="H935" s="5" t="n">
        <x:f>IF(OR(AND(F935&lt;'00_Arquitectura'!$B$118,G935&lt;'00_Arquitectura'!$B$119),F935&lt;'00_Arquitectura'!$B$120),1,0)</x:f>
        <x:v>0</x:v>
      </x:c>
      <x:c r="I935" s="5" t="n">
        <x:f>IF($I$917=1,IF(OR(AND(F935&lt;'00_Arquitectura'!$B$121,G935&lt;'00_Arquitectura'!$B$122),F935&lt;'00_Arquitectura'!$B$123),1,0),IF(AND(H935=1,$H$917=1),1,0))</x:f>
        <x:v>0</x:v>
      </x:c>
      <x:c r="J935" s="5" t="n">
        <x:f>-I935*2*'02_Actores'!$E$6/10</x:f>
        <x:v>0</x:v>
      </x:c>
      <x:c r="K935" s="5" t="n">
        <x:f>($F$935*'02_Actores'!$F$6+$F$936*'02_Actores'!$F$7+$F$937*'02_Actores'!$F$8+$F$938*'02_Actores'!$F$9+$F$939*'02_Actores'!$F$10+$F$940*'02_Actores'!$F$11+$F$941*'02_Actores'!$F$12+$F$942*'02_Actores'!$F$13+$F$943*'02_Actores'!$F$14+$F$944*'02_Actores'!$F$15+$F$945*'02_Actores'!$F$16+$F$946*'02_Actores'!$F$17+$F$947*'02_Actores'!$F$18+$F$948*'02_Actores'!$F$19)/('02_Actores'!$F$6+'02_Actores'!$F$7+'02_Actores'!$F$8+'02_Actores'!$F$9+'02_Actores'!$F$10+'02_Actores'!$F$11+'02_Actores'!$F$12+'02_Actores'!$F$13+'02_Actores'!$F$14+'02_Actores'!$F$15+'02_Actores'!$F$16+'02_Actores'!$F$17+'02_Actores'!$F$18+'02_Actores'!$F$19)</x:f>
        <x:v>46.72784447160291</x:v>
      </x:c>
      <x:c r="L935" s="5" t="str">
        <x:v>J programa offset para t+1; efecto sustituible y acotado, sin voto adicional.</x:v>
      </x:c>
    </x:row>
    <x:row r="936" ht="34" customHeight="1">
      <x:c r="A936" s="10" t="str">
        <x:v>S1_EMISION</x:v>
      </x:c>
      <x:c r="B936" s="10" t="n">
        <x:v>10</x:v>
      </x:c>
      <x:c r="C936" s="10" t="str">
        <x:v>agro</x:v>
      </x:c>
      <x:c r="D936" s="10" t="n">
        <x:f>$F$918</x:f>
        <x:v>45.44393142668084</x:v>
      </x:c>
      <x:c r="E936" s="10" t="n">
        <x:f>(ABS('03_Sensibilidades'!$C$10)*IF('03_Sensibilidades'!$C$10&lt;0,100-$K$200,$K$200)+ABS('03_Sensibilidades'!$C$11)*IF('03_Sensibilidades'!$C$11&lt;0,100-$K$201,$K$201)+ABS('03_Sensibilidades'!$C$12)*IF('03_Sensibilidades'!$C$12&lt;0,100-$K$208,$K$208)+ABS('03_Sensibilidades'!$C$13)*IF('03_Sensibilidades'!$C$13&lt;0,100-$K$198,$K$198))/(ABS('03_Sensibilidades'!$C$10)+ABS('03_Sensibilidades'!$C$11)+ABS('03_Sensibilidades'!$C$12)+ABS('03_Sensibilidades'!$C$13))</x:f>
        <x:v>45.613286303622566</x:v>
      </x:c>
      <x:c r="F936" s="10" t="n">
        <x:f>(1-'00_Arquitectura'!$B$95)*D936+'00_Arquitectura'!$B$95*E936</x:f>
        <x:v>45.50320563361045</x:v>
      </x:c>
      <x:c r="G936" s="10" t="n">
        <x:f>'02_Actores'!$I$7</x:f>
        <x:v>45</x:v>
      </x:c>
      <x:c r="H936" s="10" t="n">
        <x:f>IF(OR(AND(F936&lt;'00_Arquitectura'!$B$118,G936&lt;'00_Arquitectura'!$B$119),F936&lt;'00_Arquitectura'!$B$120),1,0)</x:f>
        <x:v>0</x:v>
      </x:c>
      <x:c r="I936" s="10" t="n">
        <x:f>IF($I$918=1,IF(OR(AND(F936&lt;'00_Arquitectura'!$B$121,G936&lt;'00_Arquitectura'!$B$122),F936&lt;'00_Arquitectura'!$B$123),1,0),IF(AND(H936=1,$H$918=1),1,0))</x:f>
        <x:v>0</x:v>
      </x:c>
      <x:c r="J936" s="10" t="n">
        <x:f>-I936*2*'02_Actores'!$E$7/10</x:f>
        <x:v>0</x:v>
      </x:c>
      <x:c r="K936" s="10" t="n">
        <x:f>$K$935</x:f>
        <x:v>46.72784447160291</x:v>
      </x:c>
      <x:c r="L936" s="10" t="str">
        <x:v>J programa offset para t+1; efecto sustituible y acotado, sin voto adicional.</x:v>
      </x:c>
    </x:row>
    <x:row r="937" ht="34" customHeight="1">
      <x:c r="A937" s="5" t="str">
        <x:v>S1_EMISION</x:v>
      </x:c>
      <x:c r="B937" s="5" t="n">
        <x:v>10</x:v>
      </x:c>
      <x:c r="C937" s="5" t="str">
        <x:v>financiero</x:v>
      </x:c>
      <x:c r="D937" s="5" t="n">
        <x:f>$F$919</x:f>
        <x:v>49.472803073412145</x:v>
      </x:c>
      <x:c r="E937" s="5" t="n">
        <x:f>(ABS('03_Sensibilidades'!$C$14)*IF('03_Sensibilidades'!$C$14&lt;0,100-$K$199,$K$199)+ABS('03_Sensibilidades'!$C$15)*IF('03_Sensibilidades'!$C$15&lt;0,100-$K$195,$K$195)+ABS('03_Sensibilidades'!$C$16)*IF('03_Sensibilidades'!$C$16&lt;0,100-$K$198,$K$198)+ABS('03_Sensibilidades'!$C$17)*IF('03_Sensibilidades'!$C$17&lt;0,100-$K$207,$K$207))/(ABS('03_Sensibilidades'!$C$14)+ABS('03_Sensibilidades'!$C$15)+ABS('03_Sensibilidades'!$C$16)+ABS('03_Sensibilidades'!$C$17))</x:f>
        <x:v>50.00441923430471</x:v>
      </x:c>
      <x:c r="F937" s="5" t="n">
        <x:f>(1-'00_Arquitectura'!$B$95)*D937+'00_Arquitectura'!$B$95*E937</x:f>
        <x:v>49.658868729724546</x:v>
      </x:c>
      <x:c r="G937" s="5" t="n">
        <x:f>'02_Actores'!$I$8</x:f>
        <x:v>45</x:v>
      </x:c>
      <x:c r="H937" s="5" t="n">
        <x:f>IF(OR(AND(F937&lt;'00_Arquitectura'!$B$118,G937&lt;'00_Arquitectura'!$B$119),F937&lt;'00_Arquitectura'!$B$120),1,0)</x:f>
        <x:v>0</x:v>
      </x:c>
      <x:c r="I937" s="5" t="n">
        <x:f>IF($I$919=1,IF(OR(AND(F937&lt;'00_Arquitectura'!$B$121,G937&lt;'00_Arquitectura'!$B$122),F937&lt;'00_Arquitectura'!$B$123),1,0),IF(AND(H937=1,$H$919=1),1,0))</x:f>
        <x:v>0</x:v>
      </x:c>
      <x:c r="J937" s="5" t="n">
        <x:f>-I937*2*'02_Actores'!$E$8/10</x:f>
        <x:v>0</x:v>
      </x:c>
      <x:c r="K937" s="5" t="n">
        <x:f>$K$935</x:f>
        <x:v>46.72784447160291</x:v>
      </x:c>
      <x:c r="L937" s="5" t="str">
        <x:v>J programa offset para t+1; efecto sustituible y acotado, sin voto adicional.</x:v>
      </x:c>
    </x:row>
    <x:row r="938" ht="34" customHeight="1">
      <x:c r="A938" s="10" t="str">
        <x:v>S1_EMISION</x:v>
      </x:c>
      <x:c r="B938" s="10" t="n">
        <x:v>10</x:v>
      </x:c>
      <x:c r="C938" s="10" t="str">
        <x:v>sindicatos</x:v>
      </x:c>
      <x:c r="D938" s="10" t="n">
        <x:f>$F$920</x:f>
        <x:v>45.84031642899592</x:v>
      </x:c>
      <x:c r="E938" s="10" t="n">
        <x:f>(ABS('03_Sensibilidades'!$C$18)*IF('03_Sensibilidades'!$C$18&lt;0,100-$K$197,$K$197)+ABS('03_Sensibilidades'!$C$19)*IF('03_Sensibilidades'!$C$19&lt;0,100-$K$196,$K$196)+ABS('03_Sensibilidades'!$C$20)*IF('03_Sensibilidades'!$C$20&lt;0,100-$K$204,$K$204)+ABS('03_Sensibilidades'!$C$21)*IF('03_Sensibilidades'!$C$21&lt;0,100-$K$207,$K$207))/(ABS('03_Sensibilidades'!$C$18)+ABS('03_Sensibilidades'!$C$19)+ABS('03_Sensibilidades'!$C$20)+ABS('03_Sensibilidades'!$C$21))</x:f>
        <x:v>45.43710211870307</x:v>
      </x:c>
      <x:c r="F938" s="10" t="n">
        <x:f>(1-'00_Arquitectura'!$B$95)*D938+'00_Arquitectura'!$B$95*E938</x:f>
        <x:v>45.69919142039342</x:v>
      </x:c>
      <x:c r="G938" s="10" t="n">
        <x:f>'02_Actores'!$I$9</x:f>
        <x:v>45</x:v>
      </x:c>
      <x:c r="H938" s="10" t="n">
        <x:f>IF(OR(AND(F938&lt;'00_Arquitectura'!$B$118,G938&lt;'00_Arquitectura'!$B$119),F938&lt;'00_Arquitectura'!$B$120),1,0)</x:f>
        <x:v>0</x:v>
      </x:c>
      <x:c r="I938" s="10" t="n">
        <x:f>IF($I$920=1,IF(OR(AND(F938&lt;'00_Arquitectura'!$B$121,G938&lt;'00_Arquitectura'!$B$122),F938&lt;'00_Arquitectura'!$B$123),1,0),IF(AND(H938=1,$H$920=1),1,0))</x:f>
        <x:v>0</x:v>
      </x:c>
      <x:c r="J938" s="10" t="n">
        <x:f>-I938*2*'02_Actores'!$E$9/10</x:f>
        <x:v>0</x:v>
      </x:c>
      <x:c r="K938" s="10" t="n">
        <x:f>$K$935</x:f>
        <x:v>46.72784447160291</x:v>
      </x:c>
      <x:c r="L938" s="10" t="str">
        <x:v>J programa offset para t+1; efecto sustituible y acotado, sin voto adicional.</x:v>
      </x:c>
    </x:row>
    <x:row r="939" ht="34" customHeight="1">
      <x:c r="A939" s="5" t="str">
        <x:v>S1_EMISION</x:v>
      </x:c>
      <x:c r="B939" s="5" t="n">
        <x:v>10</x:v>
      </x:c>
      <x:c r="C939" s="5" t="str">
        <x:v>pymes</x:v>
      </x:c>
      <x:c r="D939" s="5" t="n">
        <x:f>$F$921</x:f>
        <x:v>45.196977398836765</x:v>
      </x:c>
      <x:c r="E939" s="5" t="n">
        <x:f>(ABS('03_Sensibilidades'!$C$22)*IF('03_Sensibilidades'!$C$22&lt;0,100-$K$198,$K$198)+ABS('03_Sensibilidades'!$C$23)*IF('03_Sensibilidades'!$C$23&lt;0,100-$K$196,$K$196)+ABS('03_Sensibilidades'!$C$24)*IF('03_Sensibilidades'!$C$24&lt;0,100-$K$201,$K$201)+ABS('03_Sensibilidades'!$C$25)*IF('03_Sensibilidades'!$C$25&lt;0,100-$K$195,$K$195))/(ABS('03_Sensibilidades'!$C$22)+ABS('03_Sensibilidades'!$C$23)+ABS('03_Sensibilidades'!$C$24)+ABS('03_Sensibilidades'!$C$25))</x:f>
        <x:v>45.50687638019409</x:v>
      </x:c>
      <x:c r="F939" s="5" t="n">
        <x:f>(1-'00_Arquitectura'!$B$95)*D939+'00_Arquitectura'!$B$95*E939</x:f>
        <x:v>45.30544204231183</x:v>
      </x:c>
      <x:c r="G939" s="5" t="n">
        <x:f>'02_Actores'!$I$10</x:f>
        <x:v>45</x:v>
      </x:c>
      <x:c r="H939" s="5" t="n">
        <x:f>IF(OR(AND(F939&lt;'00_Arquitectura'!$B$118,G939&lt;'00_Arquitectura'!$B$119),F939&lt;'00_Arquitectura'!$B$120),1,0)</x:f>
        <x:v>0</x:v>
      </x:c>
      <x:c r="I939" s="5" t="n">
        <x:f>IF($I$921=1,IF(OR(AND(F939&lt;'00_Arquitectura'!$B$121,G939&lt;'00_Arquitectura'!$B$122),F939&lt;'00_Arquitectura'!$B$123),1,0),IF(AND(H939=1,$H$921=1),1,0))</x:f>
        <x:v>0</x:v>
      </x:c>
      <x:c r="J939" s="5" t="n">
        <x:f>-I939*2*'02_Actores'!$E$10/10</x:f>
        <x:v>0</x:v>
      </x:c>
      <x:c r="K939" s="5" t="n">
        <x:f>$K$935</x:f>
        <x:v>46.72784447160291</x:v>
      </x:c>
      <x:c r="L939" s="5" t="str">
        <x:v>J programa offset para t+1; efecto sustituible y acotado, sin voto adicional.</x:v>
      </x:c>
    </x:row>
    <x:row r="940" ht="34" customHeight="1">
      <x:c r="A940" s="10" t="str">
        <x:v>S1_EMISION</x:v>
      </x:c>
      <x:c r="B940" s="10" t="n">
        <x:v>10</x:v>
      </x:c>
      <x:c r="C940" s="10" t="str">
        <x:v>clase_media</x:v>
      </x:c>
      <x:c r="D940" s="10" t="n">
        <x:f>$F$922</x:f>
        <x:v>43.40241658916495</x:v>
      </x:c>
      <x:c r="E940" s="10" t="n">
        <x:f>(ABS('03_Sensibilidades'!$C$26)*IF('03_Sensibilidades'!$C$26&lt;0,100-$K$197,$K$197)+ABS('03_Sensibilidades'!$C$27)*IF('03_Sensibilidades'!$C$27&lt;0,100-$K$205,$K$205)+ABS('03_Sensibilidades'!$C$28)*IF('03_Sensibilidades'!$C$28&lt;0,100-$K$202,$K$202)+ABS('03_Sensibilidades'!$C$29)*IF('03_Sensibilidades'!$C$29&lt;0,100-$K$195,$K$195))/(ABS('03_Sensibilidades'!$C$26)+ABS('03_Sensibilidades'!$C$27)+ABS('03_Sensibilidades'!$C$28)+ABS('03_Sensibilidades'!$C$29))</x:f>
        <x:v>43.45506697480088</x:v>
      </x:c>
      <x:c r="F940" s="10" t="n">
        <x:f>(1-'00_Arquitectura'!$B$95)*D940+'00_Arquitectura'!$B$95*E940</x:f>
        <x:v>43.420844224137525</x:v>
      </x:c>
      <x:c r="G940" s="10" t="n">
        <x:f>'02_Actores'!$I$11</x:f>
        <x:v>45</x:v>
      </x:c>
      <x:c r="H940" s="10" t="n">
        <x:f>IF(OR(AND(F940&lt;'00_Arquitectura'!$B$118,G940&lt;'00_Arquitectura'!$B$119),F940&lt;'00_Arquitectura'!$B$120),1,0)</x:f>
        <x:v>0</x:v>
      </x:c>
      <x:c r="I940" s="10" t="n">
        <x:f>IF($I$922=1,IF(OR(AND(F940&lt;'00_Arquitectura'!$B$121,G940&lt;'00_Arquitectura'!$B$122),F940&lt;'00_Arquitectura'!$B$123),1,0),IF(AND(H940=1,$H$922=1),1,0))</x:f>
        <x:v>0</x:v>
      </x:c>
      <x:c r="J940" s="10" t="n">
        <x:f>0</x:f>
        <x:v>0</x:v>
      </x:c>
      <x:c r="K940" s="10" t="n">
        <x:f>$K$935</x:f>
        <x:v>46.72784447160291</x:v>
      </x:c>
      <x:c r="L940" s="10" t="str">
        <x:v>Canal directo sólo al índice social; sin bono de popularidad.</x:v>
      </x:c>
    </x:row>
    <x:row r="941" ht="34" customHeight="1">
      <x:c r="A941" s="5" t="str">
        <x:v>S1_EMISION</x:v>
      </x:c>
      <x:c r="B941" s="5" t="n">
        <x:v>10</x:v>
      </x:c>
      <x:c r="C941" s="5" t="str">
        <x:v>cooperativas</x:v>
      </x:c>
      <x:c r="D941" s="5" t="n">
        <x:f>$F$923</x:f>
        <x:v>47.14497930292039</x:v>
      </x:c>
      <x:c r="E941" s="5" t="n">
        <x:f>(ABS('03_Sensibilidades'!$C$30)*IF('03_Sensibilidades'!$C$30&lt;0,100-$K$198,$K$198)+ABS('03_Sensibilidades'!$C$31)*IF('03_Sensibilidades'!$C$31&lt;0,100-$K$196,$K$196)+ABS('03_Sensibilidades'!$C$32)*IF('03_Sensibilidades'!$C$32&lt;0,100-$K$204,$K$204)+ABS('03_Sensibilidades'!$C$33)*IF('03_Sensibilidades'!$C$33&lt;0,100-$K$207,$K$207))/(ABS('03_Sensibilidades'!$C$30)+ABS('03_Sensibilidades'!$C$31)+ABS('03_Sensibilidades'!$C$32)+ABS('03_Sensibilidades'!$C$33))</x:f>
        <x:v>47.174612586738256</x:v>
      </x:c>
      <x:c r="F941" s="5" t="n">
        <x:f>(1-'00_Arquitectura'!$B$95)*D941+'00_Arquitectura'!$B$95*E941</x:f>
        <x:v>47.15535095225664</x:v>
      </x:c>
      <x:c r="G941" s="5" t="n">
        <x:f>'02_Actores'!$I$12</x:f>
        <x:v>45</x:v>
      </x:c>
      <x:c r="H941" s="5" t="n">
        <x:f>IF(OR(AND(F941&lt;'00_Arquitectura'!$B$118,G941&lt;'00_Arquitectura'!$B$119),F941&lt;'00_Arquitectura'!$B$120),1,0)</x:f>
        <x:v>0</x:v>
      </x:c>
      <x:c r="I941" s="5" t="n">
        <x:f>IF($I$923=1,IF(OR(AND(F941&lt;'00_Arquitectura'!$B$121,G941&lt;'00_Arquitectura'!$B$122),F941&lt;'00_Arquitectura'!$B$123),1,0),IF(AND(H941=1,$H$923=1),1,0))</x:f>
        <x:v>0</x:v>
      </x:c>
      <x:c r="J941" s="5" t="n">
        <x:f>-I941*1.5*'02_Actores'!$E$12/10</x:f>
        <x:v>0</x:v>
      </x:c>
      <x:c r="K941" s="5" t="n">
        <x:f>$K$935</x:f>
        <x:v>46.72784447160291</x:v>
      </x:c>
      <x:c r="L941" s="5" t="str">
        <x:v>J programa offset para t+1; efecto sustituible y acotado, sin voto adicional.</x:v>
      </x:c>
    </x:row>
    <x:row r="942" ht="42" customHeight="1">
      <x:c r="A942" s="10" t="str">
        <x:v>S1_EMISION</x:v>
      </x:c>
      <x:c r="B942" s="10" t="n">
        <x:v>10</x:v>
      </x:c>
      <x:c r="C942" s="10" t="str">
        <x:v>estudiantes</x:v>
      </x:c>
      <x:c r="D942" s="10" t="n">
        <x:f>$F$924</x:f>
        <x:v>47.9742093480272</x:v>
      </x:c>
      <x:c r="E942" s="10" t="n">
        <x:f>(ABS('03_Sensibilidades'!$C$34)*IF('03_Sensibilidades'!$C$34&lt;0,100-$K$202,$K$202)+ABS('03_Sensibilidades'!$C$35)*IF('03_Sensibilidades'!$C$35&lt;0,100-$K$197,$K$197)+ABS('03_Sensibilidades'!$C$36)*IF('03_Sensibilidades'!$C$36&lt;0,100-$K$207,$K$207)+ABS('03_Sensibilidades'!$C$37)*IF('03_Sensibilidades'!$C$37&lt;0,100-$K$206,$K$206))/(ABS('03_Sensibilidades'!$C$34)+ABS('03_Sensibilidades'!$C$35)+ABS('03_Sensibilidades'!$C$36)+ABS('03_Sensibilidades'!$C$37))</x:f>
        <x:v>47.890480798392474</x:v>
      </x:c>
      <x:c r="F942" s="10" t="n">
        <x:f>(1-'00_Arquitectura'!$B$95)*D942+'00_Arquitectura'!$B$95*E942</x:f>
        <x:v>47.94490435565505</x:v>
      </x:c>
      <x:c r="G942" s="10" t="n">
        <x:f>'02_Actores'!$I$13</x:f>
        <x:v>45</x:v>
      </x:c>
      <x:c r="H942" s="10" t="n">
        <x:f>IF(OR(AND(F942&lt;'00_Arquitectura'!$B$118,G942&lt;'00_Arquitectura'!$B$119),F942&lt;'00_Arquitectura'!$B$120),1,0)</x:f>
        <x:v>0</x:v>
      </x:c>
      <x:c r="I942" s="10" t="n">
        <x:f>IF($I$924=1,IF(OR(AND(F942&lt;'00_Arquitectura'!$B$121,G942&lt;'00_Arquitectura'!$B$122),F942&lt;'00_Arquitectura'!$B$123),1,0),IF(AND(H942=1,$H$924=1),1,0))</x:f>
        <x:v>0</x:v>
      </x:c>
      <x:c r="J942" s="10" t="n">
        <x:f>0</x:f>
        <x:v>0</x:v>
      </x:c>
      <x:c r="K942" s="10" t="n">
        <x:f>$K$935</x:f>
        <x:v>46.72784447160291</x:v>
      </x:c>
      <x:c r="L942" s="10" t="str">
        <x:v>Conflicto activo captura menor eficacia en políticas ejecutadas en t+1. Magnitud0 en J: no es un offset directo de indicador.</x:v>
      </x:c>
    </x:row>
    <x:row r="943" ht="34" customHeight="1">
      <x:c r="A943" s="5" t="str">
        <x:v>S1_EMISION</x:v>
      </x:c>
      <x:c r="B943" s="5" t="n">
        <x:v>10</x:v>
      </x:c>
      <x:c r="C943" s="5" t="str">
        <x:v>docentes</x:v>
      </x:c>
      <x:c r="D943" s="5" t="n">
        <x:f>$F$925</x:f>
        <x:v>46.514757420053215</x:v>
      </x:c>
      <x:c r="E943" s="5" t="n">
        <x:f>(ABS('03_Sensibilidades'!$C$38)*IF('03_Sensibilidades'!$C$38&lt;0,100-$K$202,$K$202)+ABS('03_Sensibilidades'!$C$39)*IF('03_Sensibilidades'!$C$39&lt;0,100-$K$197,$K$197)+ABS('03_Sensibilidades'!$C$40)*IF('03_Sensibilidades'!$C$40&lt;0,100-$K$207,$K$207))/(ABS('03_Sensibilidades'!$C$38)+ABS('03_Sensibilidades'!$C$39)+ABS('03_Sensibilidades'!$C$40))</x:f>
        <x:v>46.35094069250703</x:v>
      </x:c>
      <x:c r="F943" s="5" t="n">
        <x:f>(1-'00_Arquitectura'!$B$95)*D943+'00_Arquitectura'!$B$95*E943</x:f>
        <x:v>46.45742156541205</x:v>
      </x:c>
      <x:c r="G943" s="5" t="n">
        <x:f>'02_Actores'!$I$14</x:f>
        <x:v>45</x:v>
      </x:c>
      <x:c r="H943" s="5" t="n">
        <x:f>IF(OR(AND(F943&lt;'00_Arquitectura'!$B$118,G943&lt;'00_Arquitectura'!$B$119),F943&lt;'00_Arquitectura'!$B$120),1,0)</x:f>
        <x:v>0</x:v>
      </x:c>
      <x:c r="I943" s="5" t="n">
        <x:f>IF($I$925=1,IF(OR(AND(F943&lt;'00_Arquitectura'!$B$121,G943&lt;'00_Arquitectura'!$B$122),F943&lt;'00_Arquitectura'!$B$123),1,0),IF(AND(H943=1,$H$925=1),1,0))</x:f>
        <x:v>0</x:v>
      </x:c>
      <x:c r="J943" s="5" t="n">
        <x:f>-I943*1.5*'02_Actores'!$E$14/10</x:f>
        <x:v>0</x:v>
      </x:c>
      <x:c r="K943" s="5" t="n">
        <x:f>$K$935</x:f>
        <x:v>46.72784447160291</x:v>
      </x:c>
      <x:c r="L943" s="5" t="str">
        <x:v>J programa offset para t+1; efecto sustituible y acotado, sin voto adicional.</x:v>
      </x:c>
    </x:row>
    <x:row r="944" ht="34" customHeight="1">
      <x:c r="A944" s="10" t="str">
        <x:v>S1_EMISION</x:v>
      </x:c>
      <x:c r="B944" s="10" t="n">
        <x:v>10</x:v>
      </x:c>
      <x:c r="C944" s="10" t="str">
        <x:v>cientificos</x:v>
      </x:c>
      <x:c r="D944" s="10" t="n">
        <x:f>$F$926</x:f>
        <x:v>46.59090909090909</x:v>
      </x:c>
      <x:c r="E944" s="10" t="n">
        <x:f>(ABS('03_Sensibilidades'!$C$41)*IF('03_Sensibilidades'!$C$41&lt;0,100-$K$206,$K$206)+ABS('03_Sensibilidades'!$C$42)*IF('03_Sensibilidades'!$C$42&lt;0,100-$K$202,$K$202)+ABS('03_Sensibilidades'!$C$43)*IF('03_Sensibilidades'!$C$43&lt;0,100-$K$207,$K$207))/(ABS('03_Sensibilidades'!$C$41)+ABS('03_Sensibilidades'!$C$42)+ABS('03_Sensibilidades'!$C$43))</x:f>
        <x:v>46.59090909090909</x:v>
      </x:c>
      <x:c r="F944" s="10" t="n">
        <x:f>(1-'00_Arquitectura'!$B$95)*D944+'00_Arquitectura'!$B$95*E944</x:f>
        <x:v>46.59090909090909</x:v>
      </x:c>
      <x:c r="G944" s="10" t="n">
        <x:f>'02_Actores'!$I$15</x:f>
        <x:v>45</x:v>
      </x:c>
      <x:c r="H944" s="10" t="n">
        <x:f>IF(OR(AND(F944&lt;'00_Arquitectura'!$B$118,G944&lt;'00_Arquitectura'!$B$119),F944&lt;'00_Arquitectura'!$B$120),1,0)</x:f>
        <x:v>0</x:v>
      </x:c>
      <x:c r="I944" s="10" t="n">
        <x:f>IF($I$926=1,IF(OR(AND(F944&lt;'00_Arquitectura'!$B$121,G944&lt;'00_Arquitectura'!$B$122),F944&lt;'00_Arquitectura'!$B$123),1,0),IF(AND(H944=1,$H$926=1),1,0))</x:f>
        <x:v>0</x:v>
      </x:c>
      <x:c r="J944" s="10" t="n">
        <x:f>-I944*1.5*'02_Actores'!$E$15/10</x:f>
        <x:v>0</x:v>
      </x:c>
      <x:c r="K944" s="10" t="n">
        <x:f>$K$935</x:f>
        <x:v>46.72784447160291</x:v>
      </x:c>
      <x:c r="L944" s="10" t="str">
        <x:v>J programa offset para t+1; efecto sustituible y acotado, sin voto adicional.</x:v>
      </x:c>
    </x:row>
    <x:row r="945" ht="34" customHeight="1">
      <x:c r="A945" s="5" t="str">
        <x:v>S1_EMISION</x:v>
      </x:c>
      <x:c r="B945" s="5" t="n">
        <x:v>10</x:v>
      </x:c>
      <x:c r="C945" s="5" t="str">
        <x:v>organizaciones</x:v>
      </x:c>
      <x:c r="D945" s="5" t="n">
        <x:f>$F$927</x:f>
        <x:v>49.12282640570291</x:v>
      </x:c>
      <x:c r="E945" s="5" t="n">
        <x:f>(ABS('03_Sensibilidades'!$C$44)*IF('03_Sensibilidades'!$C$44&lt;0,100-$K$204,$K$204)+ABS('03_Sensibilidades'!$C$45)*IF('03_Sensibilidades'!$C$45&lt;0,100-$K$203,$K$203)+ABS('03_Sensibilidades'!$C$46)*IF('03_Sensibilidades'!$C$46&lt;0,100-$K$196,$K$196)+ABS('03_Sensibilidades'!$C$47)*IF('03_Sensibilidades'!$C$47&lt;0,100-$K$207,$K$207))/(ABS('03_Sensibilidades'!$C$44)+ABS('03_Sensibilidades'!$C$45)+ABS('03_Sensibilidades'!$C$46)+ABS('03_Sensibilidades'!$C$47))</x:f>
        <x:v>48.944093369589645</x:v>
      </x:c>
      <x:c r="F945" s="5" t="n">
        <x:f>(1-'00_Arquitectura'!$B$95)*D945+'00_Arquitectura'!$B$95*E945</x:f>
        <x:v>49.06026984306327</x:v>
      </x:c>
      <x:c r="G945" s="5" t="n">
        <x:f>'02_Actores'!$I$16</x:f>
        <x:v>45</x:v>
      </x:c>
      <x:c r="H945" s="5" t="n">
        <x:f>IF(OR(AND(F945&lt;'00_Arquitectura'!$B$118,G945&lt;'00_Arquitectura'!$B$119),F945&lt;'00_Arquitectura'!$B$120),1,0)</x:f>
        <x:v>0</x:v>
      </x:c>
      <x:c r="I945" s="5" t="n">
        <x:f>IF($I$927=1,IF(OR(AND(F945&lt;'00_Arquitectura'!$B$121,G945&lt;'00_Arquitectura'!$B$122),F945&lt;'00_Arquitectura'!$B$123),1,0),IF(AND(H945=1,$H$927=1),1,0))</x:f>
        <x:v>0</x:v>
      </x:c>
      <x:c r="J945" s="5" t="n">
        <x:f>-I945*1.5*'02_Actores'!$E$16/10</x:f>
        <x:v>0</x:v>
      </x:c>
      <x:c r="K945" s="5" t="n">
        <x:f>$K$935</x:f>
        <x:v>46.72784447160291</x:v>
      </x:c>
      <x:c r="L945" s="5" t="str">
        <x:v>J programa offset para t+1; efecto sustituible y acotado, sin voto adicional.</x:v>
      </x:c>
    </x:row>
    <x:row r="946" ht="42" customHeight="1">
      <x:c r="A946" s="10" t="str">
        <x:v>S1_EMISION</x:v>
      </x:c>
      <x:c r="B946" s="10" t="n">
        <x:v>10</x:v>
      </x:c>
      <x:c r="C946" s="10" t="str">
        <x:v>ddhh</x:v>
      </x:c>
      <x:c r="D946" s="10" t="n">
        <x:f>$F$928</x:f>
        <x:v>50.88235294117648</x:v>
      </x:c>
      <x:c r="E946" s="10" t="n">
        <x:f>(ABS('03_Sensibilidades'!$C$48)*IF('03_Sensibilidades'!$C$48&lt;0,100-$K$207,$K$207)+ABS('03_Sensibilidades'!$C$49)*IF('03_Sensibilidades'!$C$49&lt;0,100-$K$205,$K$205)+ABS('03_Sensibilidades'!$C$50)*IF('03_Sensibilidades'!$C$50&lt;0,100-$K$204,$K$204))/(ABS('03_Sensibilidades'!$C$48)+ABS('03_Sensibilidades'!$C$49)+ABS('03_Sensibilidades'!$C$50))</x:f>
        <x:v>50.88235294117647</x:v>
      </x:c>
      <x:c r="F946" s="10" t="n">
        <x:f>(1-'00_Arquitectura'!$B$95)*D946+'00_Arquitectura'!$B$95*E946</x:f>
        <x:v>50.88235294117648</x:v>
      </x:c>
      <x:c r="G946" s="10" t="n">
        <x:f>'02_Actores'!$I$17</x:f>
        <x:v>45</x:v>
      </x:c>
      <x:c r="H946" s="10" t="n">
        <x:f>IF(OR(AND(F946&lt;'00_Arquitectura'!$B$118,G946&lt;'00_Arquitectura'!$B$119),F946&lt;'00_Arquitectura'!$B$120),1,0)</x:f>
        <x:v>0</x:v>
      </x:c>
      <x:c r="I946" s="10" t="n">
        <x:f>IF($I$928=1,IF(OR(AND(F946&lt;'00_Arquitectura'!$B$121,G946&lt;'00_Arquitectura'!$B$122),F946&lt;'00_Arquitectura'!$B$123),1,0),IF(AND(H946=1,$H$928=1),1,0))</x:f>
        <x:v>0</x:v>
      </x:c>
      <x:c r="J946" s="10" t="n">
        <x:f>0</x:f>
        <x:v>0</x:v>
      </x:c>
      <x:c r="K946" s="10" t="n">
        <x:f>$K$935</x:f>
        <x:v>46.72784447160291</x:v>
      </x:c>
      <x:c r="L946" s="10" t="str">
        <x:v>Conflicto activo captura menor eficacia en políticas ejecutadas en t+1. Magnitud0 en J: no es un offset directo de indicador.</x:v>
      </x:c>
    </x:row>
    <x:row r="947" ht="42" customHeight="1">
      <x:c r="A947" s="5" t="str">
        <x:v>S1_EMISION</x:v>
      </x:c>
      <x:c r="B947" s="5" t="n">
        <x:v>10</x:v>
      </x:c>
      <x:c r="C947" s="5" t="str">
        <x:v>ambientalistas</x:v>
      </x:c>
      <x:c r="D947" s="5" t="n">
        <x:f>$F$929</x:f>
        <x:v>51.388888888888886</x:v>
      </x:c>
      <x:c r="E947" s="5" t="n">
        <x:f>(ABS('03_Sensibilidades'!$C$51)*IF('03_Sensibilidades'!$C$51&lt;0,100-$K$208,$K$208)+ABS('03_Sensibilidades'!$C$52)*IF('03_Sensibilidades'!$C$52&lt;0,100-$K$207,$K$207)+ABS('03_Sensibilidades'!$C$53)*IF('03_Sensibilidades'!$C$53&lt;0,100-$K$203,$K$203))/(ABS('03_Sensibilidades'!$C$51)+ABS('03_Sensibilidades'!$C$52)+ABS('03_Sensibilidades'!$C$53))</x:f>
        <x:v>51.388888888888886</x:v>
      </x:c>
      <x:c r="F947" s="5" t="n">
        <x:f>(1-'00_Arquitectura'!$B$95)*D947+'00_Arquitectura'!$B$95*E947</x:f>
        <x:v>51.388888888888886</x:v>
      </x:c>
      <x:c r="G947" s="5" t="n">
        <x:f>'02_Actores'!$I$18</x:f>
        <x:v>45</x:v>
      </x:c>
      <x:c r="H947" s="5" t="n">
        <x:f>IF(OR(AND(F947&lt;'00_Arquitectura'!$B$118,G947&lt;'00_Arquitectura'!$B$119),F947&lt;'00_Arquitectura'!$B$120),1,0)</x:f>
        <x:v>0</x:v>
      </x:c>
      <x:c r="I947" s="5" t="n">
        <x:f>IF($I$929=1,IF(OR(AND(F947&lt;'00_Arquitectura'!$B$121,G947&lt;'00_Arquitectura'!$B$122),F947&lt;'00_Arquitectura'!$B$123),1,0),IF(AND(H947=1,$H$929=1),1,0))</x:f>
        <x:v>0</x:v>
      </x:c>
      <x:c r="J947" s="5" t="n">
        <x:f>0</x:f>
        <x:v>0</x:v>
      </x:c>
      <x:c r="K947" s="5" t="n">
        <x:f>$K$935</x:f>
        <x:v>46.72784447160291</x:v>
      </x:c>
      <x:c r="L947" s="5" t="str">
        <x:v>Conflicto activo captura menor eficacia en políticas ejecutadas en t+1. Magnitud0 en J: no es un offset directo de indicador.</x:v>
      </x:c>
    </x:row>
    <x:row r="948" ht="34" customHeight="1">
      <x:c r="A948" s="10" t="str">
        <x:v>S1_EMISION</x:v>
      </x:c>
      <x:c r="B948" s="10" t="n">
        <x:v>10</x:v>
      </x:c>
      <x:c r="C948" s="10" t="str">
        <x:v>cultura</x:v>
      </x:c>
      <x:c r="D948" s="10" t="n">
        <x:f>$F$930</x:f>
        <x:v>49.17659124740421</x:v>
      </x:c>
      <x:c r="E948" s="10" t="n">
        <x:f>(ABS('03_Sensibilidades'!$C$54)*IF('03_Sensibilidades'!$C$54&lt;0,100-$K$207,$K$207)+ABS('03_Sensibilidades'!$C$55)*IF('03_Sensibilidades'!$C$55&lt;0,100-$K$202,$K$202)+ABS('03_Sensibilidades'!$C$56)*IF('03_Sensibilidades'!$C$56&lt;0,100-$K$197,$K$197))/(ABS('03_Sensibilidades'!$C$54)+ABS('03_Sensibilidades'!$C$55)+ABS('03_Sensibilidades'!$C$56))</x:f>
        <x:v>49.066422103148</x:v>
      </x:c>
      <x:c r="F948" s="10" t="n">
        <x:f>(1-'00_Arquitectura'!$B$95)*D948+'00_Arquitectura'!$B$95*E948</x:f>
        <x:v>49.13803204691454</x:v>
      </x:c>
      <x:c r="G948" s="10" t="n">
        <x:f>'02_Actores'!$I$19</x:f>
        <x:v>45</x:v>
      </x:c>
      <x:c r="H948" s="10" t="n">
        <x:f>IF(OR(AND(F948&lt;'00_Arquitectura'!$B$118,G948&lt;'00_Arquitectura'!$B$119),F948&lt;'00_Arquitectura'!$B$120),1,0)</x:f>
        <x:v>0</x:v>
      </x:c>
      <x:c r="I948" s="10" t="n">
        <x:f>IF($I$930=1,IF(OR(AND(F948&lt;'00_Arquitectura'!$B$121,G948&lt;'00_Arquitectura'!$B$122),F948&lt;'00_Arquitectura'!$B$123),1,0),IF(AND(H948=1,$H$930=1),1,0))</x:f>
        <x:v>0</x:v>
      </x:c>
      <x:c r="J948" s="10" t="n">
        <x:f>0</x:f>
        <x:v>0</x:v>
      </x:c>
      <x:c r="K948" s="10" t="n">
        <x:f>$K$935</x:f>
        <x:v>46.72784447160291</x:v>
      </x:c>
      <x:c r="L948" s="10" t="str">
        <x:v>Conflicto activo encarece agenda del turno siguiente; sin castigo electoral adicional.</x:v>
      </x:c>
    </x:row>
    <x:row r="949" ht="34" customHeight="1">
      <x:c r="A949" s="5" t="str">
        <x:v>S1_EMISION</x:v>
      </x:c>
      <x:c r="B949" s="5" t="n">
        <x:v>10</x:v>
      </x:c>
      <x:c r="C949" s="5" t="str">
        <x:v>oficialismo</x:v>
      </x:c>
      <x:c r="D949" s="5" t="n">
        <x:f>$F$931</x:f>
        <x:v>52.167411554430686</x:v>
      </x:c>
      <x:c r="E949" s="5" t="n">
        <x:f>(ABS('03_Sensibilidades'!$C$57)*IF('03_Sensibilidades'!$C$57&lt;0,100-$K$207,$K$207)+ABS('03_Sensibilidades'!$C$58)*IF('03_Sensibilidades'!$C$58&lt;0,100-$K$196,$K$196)+ABS('03_Sensibilidades'!$C$59)*IF('03_Sensibilidades'!$C$59&lt;0,100-$K$199,$K$199)+ABS('03_Sensibilidades'!$C$60)*IF('03_Sensibilidades'!$C$60&lt;0,100-$K$204,$K$204))/(ABS('03_Sensibilidades'!$C$57)+ABS('03_Sensibilidades'!$C$58)+ABS('03_Sensibilidades'!$C$59)+ABS('03_Sensibilidades'!$C$60))</x:f>
        <x:v>51.84199591468183</x:v>
      </x:c>
      <x:c r="F949" s="5" t="n">
        <x:f>(1-'00_Arquitectura'!$B$95)*D949+'00_Arquitectura'!$B$95*E949</x:f>
        <x:v>52.05351608051859</x:v>
      </x:c>
      <x:c r="G949" s="5" t="n">
        <x:f>'02_Actores'!$I$20</x:f>
        <x:v>60</x:v>
      </x:c>
      <x:c r="H949" s="5" t="n">
        <x:f>IF(OR(AND(F949&lt;'00_Arquitectura'!$B$118,G949&lt;'00_Arquitectura'!$B$119),F949&lt;'00_Arquitectura'!$B$120),1,0)</x:f>
        <x:v>0</x:v>
      </x:c>
      <x:c r="I949" s="5" t="n">
        <x:f>IF($I$931=1,IF(OR(AND(F949&lt;'00_Arquitectura'!$B$121,G949&lt;'00_Arquitectura'!$B$122),F949&lt;'00_Arquitectura'!$B$123),1,0),IF(AND(H949=1,$H$931=1),1,0))</x:f>
        <x:v>0</x:v>
      </x:c>
      <x:c r="J949" s="5" t="n">
        <x:f>0</x:f>
        <x:v>0</x:v>
      </x:c>
      <x:c r="K949" s="5" t="n">
        <x:f>$K$935</x:f>
        <x:v>46.72784447160291</x:v>
      </x:c>
      <x:c r="L949" s="5" t="str">
        <x:v>No aporta E_social; S y R alimentan disposición a leyes según07.</x:v>
      </x:c>
    </x:row>
    <x:row r="950" ht="34" customHeight="1">
      <x:c r="A950" s="10" t="str">
        <x:v>S1_EMISION</x:v>
      </x:c>
      <x:c r="B950" s="10" t="n">
        <x:v>10</x:v>
      </x:c>
      <x:c r="C950" s="10" t="str">
        <x:v>aliados</x:v>
      </x:c>
      <x:c r="D950" s="10" t="n">
        <x:f>$F$932</x:f>
        <x:v>53.176177682553</x:v>
      </x:c>
      <x:c r="E950" s="10" t="n">
        <x:f>(ABS('03_Sensibilidades'!$C$61)*IF('03_Sensibilidades'!$C$61&lt;0,100-$K$207,$K$207)+ABS('03_Sensibilidades'!$C$62)*IF('03_Sensibilidades'!$C$62&lt;0,100-$K$199,$K$199)+ABS('03_Sensibilidades'!$C$63)*IF('03_Sensibilidades'!$C$63&lt;0,100-$K$201,$K$201))/(ABS('03_Sensibilidades'!$C$61)+ABS('03_Sensibilidades'!$C$62)+ABS('03_Sensibilidades'!$C$63))</x:f>
        <x:v>53.09491707261821</x:v>
      </x:c>
      <x:c r="F950" s="10" t="n">
        <x:f>(1-'00_Arquitectura'!$B$95)*D950+'00_Arquitectura'!$B$95*E950</x:f>
        <x:v>53.147736469075824</x:v>
      </x:c>
      <x:c r="G950" s="10" t="n">
        <x:f>'02_Actores'!$I$21</x:f>
        <x:v>45</x:v>
      </x:c>
      <x:c r="H950" s="10" t="n">
        <x:f>IF(OR(AND(F950&lt;'00_Arquitectura'!$B$118,G950&lt;'00_Arquitectura'!$B$119),F950&lt;'00_Arquitectura'!$B$120),1,0)</x:f>
        <x:v>0</x:v>
      </x:c>
      <x:c r="I950" s="10" t="n">
        <x:f>IF($I$932=1,IF(OR(AND(F950&lt;'00_Arquitectura'!$B$121,G950&lt;'00_Arquitectura'!$B$122),F950&lt;'00_Arquitectura'!$B$123),1,0),IF(AND(H950=1,$H$932=1),1,0))</x:f>
        <x:v>0</x:v>
      </x:c>
      <x:c r="J950" s="10" t="n">
        <x:f>0</x:f>
        <x:v>0</x:v>
      </x:c>
      <x:c r="K950" s="10" t="n">
        <x:f>$K$935</x:f>
        <x:v>46.72784447160291</x:v>
      </x:c>
      <x:c r="L950" s="10" t="str">
        <x:v>No aporta E_social; S y R alimentan disposición a leyes según07.</x:v>
      </x:c>
    </x:row>
    <x:row r="951" ht="34" customHeight="1">
      <x:c r="A951" s="5" t="str">
        <x:v>S1_EMISION</x:v>
      </x:c>
      <x:c r="B951" s="5" t="n">
        <x:v>10</x:v>
      </x:c>
      <x:c r="C951" s="5" t="str">
        <x:v>oposicion</x:v>
      </x:c>
      <x:c r="D951" s="5" t="n">
        <x:f>$F$933</x:f>
        <x:v>53.92998848572627</x:v>
      </x:c>
      <x:c r="E951" s="5" t="n">
        <x:f>(ABS('03_Sensibilidades'!$C$64)*IF('03_Sensibilidades'!$C$64&lt;0,100-$K$207,$K$207)+ABS('03_Sensibilidades'!$C$65)*IF('03_Sensibilidades'!$C$65&lt;0,100-$K$199,$K$199)+ABS('03_Sensibilidades'!$C$66)*IF('03_Sensibilidades'!$C$66&lt;0,100-$K$205,$K$205))/(ABS('03_Sensibilidades'!$C$64)+ABS('03_Sensibilidades'!$C$65)+ABS('03_Sensibilidades'!$C$66))</x:f>
        <x:v>53.85685393678496</x:v>
      </x:c>
      <x:c r="F951" s="5" t="n">
        <x:f>(1-'00_Arquitectura'!$B$95)*D951+'00_Arquitectura'!$B$95*E951</x:f>
        <x:v>53.90439139359681</x:v>
      </x:c>
      <x:c r="G951" s="5" t="n">
        <x:f>'02_Actores'!$I$22</x:f>
        <x:v>30</x:v>
      </x:c>
      <x:c r="H951" s="5" t="n">
        <x:f>IF(OR(AND(F951&lt;'00_Arquitectura'!$B$118,G951&lt;'00_Arquitectura'!$B$119),F951&lt;'00_Arquitectura'!$B$120),1,0)</x:f>
        <x:v>0</x:v>
      </x:c>
      <x:c r="I951" s="5" t="n">
        <x:f>IF($I$933=1,IF(OR(AND(F951&lt;'00_Arquitectura'!$B$121,G951&lt;'00_Arquitectura'!$B$122),F951&lt;'00_Arquitectura'!$B$123),1,0),IF(AND(H951=1,$H$933=1),1,0))</x:f>
        <x:v>0</x:v>
      </x:c>
      <x:c r="J951" s="5" t="n">
        <x:f>0</x:f>
        <x:v>0</x:v>
      </x:c>
      <x:c r="K951" s="5" t="n">
        <x:f>$K$935</x:f>
        <x:v>46.72784447160291</x:v>
      </x:c>
      <x:c r="L951" s="5" t="str">
        <x:v>No aporta E_social; S y R alimentan disposición a leyes según07.</x:v>
      </x:c>
    </x:row>
    <x:row r="952" ht="42" customHeight="1">
      <x:c r="A952" s="10" t="str">
        <x:v>S1_EMISION</x:v>
      </x:c>
      <x:c r="B952" s="10" t="n">
        <x:v>10</x:v>
      </x:c>
      <x:c r="C952" s="10" t="str">
        <x:v>gobernadores</x:v>
      </x:c>
      <x:c r="D952" s="10" t="n">
        <x:f>$F$934</x:f>
        <x:v>50.12412999015605</x:v>
      </x:c>
      <x:c r="E952" s="10" t="n">
        <x:f>(ABS('03_Sensibilidades'!$C$67)*IF('03_Sensibilidades'!$C$67&lt;0,100-$K$201,$K$201)+ABS('03_Sensibilidades'!$C$68)*IF('03_Sensibilidades'!$C$68&lt;0,100-$K$203,$K$203)+ABS('03_Sensibilidades'!$C$69)*IF('03_Sensibilidades'!$C$69&lt;0,100-$K$202,$K$202)+ABS('03_Sensibilidades'!$C$70)*IF('03_Sensibilidades'!$C$70&lt;0,100-$K$199,$K$199))/(ABS('03_Sensibilidades'!$C$67)+ABS('03_Sensibilidades'!$C$68)+ABS('03_Sensibilidades'!$C$69)+ABS('03_Sensibilidades'!$C$70))</x:f>
        <x:v>50.07369237019652</x:v>
      </x:c>
      <x:c r="F952" s="10" t="n">
        <x:f>(1-'00_Arquitectura'!$B$95)*D952+'00_Arquitectura'!$B$95*E952</x:f>
        <x:v>50.10647682317021</x:v>
      </x:c>
      <x:c r="G952" s="10" t="n">
        <x:f>'02_Actores'!$I$23</x:f>
        <x:v>45</x:v>
      </x:c>
      <x:c r="H952" s="10" t="n">
        <x:f>IF(OR(AND(F952&lt;'00_Arquitectura'!$B$118,G952&lt;'00_Arquitectura'!$B$119),F952&lt;'00_Arquitectura'!$B$120),1,0)</x:f>
        <x:v>0</x:v>
      </x:c>
      <x:c r="I952" s="10" t="n">
        <x:f>IF($I$934=1,IF(OR(AND(F952&lt;'00_Arquitectura'!$B$121,G952&lt;'00_Arquitectura'!$B$122),F952&lt;'00_Arquitectura'!$B$123),1,0),IF(AND(H952=1,$H$934=1),1,0))</x:f>
        <x:v>0</x:v>
      </x:c>
      <x:c r="J952" s="10" t="n">
        <x:f>0</x:f>
        <x:v>0</x:v>
      </x:c>
      <x:c r="K952" s="10" t="n">
        <x:f>$K$935</x:f>
        <x:v>46.72784447160291</x:v>
      </x:c>
      <x:c r="L952" s="10" t="str">
        <x:v>Conflicto activo captura menor eficacia en políticas ejecutadas en t+1. Magnitud0 en J: no es un offset directo de indicador.</x:v>
      </x:c>
    </x:row>
    <x:row r="953" ht="34" customHeight="1">
      <x:c r="A953" s="5" t="str">
        <x:v>S2_VIAL</x:v>
      </x:c>
      <x:c r="B953" s="5" t="n">
        <x:v>1</x:v>
      </x:c>
      <x:c r="C953" s="5" t="str">
        <x:v>industria</x:v>
      </x:c>
      <x:c r="D953" s="5"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E953" s="5" t="n">
        <x:f>(ABS('03_Sensibilidades'!$C$6)*IF('03_Sensibilidades'!$C$6&lt;0,100-$K$212,$K$212)+ABS('03_Sensibilidades'!$C$7)*IF('03_Sensibilidades'!$C$7&lt;0,100-$K$210,$K$210)+ABS('03_Sensibilidades'!$C$8)*IF('03_Sensibilidades'!$C$8&lt;0,100-$K$215,$K$215)+ABS('03_Sensibilidades'!$C$9)*IF('03_Sensibilidades'!$C$9&lt;0,100-$K$214,$K$214))/(ABS('03_Sensibilidades'!$C$6)+ABS('03_Sensibilidades'!$C$7)+ABS('03_Sensibilidades'!$C$8)+ABS('03_Sensibilidades'!$C$9))</x:f>
        <x:v>46.48148148148148</x:v>
      </x:c>
      <x:c r="F953" s="5" t="n">
        <x:f>(1-'00_Arquitectura'!$B$95)*D953+'00_Arquitectura'!$B$95*E953</x:f>
        <x:v>46.48148148148148</x:v>
      </x:c>
      <x:c r="G953" s="5" t="n">
        <x:f>'02_Actores'!$I$6</x:f>
        <x:v>45</x:v>
      </x:c>
      <x:c r="H953" s="5" t="n">
        <x:f>IF(OR(AND(F953&lt;'00_Arquitectura'!$B$118,G953&lt;'00_Arquitectura'!$B$119),F953&lt;'00_Arquitectura'!$B$120),1,0)</x:f>
        <x:v>0</x:v>
      </x:c>
      <x:c r="I953" s="5" t="n">
        <x:f>0</x:f>
        <x:v>0</x:v>
      </x:c>
      <x:c r="J953" s="5" t="n">
        <x:f>-I953*2*'02_Actores'!$E$6/10</x:f>
        <x:v>0</x:v>
      </x:c>
      <x:c r="K953" s="5" t="n">
        <x:f>($F$953*'02_Actores'!$F$6+$F$954*'02_Actores'!$F$7+$F$955*'02_Actores'!$F$8+$F$956*'02_Actores'!$F$9+$F$957*'02_Actores'!$F$10+$F$958*'02_Actores'!$F$11+$F$959*'02_Actores'!$F$12+$F$960*'02_Actores'!$F$13+$F$961*'02_Actores'!$F$14+$F$962*'02_Actores'!$F$15+$F$963*'02_Actores'!$F$16+$F$964*'02_Actores'!$F$17+$F$965*'02_Actores'!$F$18+$F$966*'02_Actores'!$F$19)/('02_Actores'!$F$6+'02_Actores'!$F$7+'02_Actores'!$F$8+'02_Actores'!$F$9+'02_Actores'!$F$10+'02_Actores'!$F$11+'02_Actores'!$F$12+'02_Actores'!$F$13+'02_Actores'!$F$14+'02_Actores'!$F$15+'02_Actores'!$F$16+'02_Actores'!$F$17+'02_Actores'!$F$18+'02_Actores'!$F$19)</x:f>
        <x:v>48.759669086667884</x:v>
      </x:c>
      <x:c r="L953" s="5" t="str">
        <x:v>J programa offset para t+1; efecto sustituible y acotado, sin voto adicional.</x:v>
      </x:c>
    </x:row>
    <x:row r="954" ht="34" customHeight="1">
      <x:c r="A954" s="10" t="str">
        <x:v>S2_VIAL</x:v>
      </x:c>
      <x:c r="B954" s="10" t="n">
        <x:v>1</x:v>
      </x:c>
      <x:c r="C954" s="10" t="str">
        <x:v>agro</x:v>
      </x:c>
      <x:c r="D954" s="10"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E954" s="10" t="n">
        <x:f>(ABS('03_Sensibilidades'!$C$10)*IF('03_Sensibilidades'!$C$10&lt;0,100-$K$214,$K$214)+ABS('03_Sensibilidades'!$C$11)*IF('03_Sensibilidades'!$C$11&lt;0,100-$K$215,$K$215)+ABS('03_Sensibilidades'!$C$12)*IF('03_Sensibilidades'!$C$12&lt;0,100-$K$222,$K$222)+ABS('03_Sensibilidades'!$C$13)*IF('03_Sensibilidades'!$C$13&lt;0,100-$K$212,$K$212))/(ABS('03_Sensibilidades'!$C$10)+ABS('03_Sensibilidades'!$C$11)+ABS('03_Sensibilidades'!$C$12)+ABS('03_Sensibilidades'!$C$13))</x:f>
        <x:v>45.892857142857146</x:v>
      </x:c>
      <x:c r="F954" s="10" t="n">
        <x:f>(1-'00_Arquitectura'!$B$95)*D954+'00_Arquitectura'!$B$95*E954</x:f>
        <x:v>45.892857142857146</x:v>
      </x:c>
      <x:c r="G954" s="10" t="n">
        <x:f>'02_Actores'!$I$7</x:f>
        <x:v>45</x:v>
      </x:c>
      <x:c r="H954" s="10" t="n">
        <x:f>IF(OR(AND(F954&lt;'00_Arquitectura'!$B$118,G954&lt;'00_Arquitectura'!$B$119),F954&lt;'00_Arquitectura'!$B$120),1,0)</x:f>
        <x:v>0</x:v>
      </x:c>
      <x:c r="I954" s="10" t="n">
        <x:f>0</x:f>
        <x:v>0</x:v>
      </x:c>
      <x:c r="J954" s="10" t="n">
        <x:f>-I954*2*'02_Actores'!$E$7/10</x:f>
        <x:v>0</x:v>
      </x:c>
      <x:c r="K954" s="10" t="n">
        <x:f>$K$953</x:f>
        <x:v>48.759669086667884</x:v>
      </x:c>
      <x:c r="L954" s="10" t="str">
        <x:v>J programa offset para t+1; efecto sustituible y acotado, sin voto adicional.</x:v>
      </x:c>
    </x:row>
    <x:row r="955" ht="34" customHeight="1">
      <x:c r="A955" s="5" t="str">
        <x:v>S2_VIAL</x:v>
      </x:c>
      <x:c r="B955" s="5" t="n">
        <x:v>1</x:v>
      </x:c>
      <x:c r="C955" s="5" t="str">
        <x:v>financiero</x:v>
      </x:c>
      <x:c r="D955" s="5"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01_Indicadores'!$H$18,'01_Indicadores'!$H$18))/(ABS('03_Sensibilidades'!$C$14)+ABS('03_Sensibilidades'!$C$15)+ABS('03_Sensibilidades'!$C$16)+ABS('03_Sensibilidades'!$C$17))</x:f>
        <x:v>55</x:v>
      </x:c>
      <x:c r="E955" s="5" t="n">
        <x:f>(ABS('03_Sensibilidades'!$C$14)*IF('03_Sensibilidades'!$C$14&lt;0,100-$K$213,$K$213)+ABS('03_Sensibilidades'!$C$15)*IF('03_Sensibilidades'!$C$15&lt;0,100-$K$209,$K$209)+ABS('03_Sensibilidades'!$C$16)*IF('03_Sensibilidades'!$C$16&lt;0,100-$K$212,$K$212)+ABS('03_Sensibilidades'!$C$17)*IF('03_Sensibilidades'!$C$17&lt;0,100-$K$221,$K$221))/(ABS('03_Sensibilidades'!$C$14)+ABS('03_Sensibilidades'!$C$15)+ABS('03_Sensibilidades'!$C$16)+ABS('03_Sensibilidades'!$C$17))</x:f>
        <x:v>55</x:v>
      </x:c>
      <x:c r="F955" s="5" t="n">
        <x:f>(1-'00_Arquitectura'!$B$95)*D955+'00_Arquitectura'!$B$95*E955</x:f>
        <x:v>55</x:v>
      </x:c>
      <x:c r="G955" s="5" t="n">
        <x:f>'02_Actores'!$I$8</x:f>
        <x:v>45</x:v>
      </x:c>
      <x:c r="H955" s="5" t="n">
        <x:f>IF(OR(AND(F955&lt;'00_Arquitectura'!$B$118,G955&lt;'00_Arquitectura'!$B$119),F955&lt;'00_Arquitectura'!$B$120),1,0)</x:f>
        <x:v>0</x:v>
      </x:c>
      <x:c r="I955" s="5" t="n">
        <x:f>0</x:f>
        <x:v>0</x:v>
      </x:c>
      <x:c r="J955" s="5" t="n">
        <x:f>-I955*2*'02_Actores'!$E$8/10</x:f>
        <x:v>0</x:v>
      </x:c>
      <x:c r="K955" s="5" t="n">
        <x:f>$K$953</x:f>
        <x:v>48.759669086667884</x:v>
      </x:c>
      <x:c r="L955" s="5" t="str">
        <x:v>J programa offset para t+1; efecto sustituible y acotado, sin voto adicional.</x:v>
      </x:c>
    </x:row>
    <x:row r="956" ht="34" customHeight="1">
      <x:c r="A956" s="10" t="str">
        <x:v>S2_VIAL</x:v>
      </x:c>
      <x:c r="B956" s="10" t="n">
        <x:v>1</x:v>
      </x:c>
      <x:c r="C956" s="10" t="str">
        <x:v>sindicatos</x:v>
      </x:c>
      <x:c r="D956" s="10"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01_Indicadores'!$H$18,'01_Indicadores'!$H$18))/(ABS('03_Sensibilidades'!$C$18)+ABS('03_Sensibilidades'!$C$19)+ABS('03_Sensibilidades'!$C$20)+ABS('03_Sensibilidades'!$C$21))</x:f>
        <x:v>47.93103448275862</x:v>
      </x:c>
      <x:c r="E956" s="10" t="n">
        <x:f>(ABS('03_Sensibilidades'!$C$18)*IF('03_Sensibilidades'!$C$18&lt;0,100-$K$211,$K$211)+ABS('03_Sensibilidades'!$C$19)*IF('03_Sensibilidades'!$C$19&lt;0,100-$K$210,$K$210)+ABS('03_Sensibilidades'!$C$20)*IF('03_Sensibilidades'!$C$20&lt;0,100-$K$218,$K$218)+ABS('03_Sensibilidades'!$C$21)*IF('03_Sensibilidades'!$C$21&lt;0,100-$K$221,$K$221))/(ABS('03_Sensibilidades'!$C$18)+ABS('03_Sensibilidades'!$C$19)+ABS('03_Sensibilidades'!$C$20)+ABS('03_Sensibilidades'!$C$21))</x:f>
        <x:v>47.93103448275862</x:v>
      </x:c>
      <x:c r="F956" s="10" t="n">
        <x:f>(1-'00_Arquitectura'!$B$95)*D956+'00_Arquitectura'!$B$95*E956</x:f>
        <x:v>47.93103448275862</x:v>
      </x:c>
      <x:c r="G956" s="10" t="n">
        <x:f>'02_Actores'!$I$9</x:f>
        <x:v>45</x:v>
      </x:c>
      <x:c r="H956" s="10" t="n">
        <x:f>IF(OR(AND(F956&lt;'00_Arquitectura'!$B$118,G956&lt;'00_Arquitectura'!$B$119),F956&lt;'00_Arquitectura'!$B$120),1,0)</x:f>
        <x:v>0</x:v>
      </x:c>
      <x:c r="I956" s="10" t="n">
        <x:f>0</x:f>
        <x:v>0</x:v>
      </x:c>
      <x:c r="J956" s="10" t="n">
        <x:f>-I956*2*'02_Actores'!$E$9/10</x:f>
        <x:v>0</x:v>
      </x:c>
      <x:c r="K956" s="10" t="n">
        <x:f>$K$953</x:f>
        <x:v>48.759669086667884</x:v>
      </x:c>
      <x:c r="L956" s="10" t="str">
        <x:v>J programa offset para t+1; efecto sustituible y acotado, sin voto adicional.</x:v>
      </x:c>
    </x:row>
    <x:row r="957" ht="34" customHeight="1">
      <x:c r="A957" s="5" t="str">
        <x:v>S2_VIAL</x:v>
      </x:c>
      <x:c r="B957" s="5" t="n">
        <x:v>1</x:v>
      </x:c>
      <x:c r="C957" s="5" t="str">
        <x:v>pymes</x:v>
      </x:c>
      <x:c r="D957" s="5"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E957" s="5" t="n">
        <x:f>(ABS('03_Sensibilidades'!$C$22)*IF('03_Sensibilidades'!$C$22&lt;0,100-$K$212,$K$212)+ABS('03_Sensibilidades'!$C$23)*IF('03_Sensibilidades'!$C$23&lt;0,100-$K$210,$K$210)+ABS('03_Sensibilidades'!$C$24)*IF('03_Sensibilidades'!$C$24&lt;0,100-$K$215,$K$215)+ABS('03_Sensibilidades'!$C$25)*IF('03_Sensibilidades'!$C$25&lt;0,100-$K$209,$K$209))/(ABS('03_Sensibilidades'!$C$22)+ABS('03_Sensibilidades'!$C$23)+ABS('03_Sensibilidades'!$C$24)+ABS('03_Sensibilidades'!$C$25))</x:f>
        <x:v>49.13793103448276</x:v>
      </x:c>
      <x:c r="F957" s="5" t="n">
        <x:f>(1-'00_Arquitectura'!$B$95)*D957+'00_Arquitectura'!$B$95*E957</x:f>
        <x:v>49.13793103448276</x:v>
      </x:c>
      <x:c r="G957" s="5" t="n">
        <x:f>'02_Actores'!$I$10</x:f>
        <x:v>45</x:v>
      </x:c>
      <x:c r="H957" s="5" t="n">
        <x:f>IF(OR(AND(F957&lt;'00_Arquitectura'!$B$118,G957&lt;'00_Arquitectura'!$B$119),F957&lt;'00_Arquitectura'!$B$120),1,0)</x:f>
        <x:v>0</x:v>
      </x:c>
      <x:c r="I957" s="5" t="n">
        <x:f>0</x:f>
        <x:v>0</x:v>
      </x:c>
      <x:c r="J957" s="5" t="n">
        <x:f>-I957*2*'02_Actores'!$E$10/10</x:f>
        <x:v>0</x:v>
      </x:c>
      <x:c r="K957" s="5" t="n">
        <x:f>$K$953</x:f>
        <x:v>48.759669086667884</x:v>
      </x:c>
      <x:c r="L957" s="5" t="str">
        <x:v>J programa offset para t+1; efecto sustituible y acotado, sin voto adicional.</x:v>
      </x:c>
    </x:row>
    <x:row r="958" ht="34" customHeight="1">
      <x:c r="A958" s="10" t="str">
        <x:v>S2_VIAL</x:v>
      </x:c>
      <x:c r="B958" s="10" t="n">
        <x:v>1</x:v>
      </x:c>
      <x:c r="C958" s="10" t="str">
        <x:v>clase_media</x:v>
      </x:c>
      <x:c r="D958" s="10"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E958" s="10" t="n">
        <x:f>(ABS('03_Sensibilidades'!$C$26)*IF('03_Sensibilidades'!$C$26&lt;0,100-$K$211,$K$211)+ABS('03_Sensibilidades'!$C$27)*IF('03_Sensibilidades'!$C$27&lt;0,100-$K$219,$K$219)+ABS('03_Sensibilidades'!$C$28)*IF('03_Sensibilidades'!$C$28&lt;0,100-$K$216,$K$216)+ABS('03_Sensibilidades'!$C$29)*IF('03_Sensibilidades'!$C$29&lt;0,100-$K$209,$K$209))/(ABS('03_Sensibilidades'!$C$26)+ABS('03_Sensibilidades'!$C$27)+ABS('03_Sensibilidades'!$C$28)+ABS('03_Sensibilidades'!$C$29))</x:f>
        <x:v>48.333333333333336</x:v>
      </x:c>
      <x:c r="F958" s="10" t="n">
        <x:f>(1-'00_Arquitectura'!$B$95)*D958+'00_Arquitectura'!$B$95*E958</x:f>
        <x:v>48.333333333333336</x:v>
      </x:c>
      <x:c r="G958" s="10" t="n">
        <x:f>'02_Actores'!$I$11</x:f>
        <x:v>45</x:v>
      </x:c>
      <x:c r="H958" s="10" t="n">
        <x:f>IF(OR(AND(F958&lt;'00_Arquitectura'!$B$118,G958&lt;'00_Arquitectura'!$B$119),F958&lt;'00_Arquitectura'!$B$120),1,0)</x:f>
        <x:v>0</x:v>
      </x:c>
      <x:c r="I958" s="10" t="n">
        <x:f>0</x:f>
        <x:v>0</x:v>
      </x:c>
      <x:c r="J958" s="10" t="n">
        <x:f>0</x:f>
        <x:v>0</x:v>
      </x:c>
      <x:c r="K958" s="10" t="n">
        <x:f>$K$953</x:f>
        <x:v>48.759669086667884</x:v>
      </x:c>
      <x:c r="L958" s="10" t="str">
        <x:v>Canal directo sólo al índice social; sin bono de popularidad.</x:v>
      </x:c>
    </x:row>
    <x:row r="959" ht="34" customHeight="1">
      <x:c r="A959" s="5" t="str">
        <x:v>S2_VIAL</x:v>
      </x:c>
      <x:c r="B959" s="5" t="n">
        <x:v>1</x:v>
      </x:c>
      <x:c r="C959" s="5" t="str">
        <x:v>cooperativas</x:v>
      </x:c>
      <x:c r="D959" s="5"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01_Indicadores'!$H$18,'01_Indicadores'!$H$18))/(ABS('03_Sensibilidades'!$C$30)+ABS('03_Sensibilidades'!$C$31)+ABS('03_Sensibilidades'!$C$32)+ABS('03_Sensibilidades'!$C$33))</x:f>
        <x:v>47.77777777777778</x:v>
      </x:c>
      <x:c r="E959" s="5" t="n">
        <x:f>(ABS('03_Sensibilidades'!$C$30)*IF('03_Sensibilidades'!$C$30&lt;0,100-$K$212,$K$212)+ABS('03_Sensibilidades'!$C$31)*IF('03_Sensibilidades'!$C$31&lt;0,100-$K$210,$K$210)+ABS('03_Sensibilidades'!$C$32)*IF('03_Sensibilidades'!$C$32&lt;0,100-$K$218,$K$218)+ABS('03_Sensibilidades'!$C$33)*IF('03_Sensibilidades'!$C$33&lt;0,100-$K$221,$K$221))/(ABS('03_Sensibilidades'!$C$30)+ABS('03_Sensibilidades'!$C$31)+ABS('03_Sensibilidades'!$C$32)+ABS('03_Sensibilidades'!$C$33))</x:f>
        <x:v>47.77777777777778</x:v>
      </x:c>
      <x:c r="F959" s="5" t="n">
        <x:f>(1-'00_Arquitectura'!$B$95)*D959+'00_Arquitectura'!$B$95*E959</x:f>
        <x:v>47.77777777777778</x:v>
      </x:c>
      <x:c r="G959" s="5" t="n">
        <x:f>'02_Actores'!$I$12</x:f>
        <x:v>45</x:v>
      </x:c>
      <x:c r="H959" s="5" t="n">
        <x:f>IF(OR(AND(F959&lt;'00_Arquitectura'!$B$118,G959&lt;'00_Arquitectura'!$B$119),F959&lt;'00_Arquitectura'!$B$120),1,0)</x:f>
        <x:v>0</x:v>
      </x:c>
      <x:c r="I959" s="5" t="n">
        <x:f>0</x:f>
        <x:v>0</x:v>
      </x:c>
      <x:c r="J959" s="5" t="n">
        <x:f>-I959*1.5*'02_Actores'!$E$12/10</x:f>
        <x:v>0</x:v>
      </x:c>
      <x:c r="K959" s="5" t="n">
        <x:f>$K$953</x:f>
        <x:v>48.759669086667884</x:v>
      </x:c>
      <x:c r="L959" s="5" t="str">
        <x:v>J programa offset para t+1; efecto sustituible y acotado, sin voto adicional.</x:v>
      </x:c>
    </x:row>
    <x:row r="960" ht="42" customHeight="1">
      <x:c r="A960" s="10" t="str">
        <x:v>S2_VIAL</x:v>
      </x:c>
      <x:c r="B960" s="10" t="n">
        <x:v>1</x:v>
      </x:c>
      <x:c r="C960" s="10" t="str">
        <x:v>estudiantes</x:v>
      </x:c>
      <x:c r="D960" s="10" t="n">
        <x:f>(ABS('03_Sensibilidades'!$C$34)*IF('03_Sensibilidades'!$C$34&lt;0,100-'01_Indicadores'!$H$13,'01_Indicadores'!$H$13)+ABS('03_Sensibilidades'!$C$35)*IF('03_Sensibilidades'!$C$35&lt;0,100-'01_Indicadores'!$H$8,'01_Indicadores'!$H$8)+ABS('03_Sensibilidades'!$C$36)*IF('03_Sensibilidades'!$C$36&lt;0,100-'01_Indicadores'!$H$18,'01_Indicadores'!$H$18)+ABS('03_Sensibilidades'!$C$37)*IF('03_Sensibilidades'!$C$37&lt;0,100-'01_Indicadores'!$H$17,'01_Indicadores'!$H$17))/(ABS('03_Sensibilidades'!$C$34)+ABS('03_Sensibilidades'!$C$35)+ABS('03_Sensibilidades'!$C$36)+ABS('03_Sensibilidades'!$C$37))</x:f>
        <x:v>49.2</x:v>
      </x:c>
      <x:c r="E960" s="10" t="n">
        <x:f>(ABS('03_Sensibilidades'!$C$34)*IF('03_Sensibilidades'!$C$34&lt;0,100-$K$216,$K$216)+ABS('03_Sensibilidades'!$C$35)*IF('03_Sensibilidades'!$C$35&lt;0,100-$K$211,$K$211)+ABS('03_Sensibilidades'!$C$36)*IF('03_Sensibilidades'!$C$36&lt;0,100-$K$221,$K$221)+ABS('03_Sensibilidades'!$C$37)*IF('03_Sensibilidades'!$C$37&lt;0,100-$K$220,$K$220))/(ABS('03_Sensibilidades'!$C$34)+ABS('03_Sensibilidades'!$C$35)+ABS('03_Sensibilidades'!$C$36)+ABS('03_Sensibilidades'!$C$37))</x:f>
        <x:v>49.2</x:v>
      </x:c>
      <x:c r="F960" s="10" t="n">
        <x:f>(1-'00_Arquitectura'!$B$95)*D960+'00_Arquitectura'!$B$95*E960</x:f>
        <x:v>49.2</x:v>
      </x:c>
      <x:c r="G960" s="10" t="n">
        <x:f>'02_Actores'!$I$13</x:f>
        <x:v>45</x:v>
      </x:c>
      <x:c r="H960" s="10" t="n">
        <x:f>IF(OR(AND(F960&lt;'00_Arquitectura'!$B$118,G960&lt;'00_Arquitectura'!$B$119),F960&lt;'00_Arquitectura'!$B$120),1,0)</x:f>
        <x:v>0</x:v>
      </x:c>
      <x:c r="I960" s="10" t="n">
        <x:f>0</x:f>
        <x:v>0</x:v>
      </x:c>
      <x:c r="J960" s="10" t="n">
        <x:f>0</x:f>
        <x:v>0</x:v>
      </x:c>
      <x:c r="K960" s="10" t="n">
        <x:f>$K$953</x:f>
        <x:v>48.759669086667884</x:v>
      </x:c>
      <x:c r="L960" s="10" t="str">
        <x:v>Conflicto activo captura menor eficacia en políticas ejecutadas en t+1. Magnitud0 en J: no es un offset directo de indicador.</x:v>
      </x:c>
    </x:row>
    <x:row r="961" ht="34" customHeight="1">
      <x:c r="A961" s="5" t="str">
        <x:v>S2_VIAL</x:v>
      </x:c>
      <x:c r="B961" s="5" t="n">
        <x:v>1</x:v>
      </x:c>
      <x:c r="C961" s="5" t="str">
        <x:v>docentes</x:v>
      </x:c>
      <x:c r="D961" s="5" t="n">
        <x:f>(ABS('03_Sensibilidades'!$C$38)*IF('03_Sensibilidades'!$C$38&lt;0,100-'01_Indicadores'!$H$13,'01_Indicadores'!$H$13)+ABS('03_Sensibilidades'!$C$39)*IF('03_Sensibilidades'!$C$39&lt;0,100-'01_Indicadores'!$H$8,'01_Indicadores'!$H$8)+ABS('03_Sensibilidades'!$C$40)*IF('03_Sensibilidades'!$C$40&lt;0,100-'01_Indicadores'!$H$18,'01_Indicadores'!$H$18))/(ABS('03_Sensibilidades'!$C$38)+ABS('03_Sensibilidades'!$C$39)+ABS('03_Sensibilidades'!$C$40))</x:f>
        <x:v>48.91304347826087</x:v>
      </x:c>
      <x:c r="E961" s="5" t="n">
        <x:f>(ABS('03_Sensibilidades'!$C$38)*IF('03_Sensibilidades'!$C$38&lt;0,100-$K$216,$K$216)+ABS('03_Sensibilidades'!$C$39)*IF('03_Sensibilidades'!$C$39&lt;0,100-$K$211,$K$211)+ABS('03_Sensibilidades'!$C$40)*IF('03_Sensibilidades'!$C$40&lt;0,100-$K$221,$K$221))/(ABS('03_Sensibilidades'!$C$38)+ABS('03_Sensibilidades'!$C$39)+ABS('03_Sensibilidades'!$C$40))</x:f>
        <x:v>48.91304347826087</x:v>
      </x:c>
      <x:c r="F961" s="5" t="n">
        <x:f>(1-'00_Arquitectura'!$B$95)*D961+'00_Arquitectura'!$B$95*E961</x:f>
        <x:v>48.91304347826087</x:v>
      </x:c>
      <x:c r="G961" s="5" t="n">
        <x:f>'02_Actores'!$I$14</x:f>
        <x:v>45</x:v>
      </x:c>
      <x:c r="H961" s="5" t="n">
        <x:f>IF(OR(AND(F961&lt;'00_Arquitectura'!$B$118,G961&lt;'00_Arquitectura'!$B$119),F961&lt;'00_Arquitectura'!$B$120),1,0)</x:f>
        <x:v>0</x:v>
      </x:c>
      <x:c r="I961" s="5" t="n">
        <x:f>0</x:f>
        <x:v>0</x:v>
      </x:c>
      <x:c r="J961" s="5" t="n">
        <x:f>-I961*1.5*'02_Actores'!$E$14/10</x:f>
        <x:v>0</x:v>
      </x:c>
      <x:c r="K961" s="5" t="n">
        <x:f>$K$953</x:f>
        <x:v>48.759669086667884</x:v>
      </x:c>
      <x:c r="L961" s="5" t="str">
        <x:v>J programa offset para t+1; efecto sustituible y acotado, sin voto adicional.</x:v>
      </x:c>
    </x:row>
    <x:row r="962" ht="34" customHeight="1">
      <x:c r="A962" s="10" t="str">
        <x:v>S2_VIAL</x:v>
      </x:c>
      <x:c r="B962" s="10" t="n">
        <x:v>1</x:v>
      </x:c>
      <x:c r="C962" s="10" t="str">
        <x:v>cientificos</x:v>
      </x:c>
      <x:c r="D962" s="10" t="n">
        <x:f>(ABS('03_Sensibilidades'!$C$41)*IF('03_Sensibilidades'!$C$41&lt;0,100-'01_Indicadores'!$H$17,'01_Indicadores'!$H$17)+ABS('03_Sensibilidades'!$C$42)*IF('03_Sensibilidades'!$C$42&lt;0,100-'01_Indicadores'!$H$13,'01_Indicadores'!$H$13)+ABS('03_Sensibilidades'!$C$43)*IF('03_Sensibilidades'!$C$43&lt;0,100-'01_Indicadores'!$H$18,'01_Indicadores'!$H$18))/(ABS('03_Sensibilidades'!$C$41)+ABS('03_Sensibilidades'!$C$42)+ABS('03_Sensibilidades'!$C$43))</x:f>
        <x:v>46.59090909090909</x:v>
      </x:c>
      <x:c r="E962" s="10" t="n">
        <x:f>(ABS('03_Sensibilidades'!$C$41)*IF('03_Sensibilidades'!$C$41&lt;0,100-$K$220,$K$220)+ABS('03_Sensibilidades'!$C$42)*IF('03_Sensibilidades'!$C$42&lt;0,100-$K$216,$K$216)+ABS('03_Sensibilidades'!$C$43)*IF('03_Sensibilidades'!$C$43&lt;0,100-$K$221,$K$221))/(ABS('03_Sensibilidades'!$C$41)+ABS('03_Sensibilidades'!$C$42)+ABS('03_Sensibilidades'!$C$43))</x:f>
        <x:v>46.59090909090909</x:v>
      </x:c>
      <x:c r="F962" s="10" t="n">
        <x:f>(1-'00_Arquitectura'!$B$95)*D962+'00_Arquitectura'!$B$95*E962</x:f>
        <x:v>46.59090909090909</x:v>
      </x:c>
      <x:c r="G962" s="10" t="n">
        <x:f>'02_Actores'!$I$15</x:f>
        <x:v>45</x:v>
      </x:c>
      <x:c r="H962" s="10" t="n">
        <x:f>IF(OR(AND(F962&lt;'00_Arquitectura'!$B$118,G962&lt;'00_Arquitectura'!$B$119),F962&lt;'00_Arquitectura'!$B$120),1,0)</x:f>
        <x:v>0</x:v>
      </x:c>
      <x:c r="I962" s="10" t="n">
        <x:f>0</x:f>
        <x:v>0</x:v>
      </x:c>
      <x:c r="J962" s="10" t="n">
        <x:f>-I962*1.5*'02_Actores'!$E$15/10</x:f>
        <x:v>0</x:v>
      </x:c>
      <x:c r="K962" s="10" t="n">
        <x:f>$K$953</x:f>
        <x:v>48.759669086667884</x:v>
      </x:c>
      <x:c r="L962" s="10" t="str">
        <x:v>J programa offset para t+1; efecto sustituible y acotado, sin voto adicional.</x:v>
      </x:c>
    </x:row>
    <x:row r="963" ht="34" customHeight="1">
      <x:c r="A963" s="5" t="str">
        <x:v>S2_VIAL</x:v>
      </x:c>
      <x:c r="B963" s="5" t="n">
        <x:v>1</x:v>
      </x:c>
      <x:c r="C963" s="5" t="str">
        <x:v>organizaciones</x:v>
      </x:c>
      <x:c r="D963" s="5"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01_Indicadores'!$H$18,'01_Indicadores'!$H$18))/(ABS('03_Sensibilidades'!$C$44)+ABS('03_Sensibilidades'!$C$45)+ABS('03_Sensibilidades'!$C$46)+ABS('03_Sensibilidades'!$C$47))</x:f>
        <x:v>49.107142857142854</x:v>
      </x:c>
      <x:c r="E963" s="5" t="n">
        <x:f>(ABS('03_Sensibilidades'!$C$44)*IF('03_Sensibilidades'!$C$44&lt;0,100-$K$218,$K$218)+ABS('03_Sensibilidades'!$C$45)*IF('03_Sensibilidades'!$C$45&lt;0,100-$K$217,$K$217)+ABS('03_Sensibilidades'!$C$46)*IF('03_Sensibilidades'!$C$46&lt;0,100-$K$210,$K$210)+ABS('03_Sensibilidades'!$C$47)*IF('03_Sensibilidades'!$C$47&lt;0,100-$K$221,$K$221))/(ABS('03_Sensibilidades'!$C$44)+ABS('03_Sensibilidades'!$C$45)+ABS('03_Sensibilidades'!$C$46)+ABS('03_Sensibilidades'!$C$47))</x:f>
        <x:v>49.107142857142854</x:v>
      </x:c>
      <x:c r="F963" s="5" t="n">
        <x:f>(1-'00_Arquitectura'!$B$95)*D963+'00_Arquitectura'!$B$95*E963</x:f>
        <x:v>49.107142857142854</x:v>
      </x:c>
      <x:c r="G963" s="5" t="n">
        <x:f>'02_Actores'!$I$16</x:f>
        <x:v>45</x:v>
      </x:c>
      <x:c r="H963" s="5" t="n">
        <x:f>IF(OR(AND(F963&lt;'00_Arquitectura'!$B$118,G963&lt;'00_Arquitectura'!$B$119),F963&lt;'00_Arquitectura'!$B$120),1,0)</x:f>
        <x:v>0</x:v>
      </x:c>
      <x:c r="I963" s="5" t="n">
        <x:f>0</x:f>
        <x:v>0</x:v>
      </x:c>
      <x:c r="J963" s="5" t="n">
        <x:f>-I963*1.5*'02_Actores'!$E$16/10</x:f>
        <x:v>0</x:v>
      </x:c>
      <x:c r="K963" s="5" t="n">
        <x:f>$K$953</x:f>
        <x:v>48.759669086667884</x:v>
      </x:c>
      <x:c r="L963" s="5" t="str">
        <x:v>J programa offset para t+1; efecto sustituible y acotado, sin voto adicional.</x:v>
      </x:c>
    </x:row>
    <x:row r="964" ht="42" customHeight="1">
      <x:c r="A964" s="10" t="str">
        <x:v>S2_VIAL</x:v>
      </x:c>
      <x:c r="B964" s="10" t="n">
        <x:v>1</x:v>
      </x:c>
      <x:c r="C964" s="10" t="str">
        <x:v>ddhh</x:v>
      </x:c>
      <x:c r="D964" s="10" t="n">
        <x:f>(ABS('03_Sensibilidades'!$C$48)*IF('03_Sensibilidades'!$C$48&lt;0,100-'01_Indicadores'!$H$18,'01_Indicadores'!$H$18)+ABS('03_Sensibilidades'!$C$49)*IF('03_Sensibilidades'!$C$49&lt;0,100-'01_Indicadores'!$H$16,'01_Indicadores'!$H$16)+ABS('03_Sensibilidades'!$C$50)*IF('03_Sensibilidades'!$C$50&lt;0,100-'01_Indicadores'!$H$15,'01_Indicadores'!$H$15))/(ABS('03_Sensibilidades'!$C$48)+ABS('03_Sensibilidades'!$C$49)+ABS('03_Sensibilidades'!$C$50))</x:f>
        <x:v>50.88235294117647</x:v>
      </x:c>
      <x:c r="E964" s="10" t="n">
        <x:f>(ABS('03_Sensibilidades'!$C$48)*IF('03_Sensibilidades'!$C$48&lt;0,100-$K$221,$K$221)+ABS('03_Sensibilidades'!$C$49)*IF('03_Sensibilidades'!$C$49&lt;0,100-$K$219,$K$219)+ABS('03_Sensibilidades'!$C$50)*IF('03_Sensibilidades'!$C$50&lt;0,100-$K$218,$K$218))/(ABS('03_Sensibilidades'!$C$48)+ABS('03_Sensibilidades'!$C$49)+ABS('03_Sensibilidades'!$C$50))</x:f>
        <x:v>50.88235294117647</x:v>
      </x:c>
      <x:c r="F964" s="10" t="n">
        <x:f>(1-'00_Arquitectura'!$B$95)*D964+'00_Arquitectura'!$B$95*E964</x:f>
        <x:v>50.88235294117648</x:v>
      </x:c>
      <x:c r="G964" s="10" t="n">
        <x:f>'02_Actores'!$I$17</x:f>
        <x:v>45</x:v>
      </x:c>
      <x:c r="H964" s="10" t="n">
        <x:f>IF(OR(AND(F964&lt;'00_Arquitectura'!$B$118,G964&lt;'00_Arquitectura'!$B$119),F964&lt;'00_Arquitectura'!$B$120),1,0)</x:f>
        <x:v>0</x:v>
      </x:c>
      <x:c r="I964" s="10" t="n">
        <x:f>0</x:f>
        <x:v>0</x:v>
      </x:c>
      <x:c r="J964" s="10" t="n">
        <x:f>0</x:f>
        <x:v>0</x:v>
      </x:c>
      <x:c r="K964" s="10" t="n">
        <x:f>$K$953</x:f>
        <x:v>48.759669086667884</x:v>
      </x:c>
      <x:c r="L964" s="10" t="str">
        <x:v>Conflicto activo captura menor eficacia en políticas ejecutadas en t+1. Magnitud0 en J: no es un offset directo de indicador.</x:v>
      </x:c>
    </x:row>
    <x:row r="965" ht="42" customHeight="1">
      <x:c r="A965" s="5" t="str">
        <x:v>S2_VIAL</x:v>
      </x:c>
      <x:c r="B965" s="5" t="n">
        <x:v>1</x:v>
      </x:c>
      <x:c r="C965" s="5" t="str">
        <x:v>ambientalistas</x:v>
      </x:c>
      <x:c r="D965" s="5" t="n">
        <x:f>(ABS('03_Sensibilidades'!$C$51)*IF('03_Sensibilidades'!$C$51&lt;0,100-'01_Indicadores'!$H$19,'01_Indicadores'!$H$19)+ABS('03_Sensibilidades'!$C$52)*IF('03_Sensibilidades'!$C$52&lt;0,100-'01_Indicadores'!$H$18,'01_Indicadores'!$H$18)+ABS('03_Sensibilidades'!$C$53)*IF('03_Sensibilidades'!$C$53&lt;0,100-'01_Indicadores'!$H$14,'01_Indicadores'!$H$14))/(ABS('03_Sensibilidades'!$C$51)+ABS('03_Sensibilidades'!$C$52)+ABS('03_Sensibilidades'!$C$53))</x:f>
        <x:v>51.388888888888886</x:v>
      </x:c>
      <x:c r="E965" s="5" t="n">
        <x:f>(ABS('03_Sensibilidades'!$C$51)*IF('03_Sensibilidades'!$C$51&lt;0,100-$K$222,$K$222)+ABS('03_Sensibilidades'!$C$52)*IF('03_Sensibilidades'!$C$52&lt;0,100-$K$221,$K$221)+ABS('03_Sensibilidades'!$C$53)*IF('03_Sensibilidades'!$C$53&lt;0,100-$K$217,$K$217))/(ABS('03_Sensibilidades'!$C$51)+ABS('03_Sensibilidades'!$C$52)+ABS('03_Sensibilidades'!$C$53))</x:f>
        <x:v>51.388888888888886</x:v>
      </x:c>
      <x:c r="F965" s="5" t="n">
        <x:f>(1-'00_Arquitectura'!$B$95)*D965+'00_Arquitectura'!$B$95*E965</x:f>
        <x:v>51.388888888888886</x:v>
      </x:c>
      <x:c r="G965" s="5" t="n">
        <x:f>'02_Actores'!$I$18</x:f>
        <x:v>45</x:v>
      </x:c>
      <x:c r="H965" s="5" t="n">
        <x:f>IF(OR(AND(F965&lt;'00_Arquitectura'!$B$118,G965&lt;'00_Arquitectura'!$B$119),F965&lt;'00_Arquitectura'!$B$120),1,0)</x:f>
        <x:v>0</x:v>
      </x:c>
      <x:c r="I965" s="5" t="n">
        <x:f>0</x:f>
        <x:v>0</x:v>
      </x:c>
      <x:c r="J965" s="5" t="n">
        <x:f>0</x:f>
        <x:v>0</x:v>
      </x:c>
      <x:c r="K965" s="5" t="n">
        <x:f>$K$953</x:f>
        <x:v>48.759669086667884</x:v>
      </x:c>
      <x:c r="L965" s="5" t="str">
        <x:v>Conflicto activo captura menor eficacia en políticas ejecutadas en t+1. Magnitud0 en J: no es un offset directo de indicador.</x:v>
      </x:c>
    </x:row>
    <x:row r="966" ht="34" customHeight="1">
      <x:c r="A966" s="10" t="str">
        <x:v>S2_VIAL</x:v>
      </x:c>
      <x:c r="B966" s="10" t="n">
        <x:v>1</x:v>
      </x:c>
      <x:c r="C966" s="10" t="str">
        <x:v>cultura</x:v>
      </x:c>
      <x:c r="D966" s="10" t="n">
        <x:f>(ABS('03_Sensibilidades'!$C$54)*IF('03_Sensibilidades'!$C$54&lt;0,100-'01_Indicadores'!$H$18,'01_Indicadores'!$H$18)+ABS('03_Sensibilidades'!$C$55)*IF('03_Sensibilidades'!$C$55&lt;0,100-'01_Indicadores'!$H$13,'01_Indicadores'!$H$13)+ABS('03_Sensibilidades'!$C$56)*IF('03_Sensibilidades'!$C$56&lt;0,100-'01_Indicadores'!$H$8,'01_Indicadores'!$H$8))/(ABS('03_Sensibilidades'!$C$54)+ABS('03_Sensibilidades'!$C$55)+ABS('03_Sensibilidades'!$C$56))</x:f>
        <x:v>50.78947368421053</x:v>
      </x:c>
      <x:c r="E966" s="10" t="n">
        <x:f>(ABS('03_Sensibilidades'!$C$54)*IF('03_Sensibilidades'!$C$54&lt;0,100-$K$221,$K$221)+ABS('03_Sensibilidades'!$C$55)*IF('03_Sensibilidades'!$C$55&lt;0,100-$K$216,$K$216)+ABS('03_Sensibilidades'!$C$56)*IF('03_Sensibilidades'!$C$56&lt;0,100-$K$211,$K$211))/(ABS('03_Sensibilidades'!$C$54)+ABS('03_Sensibilidades'!$C$55)+ABS('03_Sensibilidades'!$C$56))</x:f>
        <x:v>50.78947368421053</x:v>
      </x:c>
      <x:c r="F966" s="10" t="n">
        <x:f>(1-'00_Arquitectura'!$B$95)*D966+'00_Arquitectura'!$B$95*E966</x:f>
        <x:v>50.78947368421053</x:v>
      </x:c>
      <x:c r="G966" s="10" t="n">
        <x:f>'02_Actores'!$I$19</x:f>
        <x:v>45</x:v>
      </x:c>
      <x:c r="H966" s="10" t="n">
        <x:f>IF(OR(AND(F966&lt;'00_Arquitectura'!$B$118,G966&lt;'00_Arquitectura'!$B$119),F966&lt;'00_Arquitectura'!$B$120),1,0)</x:f>
        <x:v>0</x:v>
      </x:c>
      <x:c r="I966" s="10" t="n">
        <x:f>0</x:f>
        <x:v>0</x:v>
      </x:c>
      <x:c r="J966" s="10" t="n">
        <x:f>0</x:f>
        <x:v>0</x:v>
      </x:c>
      <x:c r="K966" s="10" t="n">
        <x:f>$K$953</x:f>
        <x:v>48.759669086667884</x:v>
      </x:c>
      <x:c r="L966" s="10" t="str">
        <x:v>Conflicto activo encarece agenda del turno siguiente; sin castigo electoral adicional.</x:v>
      </x:c>
    </x:row>
    <x:row r="967" ht="34" customHeight="1">
      <x:c r="A967" s="5" t="str">
        <x:v>S2_VIAL</x:v>
      </x:c>
      <x:c r="B967" s="5" t="n">
        <x:v>1</x:v>
      </x:c>
      <x:c r="C967" s="5" t="str">
        <x:v>oficialismo</x:v>
      </x:c>
      <x:c r="D967" s="5" t="n">
        <x:f>(ABS('03_Sensibilidades'!$C$57)*IF('03_Sensibilidades'!$C$57&lt;0,100-'01_Indicadores'!$H$18,'01_Indicadores'!$H$18)+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52.12</x:v>
      </x:c>
      <x:c r="E967" s="5" t="n">
        <x:f>(ABS('03_Sensibilidades'!$C$57)*IF('03_Sensibilidades'!$C$57&lt;0,100-$K$221,$K$221)+ABS('03_Sensibilidades'!$C$58)*IF('03_Sensibilidades'!$C$58&lt;0,100-$K$210,$K$210)+ABS('03_Sensibilidades'!$C$59)*IF('03_Sensibilidades'!$C$59&lt;0,100-$K$213,$K$213)+ABS('03_Sensibilidades'!$C$60)*IF('03_Sensibilidades'!$C$60&lt;0,100-$K$218,$K$218))/(ABS('03_Sensibilidades'!$C$57)+ABS('03_Sensibilidades'!$C$58)+ABS('03_Sensibilidades'!$C$59)+ABS('03_Sensibilidades'!$C$60))</x:f>
        <x:v>52.12</x:v>
      </x:c>
      <x:c r="F967" s="5" t="n">
        <x:f>(1-'00_Arquitectura'!$B$95)*D967+'00_Arquitectura'!$B$95*E967</x:f>
        <x:v>52.12</x:v>
      </x:c>
      <x:c r="G967" s="5" t="n">
        <x:f>'02_Actores'!$I$20</x:f>
        <x:v>60</x:v>
      </x:c>
      <x:c r="H967" s="5" t="n">
        <x:f>IF(OR(AND(F967&lt;'00_Arquitectura'!$B$118,G967&lt;'00_Arquitectura'!$B$119),F967&lt;'00_Arquitectura'!$B$120),1,0)</x:f>
        <x:v>0</x:v>
      </x:c>
      <x:c r="I967" s="5" t="n">
        <x:f>0</x:f>
        <x:v>0</x:v>
      </x:c>
      <x:c r="J967" s="5" t="n">
        <x:f>0</x:f>
        <x:v>0</x:v>
      </x:c>
      <x:c r="K967" s="5" t="n">
        <x:f>$K$953</x:f>
        <x:v>48.759669086667884</x:v>
      </x:c>
      <x:c r="L967" s="5" t="str">
        <x:v>No aporta E_social; S y R alimentan disposición a leyes según07.</x:v>
      </x:c>
    </x:row>
    <x:row r="968" ht="34" customHeight="1">
      <x:c r="A968" s="10" t="str">
        <x:v>S2_VIAL</x:v>
      </x:c>
      <x:c r="B968" s="10" t="n">
        <x:v>1</x:v>
      </x:c>
      <x:c r="C968" s="10" t="str">
        <x:v>aliados</x:v>
      </x:c>
      <x:c r="D968" s="10" t="n">
        <x:f>(ABS('03_Sensibilidades'!$C$61)*IF('03_Sensibilidades'!$C$61&lt;0,100-'01_Indicadores'!$H$18,'01_Indicadores'!$H$18)+ABS('03_Sensibilidades'!$C$62)*IF('03_Sensibilidades'!$C$62&lt;0,100-'01_Indicadores'!$H$10,'01_Indicadores'!$H$10)+ABS('03_Sensibilidades'!$C$63)*IF('03_Sensibilidades'!$C$63&lt;0,100-'01_Indicadores'!$H$12,'01_Indicadores'!$H$12))/(ABS('03_Sensibilidades'!$C$61)+ABS('03_Sensibilidades'!$C$62)+ABS('03_Sensibilidades'!$C$63))</x:f>
        <x:v>53.142857142857146</x:v>
      </x:c>
      <x:c r="E968" s="10" t="n">
        <x:f>(ABS('03_Sensibilidades'!$C$61)*IF('03_Sensibilidades'!$C$61&lt;0,100-$K$221,$K$221)+ABS('03_Sensibilidades'!$C$62)*IF('03_Sensibilidades'!$C$62&lt;0,100-$K$213,$K$213)+ABS('03_Sensibilidades'!$C$63)*IF('03_Sensibilidades'!$C$63&lt;0,100-$K$215,$K$215))/(ABS('03_Sensibilidades'!$C$61)+ABS('03_Sensibilidades'!$C$62)+ABS('03_Sensibilidades'!$C$63))</x:f>
        <x:v>53.142857142857146</x:v>
      </x:c>
      <x:c r="F968" s="10" t="n">
        <x:f>(1-'00_Arquitectura'!$B$95)*D968+'00_Arquitectura'!$B$95*E968</x:f>
        <x:v>53.142857142857146</x:v>
      </x:c>
      <x:c r="G968" s="10" t="n">
        <x:f>'02_Actores'!$I$21</x:f>
        <x:v>45</x:v>
      </x:c>
      <x:c r="H968" s="10" t="n">
        <x:f>IF(OR(AND(F968&lt;'00_Arquitectura'!$B$118,G968&lt;'00_Arquitectura'!$B$119),F968&lt;'00_Arquitectura'!$B$120),1,0)</x:f>
        <x:v>0</x:v>
      </x:c>
      <x:c r="I968" s="10" t="n">
        <x:f>0</x:f>
        <x:v>0</x:v>
      </x:c>
      <x:c r="J968" s="10" t="n">
        <x:f>0</x:f>
        <x:v>0</x:v>
      </x:c>
      <x:c r="K968" s="10" t="n">
        <x:f>$K$953</x:f>
        <x:v>48.759669086667884</x:v>
      </x:c>
      <x:c r="L968" s="10" t="str">
        <x:v>No aporta E_social; S y R alimentan disposición a leyes según07.</x:v>
      </x:c>
    </x:row>
    <x:row r="969" ht="34" customHeight="1">
      <x:c r="A969" s="5" t="str">
        <x:v>S2_VIAL</x:v>
      </x:c>
      <x:c r="B969" s="5" t="n">
        <x:v>1</x:v>
      </x:c>
      <x:c r="C969" s="5" t="str">
        <x:v>oposicion</x:v>
      </x:c>
      <x:c r="D969" s="5" t="n">
        <x:f>(ABS('03_Sensibilidades'!$C$64)*IF('03_Sensibilidades'!$C$64&lt;0,100-'01_Indicadores'!$H$18,'01_Indicadores'!$H$18)+ABS('03_Sensibilidades'!$C$65)*IF('03_Sensibilidades'!$C$65&lt;0,100-'01_Indicadores'!$H$10,'01_Indicadores'!$H$10)+ABS('03_Sensibilidades'!$C$66)*IF('03_Sensibilidades'!$C$66&lt;0,100-'01_Indicadores'!$H$16,'01_Indicadores'!$H$16))/(ABS('03_Sensibilidades'!$C$64)+ABS('03_Sensibilidades'!$C$65)+ABS('03_Sensibilidades'!$C$66))</x:f>
        <x:v>53.9</x:v>
      </x:c>
      <x:c r="E969" s="5" t="n">
        <x:f>(ABS('03_Sensibilidades'!$C$64)*IF('03_Sensibilidades'!$C$64&lt;0,100-$K$221,$K$221)+ABS('03_Sensibilidades'!$C$65)*IF('03_Sensibilidades'!$C$65&lt;0,100-$K$213,$K$213)+ABS('03_Sensibilidades'!$C$66)*IF('03_Sensibilidades'!$C$66&lt;0,100-$K$219,$K$219))/(ABS('03_Sensibilidades'!$C$64)+ABS('03_Sensibilidades'!$C$65)+ABS('03_Sensibilidades'!$C$66))</x:f>
        <x:v>53.9</x:v>
      </x:c>
      <x:c r="F969" s="5" t="n">
        <x:f>(1-'00_Arquitectura'!$B$95)*D969+'00_Arquitectura'!$B$95*E969</x:f>
        <x:v>53.900000000000006</x:v>
      </x:c>
      <x:c r="G969" s="5" t="n">
        <x:f>'02_Actores'!$I$22</x:f>
        <x:v>30</x:v>
      </x:c>
      <x:c r="H969" s="5" t="n">
        <x:f>IF(OR(AND(F969&lt;'00_Arquitectura'!$B$118,G969&lt;'00_Arquitectura'!$B$119),F969&lt;'00_Arquitectura'!$B$120),1,0)</x:f>
        <x:v>0</x:v>
      </x:c>
      <x:c r="I969" s="5" t="n">
        <x:f>0</x:f>
        <x:v>0</x:v>
      </x:c>
      <x:c r="J969" s="5" t="n">
        <x:f>0</x:f>
        <x:v>0</x:v>
      </x:c>
      <x:c r="K969" s="5" t="n">
        <x:f>$K$953</x:f>
        <x:v>48.759669086667884</x:v>
      </x:c>
      <x:c r="L969" s="5" t="str">
        <x:v>No aporta E_social; S y R alimentan disposición a leyes según07.</x:v>
      </x:c>
    </x:row>
    <x:row r="970" ht="42" customHeight="1">
      <x:c r="A970" s="10" t="str">
        <x:v>S2_VIAL</x:v>
      </x:c>
      <x:c r="B970" s="10" t="n">
        <x:v>1</x:v>
      </x:c>
      <x:c r="C970" s="10" t="str">
        <x:v>gobernadores</x:v>
      </x:c>
      <x:c r="D970" s="10"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E970" s="10" t="n">
        <x:f>(ABS('03_Sensibilidades'!$C$67)*IF('03_Sensibilidades'!$C$67&lt;0,100-$K$215,$K$215)+ABS('03_Sensibilidades'!$C$68)*IF('03_Sensibilidades'!$C$68&lt;0,100-$K$217,$K$217)+ABS('03_Sensibilidades'!$C$69)*IF('03_Sensibilidades'!$C$69&lt;0,100-$K$216,$K$216)+ABS('03_Sensibilidades'!$C$70)*IF('03_Sensibilidades'!$C$70&lt;0,100-$K$213,$K$213))/(ABS('03_Sensibilidades'!$C$67)+ABS('03_Sensibilidades'!$C$68)+ABS('03_Sensibilidades'!$C$69)+ABS('03_Sensibilidades'!$C$70))</x:f>
        <x:v>50.10344827586207</x:v>
      </x:c>
      <x:c r="F970" s="10" t="n">
        <x:f>(1-'00_Arquitectura'!$B$95)*D970+'00_Arquitectura'!$B$95*E970</x:f>
        <x:v>50.10344827586207</x:v>
      </x:c>
      <x:c r="G970" s="10" t="n">
        <x:f>'02_Actores'!$I$23</x:f>
        <x:v>45</x:v>
      </x:c>
      <x:c r="H970" s="10" t="n">
        <x:f>IF(OR(AND(F970&lt;'00_Arquitectura'!$B$118,G970&lt;'00_Arquitectura'!$B$119),F970&lt;'00_Arquitectura'!$B$120),1,0)</x:f>
        <x:v>0</x:v>
      </x:c>
      <x:c r="I970" s="10" t="n">
        <x:f>0</x:f>
        <x:v>0</x:v>
      </x:c>
      <x:c r="J970" s="10" t="n">
        <x:f>0</x:f>
        <x:v>0</x:v>
      </x:c>
      <x:c r="K970" s="10" t="n">
        <x:f>$K$953</x:f>
        <x:v>48.759669086667884</x:v>
      </x:c>
      <x:c r="L970" s="10" t="str">
        <x:v>Conflicto activo captura menor eficacia en políticas ejecutadas en t+1. Magnitud0 en J: no es un offset directo de indicador.</x:v>
      </x:c>
    </x:row>
    <x:row r="971" ht="34" customHeight="1">
      <x:c r="A971" s="5" t="str">
        <x:v>S2_VIAL</x:v>
      </x:c>
      <x:c r="B971" s="5" t="n">
        <x:v>2</x:v>
      </x:c>
      <x:c r="C971" s="5" t="str">
        <x:v>industria</x:v>
      </x:c>
      <x:c r="D971" s="5" t="n">
        <x:f>$F$953</x:f>
        <x:v>46.48148148148148</x:v>
      </x:c>
      <x:c r="E971" s="5" t="n">
        <x:f>(ABS('03_Sensibilidades'!$C$6)*IF('03_Sensibilidades'!$C$6&lt;0,100-$K$226,$K$226)+ABS('03_Sensibilidades'!$C$7)*IF('03_Sensibilidades'!$C$7&lt;0,100-$K$224,$K$224)+ABS('03_Sensibilidades'!$C$8)*IF('03_Sensibilidades'!$C$8&lt;0,100-$K$229,$K$229)+ABS('03_Sensibilidades'!$C$9)*IF('03_Sensibilidades'!$C$9&lt;0,100-$K$228,$K$228))/(ABS('03_Sensibilidades'!$C$6)+ABS('03_Sensibilidades'!$C$7)+ABS('03_Sensibilidades'!$C$8)+ABS('03_Sensibilidades'!$C$9))</x:f>
        <x:v>47.074074074074076</x:v>
      </x:c>
      <x:c r="F971" s="5" t="n">
        <x:f>(1-'00_Arquitectura'!$B$95)*D971+'00_Arquitectura'!$B$95*E971</x:f>
        <x:v>46.68888888888888</x:v>
      </x:c>
      <x:c r="G971" s="5" t="n">
        <x:f>'02_Actores'!$I$6</x:f>
        <x:v>45</x:v>
      </x:c>
      <x:c r="H971" s="5" t="n">
        <x:f>IF(OR(AND(F971&lt;'00_Arquitectura'!$B$118,G971&lt;'00_Arquitectura'!$B$119),F971&lt;'00_Arquitectura'!$B$120),1,0)</x:f>
        <x:v>0</x:v>
      </x:c>
      <x:c r="I971" s="5" t="n">
        <x:f>IF($I$953=1,IF(OR(AND(F971&lt;'00_Arquitectura'!$B$121,G971&lt;'00_Arquitectura'!$B$122),F971&lt;'00_Arquitectura'!$B$123),1,0),IF(AND(H971=1,$H$953=1),1,0))</x:f>
        <x:v>0</x:v>
      </x:c>
      <x:c r="J971" s="5" t="n">
        <x:f>-I971*2*'02_Actores'!$E$6/10</x:f>
        <x:v>0</x:v>
      </x:c>
      <x:c r="K971" s="5" t="n">
        <x:f>($F$971*'02_Actores'!$F$6+$F$972*'02_Actores'!$F$7+$F$973*'02_Actores'!$F$8+$F$974*'02_Actores'!$F$9+$F$975*'02_Actores'!$F$10+$F$976*'02_Actores'!$F$11+$F$977*'02_Actores'!$F$12+$F$978*'02_Actores'!$F$13+$F$979*'02_Actores'!$F$14+$F$980*'02_Actores'!$F$15+$F$981*'02_Actores'!$F$16+$F$982*'02_Actores'!$F$17+$F$983*'02_Actores'!$F$18+$F$984*'02_Actores'!$F$19)/('02_Actores'!$F$6+'02_Actores'!$F$7+'02_Actores'!$F$8+'02_Actores'!$F$9+'02_Actores'!$F$10+'02_Actores'!$F$11+'02_Actores'!$F$12+'02_Actores'!$F$13+'02_Actores'!$F$14+'02_Actores'!$F$15+'02_Actores'!$F$16+'02_Actores'!$F$17+'02_Actores'!$F$18+'02_Actores'!$F$19)</x:f>
        <x:v>48.84115969057228</x:v>
      </x:c>
      <x:c r="L971" s="5" t="str">
        <x:v>J programa offset para t+1; efecto sustituible y acotado, sin voto adicional.</x:v>
      </x:c>
    </x:row>
    <x:row r="972" ht="34" customHeight="1">
      <x:c r="A972" s="10" t="str">
        <x:v>S2_VIAL</x:v>
      </x:c>
      <x:c r="B972" s="10" t="n">
        <x:v>2</x:v>
      </x:c>
      <x:c r="C972" s="10" t="str">
        <x:v>agro</x:v>
      </x:c>
      <x:c r="D972" s="10" t="n">
        <x:f>$F$954</x:f>
        <x:v>45.892857142857146</x:v>
      </x:c>
      <x:c r="E972" s="10" t="n">
        <x:f>(ABS('03_Sensibilidades'!$C$10)*IF('03_Sensibilidades'!$C$10&lt;0,100-$K$228,$K$228)+ABS('03_Sensibilidades'!$C$11)*IF('03_Sensibilidades'!$C$11&lt;0,100-$K$229,$K$229)+ABS('03_Sensibilidades'!$C$12)*IF('03_Sensibilidades'!$C$12&lt;0,100-$K$236,$K$236)+ABS('03_Sensibilidades'!$C$13)*IF('03_Sensibilidades'!$C$13&lt;0,100-$K$226,$K$226))/(ABS('03_Sensibilidades'!$C$10)+ABS('03_Sensibilidades'!$C$11)+ABS('03_Sensibilidades'!$C$12)+ABS('03_Sensibilidades'!$C$13))</x:f>
        <x:v>45.892857142857146</x:v>
      </x:c>
      <x:c r="F972" s="10" t="n">
        <x:f>(1-'00_Arquitectura'!$B$95)*D972+'00_Arquitectura'!$B$95*E972</x:f>
        <x:v>45.892857142857146</x:v>
      </x:c>
      <x:c r="G972" s="10" t="n">
        <x:f>'02_Actores'!$I$7</x:f>
        <x:v>45</x:v>
      </x:c>
      <x:c r="H972" s="10" t="n">
        <x:f>IF(OR(AND(F972&lt;'00_Arquitectura'!$B$118,G972&lt;'00_Arquitectura'!$B$119),F972&lt;'00_Arquitectura'!$B$120),1,0)</x:f>
        <x:v>0</x:v>
      </x:c>
      <x:c r="I972" s="10" t="n">
        <x:f>IF($I$954=1,IF(OR(AND(F972&lt;'00_Arquitectura'!$B$121,G972&lt;'00_Arquitectura'!$B$122),F972&lt;'00_Arquitectura'!$B$123),1,0),IF(AND(H972=1,$H$954=1),1,0))</x:f>
        <x:v>0</x:v>
      </x:c>
      <x:c r="J972" s="10" t="n">
        <x:f>-I972*2*'02_Actores'!$E$7/10</x:f>
        <x:v>0</x:v>
      </x:c>
      <x:c r="K972" s="10" t="n">
        <x:f>$K$971</x:f>
        <x:v>48.84115969057228</x:v>
      </x:c>
      <x:c r="L972" s="10" t="str">
        <x:v>J programa offset para t+1; efecto sustituible y acotado, sin voto adicional.</x:v>
      </x:c>
    </x:row>
    <x:row r="973" ht="34" customHeight="1">
      <x:c r="A973" s="5" t="str">
        <x:v>S2_VIAL</x:v>
      </x:c>
      <x:c r="B973" s="5" t="n">
        <x:v>2</x:v>
      </x:c>
      <x:c r="C973" s="5" t="str">
        <x:v>financiero</x:v>
      </x:c>
      <x:c r="D973" s="5" t="n">
        <x:f>$F$955</x:f>
        <x:v>55</x:v>
      </x:c>
      <x:c r="E973" s="5" t="n">
        <x:f>(ABS('03_Sensibilidades'!$C$14)*IF('03_Sensibilidades'!$C$14&lt;0,100-$K$227,$K$227)+ABS('03_Sensibilidades'!$C$15)*IF('03_Sensibilidades'!$C$15&lt;0,100-$K$223,$K$223)+ABS('03_Sensibilidades'!$C$16)*IF('03_Sensibilidades'!$C$16&lt;0,100-$K$226,$K$226)+ABS('03_Sensibilidades'!$C$17)*IF('03_Sensibilidades'!$C$17&lt;0,100-$K$235,$K$235))/(ABS('03_Sensibilidades'!$C$14)+ABS('03_Sensibilidades'!$C$15)+ABS('03_Sensibilidades'!$C$16)+ABS('03_Sensibilidades'!$C$17))</x:f>
        <x:v>55</x:v>
      </x:c>
      <x:c r="F973" s="5" t="n">
        <x:f>(1-'00_Arquitectura'!$B$95)*D973+'00_Arquitectura'!$B$95*E973</x:f>
        <x:v>55</x:v>
      </x:c>
      <x:c r="G973" s="5" t="n">
        <x:f>'02_Actores'!$I$8</x:f>
        <x:v>45</x:v>
      </x:c>
      <x:c r="H973" s="5" t="n">
        <x:f>IF(OR(AND(F973&lt;'00_Arquitectura'!$B$118,G973&lt;'00_Arquitectura'!$B$119),F973&lt;'00_Arquitectura'!$B$120),1,0)</x:f>
        <x:v>0</x:v>
      </x:c>
      <x:c r="I973" s="5" t="n">
        <x:f>IF($I$955=1,IF(OR(AND(F973&lt;'00_Arquitectura'!$B$121,G973&lt;'00_Arquitectura'!$B$122),F973&lt;'00_Arquitectura'!$B$123),1,0),IF(AND(H973=1,$H$955=1),1,0))</x:f>
        <x:v>0</x:v>
      </x:c>
      <x:c r="J973" s="5" t="n">
        <x:f>-I973*2*'02_Actores'!$E$8/10</x:f>
        <x:v>0</x:v>
      </x:c>
      <x:c r="K973" s="5" t="n">
        <x:f>$K$971</x:f>
        <x:v>48.84115969057228</x:v>
      </x:c>
      <x:c r="L973" s="5" t="str">
        <x:v>J programa offset para t+1; efecto sustituible y acotado, sin voto adicional.</x:v>
      </x:c>
    </x:row>
    <x:row r="974" ht="34" customHeight="1">
      <x:c r="A974" s="10" t="str">
        <x:v>S2_VIAL</x:v>
      </x:c>
      <x:c r="B974" s="10" t="n">
        <x:v>2</x:v>
      </x:c>
      <x:c r="C974" s="10" t="str">
        <x:v>sindicatos</x:v>
      </x:c>
      <x:c r="D974" s="10" t="n">
        <x:f>$F$956</x:f>
        <x:v>47.93103448275862</x:v>
      </x:c>
      <x:c r="E974" s="10" t="n">
        <x:f>(ABS('03_Sensibilidades'!$C$18)*IF('03_Sensibilidades'!$C$18&lt;0,100-$K$225,$K$225)+ABS('03_Sensibilidades'!$C$19)*IF('03_Sensibilidades'!$C$19&lt;0,100-$K$224,$K$224)+ABS('03_Sensibilidades'!$C$20)*IF('03_Sensibilidades'!$C$20&lt;0,100-$K$232,$K$232)+ABS('03_Sensibilidades'!$C$21)*IF('03_Sensibilidades'!$C$21&lt;0,100-$K$235,$K$235))/(ABS('03_Sensibilidades'!$C$18)+ABS('03_Sensibilidades'!$C$19)+ABS('03_Sensibilidades'!$C$20)+ABS('03_Sensibilidades'!$C$21))</x:f>
        <x:v>48.55172413793103</x:v>
      </x:c>
      <x:c r="F974" s="10" t="n">
        <x:f>(1-'00_Arquitectura'!$B$95)*D974+'00_Arquitectura'!$B$95*E974</x:f>
        <x:v>48.148275862068964</x:v>
      </x:c>
      <x:c r="G974" s="10" t="n">
        <x:f>'02_Actores'!$I$9</x:f>
        <x:v>45</x:v>
      </x:c>
      <x:c r="H974" s="10" t="n">
        <x:f>IF(OR(AND(F974&lt;'00_Arquitectura'!$B$118,G974&lt;'00_Arquitectura'!$B$119),F974&lt;'00_Arquitectura'!$B$120),1,0)</x:f>
        <x:v>0</x:v>
      </x:c>
      <x:c r="I974" s="10" t="n">
        <x:f>IF($I$956=1,IF(OR(AND(F974&lt;'00_Arquitectura'!$B$121,G974&lt;'00_Arquitectura'!$B$122),F974&lt;'00_Arquitectura'!$B$123),1,0),IF(AND(H974=1,$H$956=1),1,0))</x:f>
        <x:v>0</x:v>
      </x:c>
      <x:c r="J974" s="10" t="n">
        <x:f>-I974*2*'02_Actores'!$E$9/10</x:f>
        <x:v>0</x:v>
      </x:c>
      <x:c r="K974" s="10" t="n">
        <x:f>$K$971</x:f>
        <x:v>48.84115969057228</x:v>
      </x:c>
      <x:c r="L974" s="10" t="str">
        <x:v>J programa offset para t+1; efecto sustituible y acotado, sin voto adicional.</x:v>
      </x:c>
    </x:row>
    <x:row r="975" ht="34" customHeight="1">
      <x:c r="A975" s="5" t="str">
        <x:v>S2_VIAL</x:v>
      </x:c>
      <x:c r="B975" s="5" t="n">
        <x:v>2</x:v>
      </x:c>
      <x:c r="C975" s="5" t="str">
        <x:v>pymes</x:v>
      </x:c>
      <x:c r="D975" s="5" t="n">
        <x:f>$F$957</x:f>
        <x:v>49.13793103448276</x:v>
      </x:c>
      <x:c r="E975" s="5" t="n">
        <x:f>(ABS('03_Sensibilidades'!$C$22)*IF('03_Sensibilidades'!$C$22&lt;0,100-$K$226,$K$226)+ABS('03_Sensibilidades'!$C$23)*IF('03_Sensibilidades'!$C$23&lt;0,100-$K$224,$K$224)+ABS('03_Sensibilidades'!$C$24)*IF('03_Sensibilidades'!$C$24&lt;0,100-$K$229,$K$229)+ABS('03_Sensibilidades'!$C$25)*IF('03_Sensibilidades'!$C$25&lt;0,100-$K$223,$K$223))/(ABS('03_Sensibilidades'!$C$22)+ABS('03_Sensibilidades'!$C$23)+ABS('03_Sensibilidades'!$C$24)+ABS('03_Sensibilidades'!$C$25))</x:f>
        <x:v>49.758620689655174</x:v>
      </x:c>
      <x:c r="F975" s="5" t="n">
        <x:f>(1-'00_Arquitectura'!$B$95)*D975+'00_Arquitectura'!$B$95*E975</x:f>
        <x:v>49.355172413793106</x:v>
      </x:c>
      <x:c r="G975" s="5" t="n">
        <x:f>'02_Actores'!$I$10</x:f>
        <x:v>45</x:v>
      </x:c>
      <x:c r="H975" s="5" t="n">
        <x:f>IF(OR(AND(F975&lt;'00_Arquitectura'!$B$118,G975&lt;'00_Arquitectura'!$B$119),F975&lt;'00_Arquitectura'!$B$120),1,0)</x:f>
        <x:v>0</x:v>
      </x:c>
      <x:c r="I975" s="5" t="n">
        <x:f>IF($I$957=1,IF(OR(AND(F975&lt;'00_Arquitectura'!$B$121,G975&lt;'00_Arquitectura'!$B$122),F975&lt;'00_Arquitectura'!$B$123),1,0),IF(AND(H975=1,$H$957=1),1,0))</x:f>
        <x:v>0</x:v>
      </x:c>
      <x:c r="J975" s="5" t="n">
        <x:f>-I975*2*'02_Actores'!$E$10/10</x:f>
        <x:v>0</x:v>
      </x:c>
      <x:c r="K975" s="5" t="n">
        <x:f>$K$971</x:f>
        <x:v>48.84115969057228</x:v>
      </x:c>
      <x:c r="L975" s="5" t="str">
        <x:v>J programa offset para t+1; efecto sustituible y acotado, sin voto adicional.</x:v>
      </x:c>
    </x:row>
    <x:row r="976" ht="34" customHeight="1">
      <x:c r="A976" s="10" t="str">
        <x:v>S2_VIAL</x:v>
      </x:c>
      <x:c r="B976" s="10" t="n">
        <x:v>2</x:v>
      </x:c>
      <x:c r="C976" s="10" t="str">
        <x:v>clase_media</x:v>
      </x:c>
      <x:c r="D976" s="10" t="n">
        <x:f>$F$958</x:f>
        <x:v>48.333333333333336</x:v>
      </x:c>
      <x:c r="E976" s="10" t="n">
        <x:f>(ABS('03_Sensibilidades'!$C$26)*IF('03_Sensibilidades'!$C$26&lt;0,100-$K$225,$K$225)+ABS('03_Sensibilidades'!$C$27)*IF('03_Sensibilidades'!$C$27&lt;0,100-$K$233,$K$233)+ABS('03_Sensibilidades'!$C$28)*IF('03_Sensibilidades'!$C$28&lt;0,100-$K$230,$K$230)+ABS('03_Sensibilidades'!$C$29)*IF('03_Sensibilidades'!$C$29&lt;0,100-$K$223,$K$223))/(ABS('03_Sensibilidades'!$C$26)+ABS('03_Sensibilidades'!$C$27)+ABS('03_Sensibilidades'!$C$28)+ABS('03_Sensibilidades'!$C$29))</x:f>
        <x:v>48.333333333333336</x:v>
      </x:c>
      <x:c r="F976" s="10" t="n">
        <x:f>(1-'00_Arquitectura'!$B$95)*D976+'00_Arquitectura'!$B$95*E976</x:f>
        <x:v>48.333333333333336</x:v>
      </x:c>
      <x:c r="G976" s="10" t="n">
        <x:f>'02_Actores'!$I$11</x:f>
        <x:v>45</x:v>
      </x:c>
      <x:c r="H976" s="10" t="n">
        <x:f>IF(OR(AND(F976&lt;'00_Arquitectura'!$B$118,G976&lt;'00_Arquitectura'!$B$119),F976&lt;'00_Arquitectura'!$B$120),1,0)</x:f>
        <x:v>0</x:v>
      </x:c>
      <x:c r="I976" s="10" t="n">
        <x:f>IF($I$958=1,IF(OR(AND(F976&lt;'00_Arquitectura'!$B$121,G976&lt;'00_Arquitectura'!$B$122),F976&lt;'00_Arquitectura'!$B$123),1,0),IF(AND(H976=1,$H$958=1),1,0))</x:f>
        <x:v>0</x:v>
      </x:c>
      <x:c r="J976" s="10" t="n">
        <x:f>0</x:f>
        <x:v>0</x:v>
      </x:c>
      <x:c r="K976" s="10" t="n">
        <x:f>$K$971</x:f>
        <x:v>48.84115969057228</x:v>
      </x:c>
      <x:c r="L976" s="10" t="str">
        <x:v>Canal directo sólo al índice social; sin bono de popularidad.</x:v>
      </x:c>
    </x:row>
    <x:row r="977" ht="34" customHeight="1">
      <x:c r="A977" s="5" t="str">
        <x:v>S2_VIAL</x:v>
      </x:c>
      <x:c r="B977" s="5" t="n">
        <x:v>2</x:v>
      </x:c>
      <x:c r="C977" s="5" t="str">
        <x:v>cooperativas</x:v>
      </x:c>
      <x:c r="D977" s="5" t="n">
        <x:f>$F$959</x:f>
        <x:v>47.77777777777778</x:v>
      </x:c>
      <x:c r="E977" s="5" t="n">
        <x:f>(ABS('03_Sensibilidades'!$C$30)*IF('03_Sensibilidades'!$C$30&lt;0,100-$K$226,$K$226)+ABS('03_Sensibilidades'!$C$31)*IF('03_Sensibilidades'!$C$31&lt;0,100-$K$224,$K$224)+ABS('03_Sensibilidades'!$C$32)*IF('03_Sensibilidades'!$C$32&lt;0,100-$K$232,$K$232)+ABS('03_Sensibilidades'!$C$33)*IF('03_Sensibilidades'!$C$33&lt;0,100-$K$235,$K$235))/(ABS('03_Sensibilidades'!$C$30)+ABS('03_Sensibilidades'!$C$31)+ABS('03_Sensibilidades'!$C$32)+ABS('03_Sensibilidades'!$C$33))</x:f>
        <x:v>48.2962962962963</x:v>
      </x:c>
      <x:c r="F977" s="5" t="n">
        <x:f>(1-'00_Arquitectura'!$B$95)*D977+'00_Arquitectura'!$B$95*E977</x:f>
        <x:v>47.959259259259255</x:v>
      </x:c>
      <x:c r="G977" s="5" t="n">
        <x:f>'02_Actores'!$I$12</x:f>
        <x:v>45</x:v>
      </x:c>
      <x:c r="H977" s="5" t="n">
        <x:f>IF(OR(AND(F977&lt;'00_Arquitectura'!$B$118,G977&lt;'00_Arquitectura'!$B$119),F977&lt;'00_Arquitectura'!$B$120),1,0)</x:f>
        <x:v>0</x:v>
      </x:c>
      <x:c r="I977" s="5" t="n">
        <x:f>IF($I$959=1,IF(OR(AND(F977&lt;'00_Arquitectura'!$B$121,G977&lt;'00_Arquitectura'!$B$122),F977&lt;'00_Arquitectura'!$B$123),1,0),IF(AND(H977=1,$H$959=1),1,0))</x:f>
        <x:v>0</x:v>
      </x:c>
      <x:c r="J977" s="5" t="n">
        <x:f>-I977*1.5*'02_Actores'!$E$12/10</x:f>
        <x:v>0</x:v>
      </x:c>
      <x:c r="K977" s="5" t="n">
        <x:f>$K$971</x:f>
        <x:v>48.84115969057228</x:v>
      </x:c>
      <x:c r="L977" s="5" t="str">
        <x:v>J programa offset para t+1; efecto sustituible y acotado, sin voto adicional.</x:v>
      </x:c>
    </x:row>
    <x:row r="978" ht="42" customHeight="1">
      <x:c r="A978" s="10" t="str">
        <x:v>S2_VIAL</x:v>
      </x:c>
      <x:c r="B978" s="10" t="n">
        <x:v>2</x:v>
      </x:c>
      <x:c r="C978" s="10" t="str">
        <x:v>estudiantes</x:v>
      </x:c>
      <x:c r="D978" s="10" t="n">
        <x:f>$F$960</x:f>
        <x:v>49.2</x:v>
      </x:c>
      <x:c r="E978" s="10" t="n">
        <x:f>(ABS('03_Sensibilidades'!$C$34)*IF('03_Sensibilidades'!$C$34&lt;0,100-$K$230,$K$230)+ABS('03_Sensibilidades'!$C$35)*IF('03_Sensibilidades'!$C$35&lt;0,100-$K$225,$K$225)+ABS('03_Sensibilidades'!$C$36)*IF('03_Sensibilidades'!$C$36&lt;0,100-$K$235,$K$235)+ABS('03_Sensibilidades'!$C$37)*IF('03_Sensibilidades'!$C$37&lt;0,100-$K$234,$K$234))/(ABS('03_Sensibilidades'!$C$34)+ABS('03_Sensibilidades'!$C$35)+ABS('03_Sensibilidades'!$C$36)+ABS('03_Sensibilidades'!$C$37))</x:f>
        <x:v>49.2</x:v>
      </x:c>
      <x:c r="F978" s="10" t="n">
        <x:f>(1-'00_Arquitectura'!$B$95)*D978+'00_Arquitectura'!$B$95*E978</x:f>
        <x:v>49.2</x:v>
      </x:c>
      <x:c r="G978" s="10" t="n">
        <x:f>'02_Actores'!$I$13</x:f>
        <x:v>45</x:v>
      </x:c>
      <x:c r="H978" s="10" t="n">
        <x:f>IF(OR(AND(F978&lt;'00_Arquitectura'!$B$118,G978&lt;'00_Arquitectura'!$B$119),F978&lt;'00_Arquitectura'!$B$120),1,0)</x:f>
        <x:v>0</x:v>
      </x:c>
      <x:c r="I978" s="10" t="n">
        <x:f>IF($I$960=1,IF(OR(AND(F978&lt;'00_Arquitectura'!$B$121,G978&lt;'00_Arquitectura'!$B$122),F978&lt;'00_Arquitectura'!$B$123),1,0),IF(AND(H978=1,$H$960=1),1,0))</x:f>
        <x:v>0</x:v>
      </x:c>
      <x:c r="J978" s="10" t="n">
        <x:f>0</x:f>
        <x:v>0</x:v>
      </x:c>
      <x:c r="K978" s="10" t="n">
        <x:f>$K$971</x:f>
        <x:v>48.84115969057228</x:v>
      </x:c>
      <x:c r="L978" s="10" t="str">
        <x:v>Conflicto activo captura menor eficacia en políticas ejecutadas en t+1. Magnitud0 en J: no es un offset directo de indicador.</x:v>
      </x:c>
    </x:row>
    <x:row r="979" ht="34" customHeight="1">
      <x:c r="A979" s="5" t="str">
        <x:v>S2_VIAL</x:v>
      </x:c>
      <x:c r="B979" s="5" t="n">
        <x:v>2</x:v>
      </x:c>
      <x:c r="C979" s="5" t="str">
        <x:v>docentes</x:v>
      </x:c>
      <x:c r="D979" s="5" t="n">
        <x:f>$F$961</x:f>
        <x:v>48.91304347826087</x:v>
      </x:c>
      <x:c r="E979" s="5" t="n">
        <x:f>(ABS('03_Sensibilidades'!$C$38)*IF('03_Sensibilidades'!$C$38&lt;0,100-$K$230,$K$230)+ABS('03_Sensibilidades'!$C$39)*IF('03_Sensibilidades'!$C$39&lt;0,100-$K$225,$K$225)+ABS('03_Sensibilidades'!$C$40)*IF('03_Sensibilidades'!$C$40&lt;0,100-$K$235,$K$235))/(ABS('03_Sensibilidades'!$C$38)+ABS('03_Sensibilidades'!$C$39)+ABS('03_Sensibilidades'!$C$40))</x:f>
        <x:v>48.91304347826087</x:v>
      </x:c>
      <x:c r="F979" s="5" t="n">
        <x:f>(1-'00_Arquitectura'!$B$95)*D979+'00_Arquitectura'!$B$95*E979</x:f>
        <x:v>48.91304347826087</x:v>
      </x:c>
      <x:c r="G979" s="5" t="n">
        <x:f>'02_Actores'!$I$14</x:f>
        <x:v>45</x:v>
      </x:c>
      <x:c r="H979" s="5" t="n">
        <x:f>IF(OR(AND(F979&lt;'00_Arquitectura'!$B$118,G979&lt;'00_Arquitectura'!$B$119),F979&lt;'00_Arquitectura'!$B$120),1,0)</x:f>
        <x:v>0</x:v>
      </x:c>
      <x:c r="I979" s="5" t="n">
        <x:f>IF($I$961=1,IF(OR(AND(F979&lt;'00_Arquitectura'!$B$121,G979&lt;'00_Arquitectura'!$B$122),F979&lt;'00_Arquitectura'!$B$123),1,0),IF(AND(H979=1,$H$961=1),1,0))</x:f>
        <x:v>0</x:v>
      </x:c>
      <x:c r="J979" s="5" t="n">
        <x:f>-I979*1.5*'02_Actores'!$E$14/10</x:f>
        <x:v>0</x:v>
      </x:c>
      <x:c r="K979" s="5" t="n">
        <x:f>$K$971</x:f>
        <x:v>48.84115969057228</x:v>
      </x:c>
      <x:c r="L979" s="5" t="str">
        <x:v>J programa offset para t+1; efecto sustituible y acotado, sin voto adicional.</x:v>
      </x:c>
    </x:row>
    <x:row r="980" ht="34" customHeight="1">
      <x:c r="A980" s="10" t="str">
        <x:v>S2_VIAL</x:v>
      </x:c>
      <x:c r="B980" s="10" t="n">
        <x:v>2</x:v>
      </x:c>
      <x:c r="C980" s="10" t="str">
        <x:v>cientificos</x:v>
      </x:c>
      <x:c r="D980" s="10" t="n">
        <x:f>$F$962</x:f>
        <x:v>46.59090909090909</x:v>
      </x:c>
      <x:c r="E980" s="10" t="n">
        <x:f>(ABS('03_Sensibilidades'!$C$41)*IF('03_Sensibilidades'!$C$41&lt;0,100-$K$234,$K$234)+ABS('03_Sensibilidades'!$C$42)*IF('03_Sensibilidades'!$C$42&lt;0,100-$K$230,$K$230)+ABS('03_Sensibilidades'!$C$43)*IF('03_Sensibilidades'!$C$43&lt;0,100-$K$235,$K$235))/(ABS('03_Sensibilidades'!$C$41)+ABS('03_Sensibilidades'!$C$42)+ABS('03_Sensibilidades'!$C$43))</x:f>
        <x:v>46.59090909090909</x:v>
      </x:c>
      <x:c r="F980" s="10" t="n">
        <x:f>(1-'00_Arquitectura'!$B$95)*D980+'00_Arquitectura'!$B$95*E980</x:f>
        <x:v>46.59090909090909</x:v>
      </x:c>
      <x:c r="G980" s="10" t="n">
        <x:f>'02_Actores'!$I$15</x:f>
        <x:v>45</x:v>
      </x:c>
      <x:c r="H980" s="10" t="n">
        <x:f>IF(OR(AND(F980&lt;'00_Arquitectura'!$B$118,G980&lt;'00_Arquitectura'!$B$119),F980&lt;'00_Arquitectura'!$B$120),1,0)</x:f>
        <x:v>0</x:v>
      </x:c>
      <x:c r="I980" s="10" t="n">
        <x:f>IF($I$962=1,IF(OR(AND(F980&lt;'00_Arquitectura'!$B$121,G980&lt;'00_Arquitectura'!$B$122),F980&lt;'00_Arquitectura'!$B$123),1,0),IF(AND(H980=1,$H$962=1),1,0))</x:f>
        <x:v>0</x:v>
      </x:c>
      <x:c r="J980" s="10" t="n">
        <x:f>-I980*1.5*'02_Actores'!$E$15/10</x:f>
        <x:v>0</x:v>
      </x:c>
      <x:c r="K980" s="10" t="n">
        <x:f>$K$971</x:f>
        <x:v>48.84115969057228</x:v>
      </x:c>
      <x:c r="L980" s="10" t="str">
        <x:v>J programa offset para t+1; efecto sustituible y acotado, sin voto adicional.</x:v>
      </x:c>
    </x:row>
    <x:row r="981" ht="34" customHeight="1">
      <x:c r="A981" s="5" t="str">
        <x:v>S2_VIAL</x:v>
      </x:c>
      <x:c r="B981" s="5" t="n">
        <x:v>2</x:v>
      </x:c>
      <x:c r="C981" s="5" t="str">
        <x:v>organizaciones</x:v>
      </x:c>
      <x:c r="D981" s="5" t="n">
        <x:f>$F$963</x:f>
        <x:v>49.107142857142854</x:v>
      </x:c>
      <x:c r="E981" s="5" t="n">
        <x:f>(ABS('03_Sensibilidades'!$C$44)*IF('03_Sensibilidades'!$C$44&lt;0,100-$K$232,$K$232)+ABS('03_Sensibilidades'!$C$45)*IF('03_Sensibilidades'!$C$45&lt;0,100-$K$231,$K$231)+ABS('03_Sensibilidades'!$C$46)*IF('03_Sensibilidades'!$C$46&lt;0,100-$K$224,$K$224)+ABS('03_Sensibilidades'!$C$47)*IF('03_Sensibilidades'!$C$47&lt;0,100-$K$235,$K$235))/(ABS('03_Sensibilidades'!$C$44)+ABS('03_Sensibilidades'!$C$45)+ABS('03_Sensibilidades'!$C$46)+ABS('03_Sensibilidades'!$C$47))</x:f>
        <x:v>49.535714285714285</x:v>
      </x:c>
      <x:c r="F981" s="5" t="n">
        <x:f>(1-'00_Arquitectura'!$B$95)*D981+'00_Arquitectura'!$B$95*E981</x:f>
        <x:v>49.25714285714285</x:v>
      </x:c>
      <x:c r="G981" s="5" t="n">
        <x:f>'02_Actores'!$I$16</x:f>
        <x:v>45</x:v>
      </x:c>
      <x:c r="H981" s="5" t="n">
        <x:f>IF(OR(AND(F981&lt;'00_Arquitectura'!$B$118,G981&lt;'00_Arquitectura'!$B$119),F981&lt;'00_Arquitectura'!$B$120),1,0)</x:f>
        <x:v>0</x:v>
      </x:c>
      <x:c r="I981" s="5" t="n">
        <x:f>IF($I$963=1,IF(OR(AND(F981&lt;'00_Arquitectura'!$B$121,G981&lt;'00_Arquitectura'!$B$122),F981&lt;'00_Arquitectura'!$B$123),1,0),IF(AND(H981=1,$H$963=1),1,0))</x:f>
        <x:v>0</x:v>
      </x:c>
      <x:c r="J981" s="5" t="n">
        <x:f>-I981*1.5*'02_Actores'!$E$16/10</x:f>
        <x:v>0</x:v>
      </x:c>
      <x:c r="K981" s="5" t="n">
        <x:f>$K$971</x:f>
        <x:v>48.84115969057228</x:v>
      </x:c>
      <x:c r="L981" s="5" t="str">
        <x:v>J programa offset para t+1; efecto sustituible y acotado, sin voto adicional.</x:v>
      </x:c>
    </x:row>
    <x:row r="982" ht="42" customHeight="1">
      <x:c r="A982" s="10" t="str">
        <x:v>S2_VIAL</x:v>
      </x:c>
      <x:c r="B982" s="10" t="n">
        <x:v>2</x:v>
      </x:c>
      <x:c r="C982" s="10" t="str">
        <x:v>ddhh</x:v>
      </x:c>
      <x:c r="D982" s="10" t="n">
        <x:f>$F$964</x:f>
        <x:v>50.88235294117648</x:v>
      </x:c>
      <x:c r="E982" s="10" t="n">
        <x:f>(ABS('03_Sensibilidades'!$C$48)*IF('03_Sensibilidades'!$C$48&lt;0,100-$K$235,$K$235)+ABS('03_Sensibilidades'!$C$49)*IF('03_Sensibilidades'!$C$49&lt;0,100-$K$233,$K$233)+ABS('03_Sensibilidades'!$C$50)*IF('03_Sensibilidades'!$C$50&lt;0,100-$K$232,$K$232))/(ABS('03_Sensibilidades'!$C$48)+ABS('03_Sensibilidades'!$C$49)+ABS('03_Sensibilidades'!$C$50))</x:f>
        <x:v>50.88235294117647</x:v>
      </x:c>
      <x:c r="F982" s="10" t="n">
        <x:f>(1-'00_Arquitectura'!$B$95)*D982+'00_Arquitectura'!$B$95*E982</x:f>
        <x:v>50.88235294117648</x:v>
      </x:c>
      <x:c r="G982" s="10" t="n">
        <x:f>'02_Actores'!$I$17</x:f>
        <x:v>45</x:v>
      </x:c>
      <x:c r="H982" s="10" t="n">
        <x:f>IF(OR(AND(F982&lt;'00_Arquitectura'!$B$118,G982&lt;'00_Arquitectura'!$B$119),F982&lt;'00_Arquitectura'!$B$120),1,0)</x:f>
        <x:v>0</x:v>
      </x:c>
      <x:c r="I982" s="10" t="n">
        <x:f>IF($I$964=1,IF(OR(AND(F982&lt;'00_Arquitectura'!$B$121,G982&lt;'00_Arquitectura'!$B$122),F982&lt;'00_Arquitectura'!$B$123),1,0),IF(AND(H982=1,$H$964=1),1,0))</x:f>
        <x:v>0</x:v>
      </x:c>
      <x:c r="J982" s="10" t="n">
        <x:f>0</x:f>
        <x:v>0</x:v>
      </x:c>
      <x:c r="K982" s="10" t="n">
        <x:f>$K$971</x:f>
        <x:v>48.84115969057228</x:v>
      </x:c>
      <x:c r="L982" s="10" t="str">
        <x:v>Conflicto activo captura menor eficacia en políticas ejecutadas en t+1. Magnitud0 en J: no es un offset directo de indicador.</x:v>
      </x:c>
    </x:row>
    <x:row r="983" ht="42" customHeight="1">
      <x:c r="A983" s="5" t="str">
        <x:v>S2_VIAL</x:v>
      </x:c>
      <x:c r="B983" s="5" t="n">
        <x:v>2</x:v>
      </x:c>
      <x:c r="C983" s="5" t="str">
        <x:v>ambientalistas</x:v>
      </x:c>
      <x:c r="D983" s="5" t="n">
        <x:f>$F$965</x:f>
        <x:v>51.388888888888886</x:v>
      </x:c>
      <x:c r="E983" s="5" t="n">
        <x:f>(ABS('03_Sensibilidades'!$C$51)*IF('03_Sensibilidades'!$C$51&lt;0,100-$K$236,$K$236)+ABS('03_Sensibilidades'!$C$52)*IF('03_Sensibilidades'!$C$52&lt;0,100-$K$235,$K$235)+ABS('03_Sensibilidades'!$C$53)*IF('03_Sensibilidades'!$C$53&lt;0,100-$K$231,$K$231))/(ABS('03_Sensibilidades'!$C$51)+ABS('03_Sensibilidades'!$C$52)+ABS('03_Sensibilidades'!$C$53))</x:f>
        <x:v>51.388888888888886</x:v>
      </x:c>
      <x:c r="F983" s="5" t="n">
        <x:f>(1-'00_Arquitectura'!$B$95)*D983+'00_Arquitectura'!$B$95*E983</x:f>
        <x:v>51.388888888888886</x:v>
      </x:c>
      <x:c r="G983" s="5" t="n">
        <x:f>'02_Actores'!$I$18</x:f>
        <x:v>45</x:v>
      </x:c>
      <x:c r="H983" s="5" t="n">
        <x:f>IF(OR(AND(F983&lt;'00_Arquitectura'!$B$118,G983&lt;'00_Arquitectura'!$B$119),F983&lt;'00_Arquitectura'!$B$120),1,0)</x:f>
        <x:v>0</x:v>
      </x:c>
      <x:c r="I983" s="5" t="n">
        <x:f>IF($I$965=1,IF(OR(AND(F983&lt;'00_Arquitectura'!$B$121,G983&lt;'00_Arquitectura'!$B$122),F983&lt;'00_Arquitectura'!$B$123),1,0),IF(AND(H983=1,$H$965=1),1,0))</x:f>
        <x:v>0</x:v>
      </x:c>
      <x:c r="J983" s="5" t="n">
        <x:f>0</x:f>
        <x:v>0</x:v>
      </x:c>
      <x:c r="K983" s="5" t="n">
        <x:f>$K$971</x:f>
        <x:v>48.84115969057228</x:v>
      </x:c>
      <x:c r="L983" s="5" t="str">
        <x:v>Conflicto activo captura menor eficacia en políticas ejecutadas en t+1. Magnitud0 en J: no es un offset directo de indicador.</x:v>
      </x:c>
    </x:row>
    <x:row r="984" ht="34" customHeight="1">
      <x:c r="A984" s="10" t="str">
        <x:v>S2_VIAL</x:v>
      </x:c>
      <x:c r="B984" s="10" t="n">
        <x:v>2</x:v>
      </x:c>
      <x:c r="C984" s="10" t="str">
        <x:v>cultura</x:v>
      </x:c>
      <x:c r="D984" s="10" t="n">
        <x:f>$F$966</x:f>
        <x:v>50.78947368421053</x:v>
      </x:c>
      <x:c r="E984" s="10" t="n">
        <x:f>(ABS('03_Sensibilidades'!$C$54)*IF('03_Sensibilidades'!$C$54&lt;0,100-$K$235,$K$235)+ABS('03_Sensibilidades'!$C$55)*IF('03_Sensibilidades'!$C$55&lt;0,100-$K$230,$K$230)+ABS('03_Sensibilidades'!$C$56)*IF('03_Sensibilidades'!$C$56&lt;0,100-$K$225,$K$225))/(ABS('03_Sensibilidades'!$C$54)+ABS('03_Sensibilidades'!$C$55)+ABS('03_Sensibilidades'!$C$56))</x:f>
        <x:v>50.78947368421053</x:v>
      </x:c>
      <x:c r="F984" s="10" t="n">
        <x:f>(1-'00_Arquitectura'!$B$95)*D984+'00_Arquitectura'!$B$95*E984</x:f>
        <x:v>50.78947368421053</x:v>
      </x:c>
      <x:c r="G984" s="10" t="n">
        <x:f>'02_Actores'!$I$19</x:f>
        <x:v>45</x:v>
      </x:c>
      <x:c r="H984" s="10" t="n">
        <x:f>IF(OR(AND(F984&lt;'00_Arquitectura'!$B$118,G984&lt;'00_Arquitectura'!$B$119),F984&lt;'00_Arquitectura'!$B$120),1,0)</x:f>
        <x:v>0</x:v>
      </x:c>
      <x:c r="I984" s="10" t="n">
        <x:f>IF($I$966=1,IF(OR(AND(F984&lt;'00_Arquitectura'!$B$121,G984&lt;'00_Arquitectura'!$B$122),F984&lt;'00_Arquitectura'!$B$123),1,0),IF(AND(H984=1,$H$966=1),1,0))</x:f>
        <x:v>0</x:v>
      </x:c>
      <x:c r="J984" s="10" t="n">
        <x:f>0</x:f>
        <x:v>0</x:v>
      </x:c>
      <x:c r="K984" s="10" t="n">
        <x:f>$K$971</x:f>
        <x:v>48.84115969057228</x:v>
      </x:c>
      <x:c r="L984" s="10" t="str">
        <x:v>Conflicto activo encarece agenda del turno siguiente; sin castigo electoral adicional.</x:v>
      </x:c>
    </x:row>
    <x:row r="985" ht="34" customHeight="1">
      <x:c r="A985" s="5" t="str">
        <x:v>S2_VIAL</x:v>
      </x:c>
      <x:c r="B985" s="5" t="n">
        <x:v>2</x:v>
      </x:c>
      <x:c r="C985" s="5" t="str">
        <x:v>oficialismo</x:v>
      </x:c>
      <x:c r="D985" s="5" t="n">
        <x:f>$F$967</x:f>
        <x:v>52.12</x:v>
      </x:c>
      <x:c r="E985" s="5" t="n">
        <x:f>(ABS('03_Sensibilidades'!$C$57)*IF('03_Sensibilidades'!$C$57&lt;0,100-$K$235,$K$235)+ABS('03_Sensibilidades'!$C$58)*IF('03_Sensibilidades'!$C$58&lt;0,100-$K$224,$K$224)+ABS('03_Sensibilidades'!$C$59)*IF('03_Sensibilidades'!$C$59&lt;0,100-$K$227,$K$227)+ABS('03_Sensibilidades'!$C$60)*IF('03_Sensibilidades'!$C$60&lt;0,100-$K$232,$K$232))/(ABS('03_Sensibilidades'!$C$57)+ABS('03_Sensibilidades'!$C$58)+ABS('03_Sensibilidades'!$C$59)+ABS('03_Sensibilidades'!$C$60))</x:f>
        <x:v>52.76</x:v>
      </x:c>
      <x:c r="F985" s="5" t="n">
        <x:f>(1-'00_Arquitectura'!$B$95)*D985+'00_Arquitectura'!$B$95*E985</x:f>
        <x:v>52.343999999999994</x:v>
      </x:c>
      <x:c r="G985" s="5" t="n">
        <x:f>'02_Actores'!$I$20</x:f>
        <x:v>60</x:v>
      </x:c>
      <x:c r="H985" s="5" t="n">
        <x:f>IF(OR(AND(F985&lt;'00_Arquitectura'!$B$118,G985&lt;'00_Arquitectura'!$B$119),F985&lt;'00_Arquitectura'!$B$120),1,0)</x:f>
        <x:v>0</x:v>
      </x:c>
      <x:c r="I985" s="5" t="n">
        <x:f>IF($I$967=1,IF(OR(AND(F985&lt;'00_Arquitectura'!$B$121,G985&lt;'00_Arquitectura'!$B$122),F985&lt;'00_Arquitectura'!$B$123),1,0),IF(AND(H985=1,$H$967=1),1,0))</x:f>
        <x:v>0</x:v>
      </x:c>
      <x:c r="J985" s="5" t="n">
        <x:f>0</x:f>
        <x:v>0</x:v>
      </x:c>
      <x:c r="K985" s="5" t="n">
        <x:f>$K$971</x:f>
        <x:v>48.84115969057228</x:v>
      </x:c>
      <x:c r="L985" s="5" t="str">
        <x:v>No aporta E_social; S y R alimentan disposición a leyes según07.</x:v>
      </x:c>
    </x:row>
    <x:row r="986" ht="34" customHeight="1">
      <x:c r="A986" s="10" t="str">
        <x:v>S2_VIAL</x:v>
      </x:c>
      <x:c r="B986" s="10" t="n">
        <x:v>2</x:v>
      </x:c>
      <x:c r="C986" s="10" t="str">
        <x:v>aliados</x:v>
      </x:c>
      <x:c r="D986" s="10" t="n">
        <x:f>$F$968</x:f>
        <x:v>53.142857142857146</x:v>
      </x:c>
      <x:c r="E986" s="10" t="n">
        <x:f>(ABS('03_Sensibilidades'!$C$61)*IF('03_Sensibilidades'!$C$61&lt;0,100-$K$235,$K$235)+ABS('03_Sensibilidades'!$C$62)*IF('03_Sensibilidades'!$C$62&lt;0,100-$K$227,$K$227)+ABS('03_Sensibilidades'!$C$63)*IF('03_Sensibilidades'!$C$63&lt;0,100-$K$229,$K$229))/(ABS('03_Sensibilidades'!$C$61)+ABS('03_Sensibilidades'!$C$62)+ABS('03_Sensibilidades'!$C$63))</x:f>
        <x:v>53.142857142857146</x:v>
      </x:c>
      <x:c r="F986" s="10" t="n">
        <x:f>(1-'00_Arquitectura'!$B$95)*D986+'00_Arquitectura'!$B$95*E986</x:f>
        <x:v>53.142857142857146</x:v>
      </x:c>
      <x:c r="G986" s="10" t="n">
        <x:f>'02_Actores'!$I$21</x:f>
        <x:v>45</x:v>
      </x:c>
      <x:c r="H986" s="10" t="n">
        <x:f>IF(OR(AND(F986&lt;'00_Arquitectura'!$B$118,G986&lt;'00_Arquitectura'!$B$119),F986&lt;'00_Arquitectura'!$B$120),1,0)</x:f>
        <x:v>0</x:v>
      </x:c>
      <x:c r="I986" s="10" t="n">
        <x:f>IF($I$968=1,IF(OR(AND(F986&lt;'00_Arquitectura'!$B$121,G986&lt;'00_Arquitectura'!$B$122),F986&lt;'00_Arquitectura'!$B$123),1,0),IF(AND(H986=1,$H$968=1),1,0))</x:f>
        <x:v>0</x:v>
      </x:c>
      <x:c r="J986" s="10" t="n">
        <x:f>0</x:f>
        <x:v>0</x:v>
      </x:c>
      <x:c r="K986" s="10" t="n">
        <x:f>$K$971</x:f>
        <x:v>48.84115969057228</x:v>
      </x:c>
      <x:c r="L986" s="10" t="str">
        <x:v>No aporta E_social; S y R alimentan disposición a leyes según07.</x:v>
      </x:c>
    </x:row>
    <x:row r="987" ht="34" customHeight="1">
      <x:c r="A987" s="5" t="str">
        <x:v>S2_VIAL</x:v>
      </x:c>
      <x:c r="B987" s="5" t="n">
        <x:v>2</x:v>
      </x:c>
      <x:c r="C987" s="5" t="str">
        <x:v>oposicion</x:v>
      </x:c>
      <x:c r="D987" s="5" t="n">
        <x:f>$F$969</x:f>
        <x:v>53.900000000000006</x:v>
      </x:c>
      <x:c r="E987" s="5" t="n">
        <x:f>(ABS('03_Sensibilidades'!$C$64)*IF('03_Sensibilidades'!$C$64&lt;0,100-$K$235,$K$235)+ABS('03_Sensibilidades'!$C$65)*IF('03_Sensibilidades'!$C$65&lt;0,100-$K$227,$K$227)+ABS('03_Sensibilidades'!$C$66)*IF('03_Sensibilidades'!$C$66&lt;0,100-$K$233,$K$233))/(ABS('03_Sensibilidades'!$C$64)+ABS('03_Sensibilidades'!$C$65)+ABS('03_Sensibilidades'!$C$66))</x:f>
        <x:v>53.9</x:v>
      </x:c>
      <x:c r="F987" s="5" t="n">
        <x:f>(1-'00_Arquitectura'!$B$95)*D987+'00_Arquitectura'!$B$95*E987</x:f>
        <x:v>53.900000000000006</x:v>
      </x:c>
      <x:c r="G987" s="5" t="n">
        <x:f>'02_Actores'!$I$22</x:f>
        <x:v>30</x:v>
      </x:c>
      <x:c r="H987" s="5" t="n">
        <x:f>IF(OR(AND(F987&lt;'00_Arquitectura'!$B$118,G987&lt;'00_Arquitectura'!$B$119),F987&lt;'00_Arquitectura'!$B$120),1,0)</x:f>
        <x:v>0</x:v>
      </x:c>
      <x:c r="I987" s="5" t="n">
        <x:f>IF($I$969=1,IF(OR(AND(F987&lt;'00_Arquitectura'!$B$121,G987&lt;'00_Arquitectura'!$B$122),F987&lt;'00_Arquitectura'!$B$123),1,0),IF(AND(H987=1,$H$969=1),1,0))</x:f>
        <x:v>0</x:v>
      </x:c>
      <x:c r="J987" s="5" t="n">
        <x:f>0</x:f>
        <x:v>0</x:v>
      </x:c>
      <x:c r="K987" s="5" t="n">
        <x:f>$K$971</x:f>
        <x:v>48.84115969057228</x:v>
      </x:c>
      <x:c r="L987" s="5" t="str">
        <x:v>No aporta E_social; S y R alimentan disposición a leyes según07.</x:v>
      </x:c>
    </x:row>
    <x:row r="988" ht="42" customHeight="1">
      <x:c r="A988" s="10" t="str">
        <x:v>S2_VIAL</x:v>
      </x:c>
      <x:c r="B988" s="10" t="n">
        <x:v>2</x:v>
      </x:c>
      <x:c r="C988" s="10" t="str">
        <x:v>gobernadores</x:v>
      </x:c>
      <x:c r="D988" s="10" t="n">
        <x:f>$F$970</x:f>
        <x:v>50.10344827586207</x:v>
      </x:c>
      <x:c r="E988" s="10" t="n">
        <x:f>(ABS('03_Sensibilidades'!$C$67)*IF('03_Sensibilidades'!$C$67&lt;0,100-$K$229,$K$229)+ABS('03_Sensibilidades'!$C$68)*IF('03_Sensibilidades'!$C$68&lt;0,100-$K$231,$K$231)+ABS('03_Sensibilidades'!$C$69)*IF('03_Sensibilidades'!$C$69&lt;0,100-$K$230,$K$230)+ABS('03_Sensibilidades'!$C$70)*IF('03_Sensibilidades'!$C$70&lt;0,100-$K$227,$K$227))/(ABS('03_Sensibilidades'!$C$67)+ABS('03_Sensibilidades'!$C$68)+ABS('03_Sensibilidades'!$C$69)+ABS('03_Sensibilidades'!$C$70))</x:f>
        <x:v>50.10344827586207</x:v>
      </x:c>
      <x:c r="F988" s="10" t="n">
        <x:f>(1-'00_Arquitectura'!$B$95)*D988+'00_Arquitectura'!$B$95*E988</x:f>
        <x:v>50.10344827586207</x:v>
      </x:c>
      <x:c r="G988" s="10" t="n">
        <x:f>'02_Actores'!$I$23</x:f>
        <x:v>45</x:v>
      </x:c>
      <x:c r="H988" s="10" t="n">
        <x:f>IF(OR(AND(F988&lt;'00_Arquitectura'!$B$118,G988&lt;'00_Arquitectura'!$B$119),F988&lt;'00_Arquitectura'!$B$120),1,0)</x:f>
        <x:v>0</x:v>
      </x:c>
      <x:c r="I988" s="10" t="n">
        <x:f>IF($I$970=1,IF(OR(AND(F988&lt;'00_Arquitectura'!$B$121,G988&lt;'00_Arquitectura'!$B$122),F988&lt;'00_Arquitectura'!$B$123),1,0),IF(AND(H988=1,$H$970=1),1,0))</x:f>
        <x:v>0</x:v>
      </x:c>
      <x:c r="J988" s="10" t="n">
        <x:f>0</x:f>
        <x:v>0</x:v>
      </x:c>
      <x:c r="K988" s="10" t="n">
        <x:f>$K$971</x:f>
        <x:v>48.84115969057228</x:v>
      </x:c>
      <x:c r="L988" s="10" t="str">
        <x:v>Conflicto activo captura menor eficacia en políticas ejecutadas en t+1. Magnitud0 en J: no es un offset directo de indicador.</x:v>
      </x:c>
    </x:row>
    <x:row r="989" ht="34" customHeight="1">
      <x:c r="A989" s="5" t="str">
        <x:v>S2_VIAL</x:v>
      </x:c>
      <x:c r="B989" s="5" t="n">
        <x:v>3</x:v>
      </x:c>
      <x:c r="C989" s="5" t="str">
        <x:v>industria</x:v>
      </x:c>
      <x:c r="D989" s="5" t="n">
        <x:f>$F$971</x:f>
        <x:v>46.68888888888888</x:v>
      </x:c>
      <x:c r="E989" s="5" t="n">
        <x:f>(ABS('03_Sensibilidades'!$C$6)*IF('03_Sensibilidades'!$C$6&lt;0,100-$K$240,$K$240)+ABS('03_Sensibilidades'!$C$7)*IF('03_Sensibilidades'!$C$7&lt;0,100-$K$238,$K$238)+ABS('03_Sensibilidades'!$C$8)*IF('03_Sensibilidades'!$C$8&lt;0,100-$K$243,$K$243)+ABS('03_Sensibilidades'!$C$9)*IF('03_Sensibilidades'!$C$9&lt;0,100-$K$242,$K$242))/(ABS('03_Sensibilidades'!$C$6)+ABS('03_Sensibilidades'!$C$7)+ABS('03_Sensibilidades'!$C$8)+ABS('03_Sensibilidades'!$C$9))</x:f>
        <x:v>47.074074074074076</x:v>
      </x:c>
      <x:c r="F989" s="5" t="n">
        <x:f>(1-'00_Arquitectura'!$B$95)*D989+'00_Arquitectura'!$B$95*E989</x:f>
        <x:v>46.8237037037037</x:v>
      </x:c>
      <x:c r="G989" s="5" t="n">
        <x:f>'02_Actores'!$I$6</x:f>
        <x:v>45</x:v>
      </x:c>
      <x:c r="H989" s="5" t="n">
        <x:f>IF(OR(AND(F989&lt;'00_Arquitectura'!$B$118,G989&lt;'00_Arquitectura'!$B$119),F989&lt;'00_Arquitectura'!$B$120),1,0)</x:f>
        <x:v>0</x:v>
      </x:c>
      <x:c r="I989" s="5" t="n">
        <x:f>IF($I$971=1,IF(OR(AND(F989&lt;'00_Arquitectura'!$B$121,G989&lt;'00_Arquitectura'!$B$122),F989&lt;'00_Arquitectura'!$B$123),1,0),IF(AND(H989=1,$H$971=1),1,0))</x:f>
        <x:v>0</x:v>
      </x:c>
      <x:c r="J989" s="5" t="n">
        <x:f>-I989*2*'02_Actores'!$E$6/10</x:f>
        <x:v>0</x:v>
      </x:c>
      <x:c r="K989" s="5" t="n">
        <x:f>($F$989*'02_Actores'!$F$6+$F$990*'02_Actores'!$F$7+$F$991*'02_Actores'!$F$8+$F$992*'02_Actores'!$F$9+$F$993*'02_Actores'!$F$10+$F$994*'02_Actores'!$F$11+$F$995*'02_Actores'!$F$12+$F$996*'02_Actores'!$F$13+$F$997*'02_Actores'!$F$14+$F$998*'02_Actores'!$F$15+$F$999*'02_Actores'!$F$16+$F$1000*'02_Actores'!$F$17+$F$1001*'02_Actores'!$F$18+$F$1002*'02_Actores'!$F$19)/('02_Actores'!$F$6+'02_Actores'!$F$7+'02_Actores'!$F$8+'02_Actores'!$F$9+'02_Actores'!$F$10+'02_Actores'!$F$11+'02_Actores'!$F$12+'02_Actores'!$F$13+'02_Actores'!$F$14+'02_Actores'!$F$15+'02_Actores'!$F$16+'02_Actores'!$F$17+'02_Actores'!$F$18+'02_Actores'!$F$19)</x:f>
        <x:v>48.91157974349487</x:v>
      </x:c>
      <x:c r="L989" s="5" t="str">
        <x:v>J programa offset para t+1; efecto sustituible y acotado, sin voto adicional.</x:v>
      </x:c>
    </x:row>
    <x:row r="990" ht="34" customHeight="1">
      <x:c r="A990" s="10" t="str">
        <x:v>S2_VIAL</x:v>
      </x:c>
      <x:c r="B990" s="10" t="n">
        <x:v>3</x:v>
      </x:c>
      <x:c r="C990" s="10" t="str">
        <x:v>agro</x:v>
      </x:c>
      <x:c r="D990" s="10" t="n">
        <x:f>$F$972</x:f>
        <x:v>45.892857142857146</x:v>
      </x:c>
      <x:c r="E990" s="10" t="n">
        <x:f>(ABS('03_Sensibilidades'!$C$10)*IF('03_Sensibilidades'!$C$10&lt;0,100-$K$242,$K$242)+ABS('03_Sensibilidades'!$C$11)*IF('03_Sensibilidades'!$C$11&lt;0,100-$K$243,$K$243)+ABS('03_Sensibilidades'!$C$12)*IF('03_Sensibilidades'!$C$12&lt;0,100-$K$250,$K$250)+ABS('03_Sensibilidades'!$C$13)*IF('03_Sensibilidades'!$C$13&lt;0,100-$K$240,$K$240))/(ABS('03_Sensibilidades'!$C$10)+ABS('03_Sensibilidades'!$C$11)+ABS('03_Sensibilidades'!$C$12)+ABS('03_Sensibilidades'!$C$13))</x:f>
        <x:v>45.892857142857146</x:v>
      </x:c>
      <x:c r="F990" s="10" t="n">
        <x:f>(1-'00_Arquitectura'!$B$95)*D990+'00_Arquitectura'!$B$95*E990</x:f>
        <x:v>45.892857142857146</x:v>
      </x:c>
      <x:c r="G990" s="10" t="n">
        <x:f>'02_Actores'!$I$7</x:f>
        <x:v>45</x:v>
      </x:c>
      <x:c r="H990" s="10" t="n">
        <x:f>IF(OR(AND(F990&lt;'00_Arquitectura'!$B$118,G990&lt;'00_Arquitectura'!$B$119),F990&lt;'00_Arquitectura'!$B$120),1,0)</x:f>
        <x:v>0</x:v>
      </x:c>
      <x:c r="I990" s="10" t="n">
        <x:f>IF($I$972=1,IF(OR(AND(F990&lt;'00_Arquitectura'!$B$121,G990&lt;'00_Arquitectura'!$B$122),F990&lt;'00_Arquitectura'!$B$123),1,0),IF(AND(H990=1,$H$972=1),1,0))</x:f>
        <x:v>0</x:v>
      </x:c>
      <x:c r="J990" s="10" t="n">
        <x:f>-I990*2*'02_Actores'!$E$7/10</x:f>
        <x:v>0</x:v>
      </x:c>
      <x:c r="K990" s="10" t="n">
        <x:f>$K$989</x:f>
        <x:v>48.91157974349487</x:v>
      </x:c>
      <x:c r="L990" s="10" t="str">
        <x:v>J programa offset para t+1; efecto sustituible y acotado, sin voto adicional.</x:v>
      </x:c>
    </x:row>
    <x:row r="991" ht="34" customHeight="1">
      <x:c r="A991" s="5" t="str">
        <x:v>S2_VIAL</x:v>
      </x:c>
      <x:c r="B991" s="5" t="n">
        <x:v>3</x:v>
      </x:c>
      <x:c r="C991" s="5" t="str">
        <x:v>financiero</x:v>
      </x:c>
      <x:c r="D991" s="5" t="n">
        <x:f>$F$973</x:f>
        <x:v>55</x:v>
      </x:c>
      <x:c r="E991" s="5" t="n">
        <x:f>(ABS('03_Sensibilidades'!$C$14)*IF('03_Sensibilidades'!$C$14&lt;0,100-$K$241,$K$241)+ABS('03_Sensibilidades'!$C$15)*IF('03_Sensibilidades'!$C$15&lt;0,100-$K$237,$K$237)+ABS('03_Sensibilidades'!$C$16)*IF('03_Sensibilidades'!$C$16&lt;0,100-$K$240,$K$240)+ABS('03_Sensibilidades'!$C$17)*IF('03_Sensibilidades'!$C$17&lt;0,100-$K$249,$K$249))/(ABS('03_Sensibilidades'!$C$14)+ABS('03_Sensibilidades'!$C$15)+ABS('03_Sensibilidades'!$C$16)+ABS('03_Sensibilidades'!$C$17))</x:f>
        <x:v>55.13793103448276</x:v>
      </x:c>
      <x:c r="F991" s="5" t="n">
        <x:f>(1-'00_Arquitectura'!$B$95)*D991+'00_Arquitectura'!$B$95*E991</x:f>
        <x:v>55.04827586206896</x:v>
      </x:c>
      <x:c r="G991" s="5" t="n">
        <x:f>'02_Actores'!$I$8</x:f>
        <x:v>45</x:v>
      </x:c>
      <x:c r="H991" s="5" t="n">
        <x:f>IF(OR(AND(F991&lt;'00_Arquitectura'!$B$118,G991&lt;'00_Arquitectura'!$B$119),F991&lt;'00_Arquitectura'!$B$120),1,0)</x:f>
        <x:v>0</x:v>
      </x:c>
      <x:c r="I991" s="5" t="n">
        <x:f>IF($I$973=1,IF(OR(AND(F991&lt;'00_Arquitectura'!$B$121,G991&lt;'00_Arquitectura'!$B$122),F991&lt;'00_Arquitectura'!$B$123),1,0),IF(AND(H991=1,$H$973=1),1,0))</x:f>
        <x:v>0</x:v>
      </x:c>
      <x:c r="J991" s="5" t="n">
        <x:f>-I991*2*'02_Actores'!$E$8/10</x:f>
        <x:v>0</x:v>
      </x:c>
      <x:c r="K991" s="5" t="n">
        <x:f>$K$989</x:f>
        <x:v>48.91157974349487</x:v>
      </x:c>
      <x:c r="L991" s="5" t="str">
        <x:v>J programa offset para t+1; efecto sustituible y acotado, sin voto adicional.</x:v>
      </x:c>
    </x:row>
    <x:row r="992" ht="34" customHeight="1">
      <x:c r="A992" s="10" t="str">
        <x:v>S2_VIAL</x:v>
      </x:c>
      <x:c r="B992" s="10" t="n">
        <x:v>3</x:v>
      </x:c>
      <x:c r="C992" s="10" t="str">
        <x:v>sindicatos</x:v>
      </x:c>
      <x:c r="D992" s="10" t="n">
        <x:f>$F$974</x:f>
        <x:v>48.148275862068964</x:v>
      </x:c>
      <x:c r="E992" s="10" t="n">
        <x:f>(ABS('03_Sensibilidades'!$C$18)*IF('03_Sensibilidades'!$C$18&lt;0,100-$K$239,$K$239)+ABS('03_Sensibilidades'!$C$19)*IF('03_Sensibilidades'!$C$19&lt;0,100-$K$238,$K$238)+ABS('03_Sensibilidades'!$C$20)*IF('03_Sensibilidades'!$C$20&lt;0,100-$K$246,$K$246)+ABS('03_Sensibilidades'!$C$21)*IF('03_Sensibilidades'!$C$21&lt;0,100-$K$249,$K$249))/(ABS('03_Sensibilidades'!$C$18)+ABS('03_Sensibilidades'!$C$19)+ABS('03_Sensibilidades'!$C$20)+ABS('03_Sensibilidades'!$C$21))</x:f>
        <x:v>48.6551724137931</x:v>
      </x:c>
      <x:c r="F992" s="10" t="n">
        <x:f>(1-'00_Arquitectura'!$B$95)*D992+'00_Arquitectura'!$B$95*E992</x:f>
        <x:v>48.32568965517241</x:v>
      </x:c>
      <x:c r="G992" s="10" t="n">
        <x:f>'02_Actores'!$I$9</x:f>
        <x:v>45</x:v>
      </x:c>
      <x:c r="H992" s="10" t="n">
        <x:f>IF(OR(AND(F992&lt;'00_Arquitectura'!$B$118,G992&lt;'00_Arquitectura'!$B$119),F992&lt;'00_Arquitectura'!$B$120),1,0)</x:f>
        <x:v>0</x:v>
      </x:c>
      <x:c r="I992" s="10" t="n">
        <x:f>IF($I$974=1,IF(OR(AND(F992&lt;'00_Arquitectura'!$B$121,G992&lt;'00_Arquitectura'!$B$122),F992&lt;'00_Arquitectura'!$B$123),1,0),IF(AND(H992=1,$H$974=1),1,0))</x:f>
        <x:v>0</x:v>
      </x:c>
      <x:c r="J992" s="10" t="n">
        <x:f>-I992*2*'02_Actores'!$E$9/10</x:f>
        <x:v>0</x:v>
      </x:c>
      <x:c r="K992" s="10" t="n">
        <x:f>$K$989</x:f>
        <x:v>48.91157974349487</x:v>
      </x:c>
      <x:c r="L992" s="10" t="str">
        <x:v>J programa offset para t+1; efecto sustituible y acotado, sin voto adicional.</x:v>
      </x:c>
    </x:row>
    <x:row r="993" ht="34" customHeight="1">
      <x:c r="A993" s="5" t="str">
        <x:v>S2_VIAL</x:v>
      </x:c>
      <x:c r="B993" s="5" t="n">
        <x:v>3</x:v>
      </x:c>
      <x:c r="C993" s="5" t="str">
        <x:v>pymes</x:v>
      </x:c>
      <x:c r="D993" s="5" t="n">
        <x:f>$F$975</x:f>
        <x:v>49.355172413793106</x:v>
      </x:c>
      <x:c r="E993" s="5" t="n">
        <x:f>(ABS('03_Sensibilidades'!$C$22)*IF('03_Sensibilidades'!$C$22&lt;0,100-$K$240,$K$240)+ABS('03_Sensibilidades'!$C$23)*IF('03_Sensibilidades'!$C$23&lt;0,100-$K$238,$K$238)+ABS('03_Sensibilidades'!$C$24)*IF('03_Sensibilidades'!$C$24&lt;0,100-$K$243,$K$243)+ABS('03_Sensibilidades'!$C$25)*IF('03_Sensibilidades'!$C$25&lt;0,100-$K$237,$K$237))/(ABS('03_Sensibilidades'!$C$22)+ABS('03_Sensibilidades'!$C$23)+ABS('03_Sensibilidades'!$C$24)+ABS('03_Sensibilidades'!$C$25))</x:f>
        <x:v>49.758620689655174</x:v>
      </x:c>
      <x:c r="F993" s="5" t="n">
        <x:f>(1-'00_Arquitectura'!$B$95)*D993+'00_Arquitectura'!$B$95*E993</x:f>
        <x:v>49.496379310344835</x:v>
      </x:c>
      <x:c r="G993" s="5" t="n">
        <x:f>'02_Actores'!$I$10</x:f>
        <x:v>45</x:v>
      </x:c>
      <x:c r="H993" s="5" t="n">
        <x:f>IF(OR(AND(F993&lt;'00_Arquitectura'!$B$118,G993&lt;'00_Arquitectura'!$B$119),F993&lt;'00_Arquitectura'!$B$120),1,0)</x:f>
        <x:v>0</x:v>
      </x:c>
      <x:c r="I993" s="5" t="n">
        <x:f>IF($I$975=1,IF(OR(AND(F993&lt;'00_Arquitectura'!$B$121,G993&lt;'00_Arquitectura'!$B$122),F993&lt;'00_Arquitectura'!$B$123),1,0),IF(AND(H993=1,$H$975=1),1,0))</x:f>
        <x:v>0</x:v>
      </x:c>
      <x:c r="J993" s="5" t="n">
        <x:f>-I993*2*'02_Actores'!$E$10/10</x:f>
        <x:v>0</x:v>
      </x:c>
      <x:c r="K993" s="5" t="n">
        <x:f>$K$989</x:f>
        <x:v>48.91157974349487</x:v>
      </x:c>
      <x:c r="L993" s="5" t="str">
        <x:v>J programa offset para t+1; efecto sustituible y acotado, sin voto adicional.</x:v>
      </x:c>
    </x:row>
    <x:row r="994" ht="34" customHeight="1">
      <x:c r="A994" s="10" t="str">
        <x:v>S2_VIAL</x:v>
      </x:c>
      <x:c r="B994" s="10" t="n">
        <x:v>3</x:v>
      </x:c>
      <x:c r="C994" s="10" t="str">
        <x:v>clase_media</x:v>
      </x:c>
      <x:c r="D994" s="10" t="n">
        <x:f>$F$976</x:f>
        <x:v>48.333333333333336</x:v>
      </x:c>
      <x:c r="E994" s="10" t="n">
        <x:f>(ABS('03_Sensibilidades'!$C$26)*IF('03_Sensibilidades'!$C$26&lt;0,100-$K$239,$K$239)+ABS('03_Sensibilidades'!$C$27)*IF('03_Sensibilidades'!$C$27&lt;0,100-$K$247,$K$247)+ABS('03_Sensibilidades'!$C$28)*IF('03_Sensibilidades'!$C$28&lt;0,100-$K$244,$K$244)+ABS('03_Sensibilidades'!$C$29)*IF('03_Sensibilidades'!$C$29&lt;0,100-$K$237,$K$237))/(ABS('03_Sensibilidades'!$C$26)+ABS('03_Sensibilidades'!$C$27)+ABS('03_Sensibilidades'!$C$28)+ABS('03_Sensibilidades'!$C$29))</x:f>
        <x:v>48.44444444444444</x:v>
      </x:c>
      <x:c r="F994" s="10" t="n">
        <x:f>(1-'00_Arquitectura'!$B$95)*D994+'00_Arquitectura'!$B$95*E994</x:f>
        <x:v>48.37222222222222</x:v>
      </x:c>
      <x:c r="G994" s="10" t="n">
        <x:f>'02_Actores'!$I$11</x:f>
        <x:v>45</x:v>
      </x:c>
      <x:c r="H994" s="10" t="n">
        <x:f>IF(OR(AND(F994&lt;'00_Arquitectura'!$B$118,G994&lt;'00_Arquitectura'!$B$119),F994&lt;'00_Arquitectura'!$B$120),1,0)</x:f>
        <x:v>0</x:v>
      </x:c>
      <x:c r="I994" s="10" t="n">
        <x:f>IF($I$976=1,IF(OR(AND(F994&lt;'00_Arquitectura'!$B$121,G994&lt;'00_Arquitectura'!$B$122),F994&lt;'00_Arquitectura'!$B$123),1,0),IF(AND(H994=1,$H$976=1),1,0))</x:f>
        <x:v>0</x:v>
      </x:c>
      <x:c r="J994" s="10" t="n">
        <x:f>0</x:f>
        <x:v>0</x:v>
      </x:c>
      <x:c r="K994" s="10" t="n">
        <x:f>$K$989</x:f>
        <x:v>48.91157974349487</x:v>
      </x:c>
      <x:c r="L994" s="10" t="str">
        <x:v>Canal directo sólo al índice social; sin bono de popularidad.</x:v>
      </x:c>
    </x:row>
    <x:row r="995" ht="34" customHeight="1">
      <x:c r="A995" s="5" t="str">
        <x:v>S2_VIAL</x:v>
      </x:c>
      <x:c r="B995" s="5" t="n">
        <x:v>3</x:v>
      </x:c>
      <x:c r="C995" s="5" t="str">
        <x:v>cooperativas</x:v>
      </x:c>
      <x:c r="D995" s="5" t="n">
        <x:f>$F$977</x:f>
        <x:v>47.959259259259255</x:v>
      </x:c>
      <x:c r="E995" s="5" t="n">
        <x:f>(ABS('03_Sensibilidades'!$C$30)*IF('03_Sensibilidades'!$C$30&lt;0,100-$K$240,$K$240)+ABS('03_Sensibilidades'!$C$31)*IF('03_Sensibilidades'!$C$31&lt;0,100-$K$238,$K$238)+ABS('03_Sensibilidades'!$C$32)*IF('03_Sensibilidades'!$C$32&lt;0,100-$K$246,$K$246)+ABS('03_Sensibilidades'!$C$33)*IF('03_Sensibilidades'!$C$33&lt;0,100-$K$249,$K$249))/(ABS('03_Sensibilidades'!$C$30)+ABS('03_Sensibilidades'!$C$31)+ABS('03_Sensibilidades'!$C$32)+ABS('03_Sensibilidades'!$C$33))</x:f>
        <x:v>48.2962962962963</x:v>
      </x:c>
      <x:c r="F995" s="5" t="n">
        <x:f>(1-'00_Arquitectura'!$B$95)*D995+'00_Arquitectura'!$B$95*E995</x:f>
        <x:v>48.07722222222222</x:v>
      </x:c>
      <x:c r="G995" s="5" t="n">
        <x:f>'02_Actores'!$I$12</x:f>
        <x:v>45</x:v>
      </x:c>
      <x:c r="H995" s="5" t="n">
        <x:f>IF(OR(AND(F995&lt;'00_Arquitectura'!$B$118,G995&lt;'00_Arquitectura'!$B$119),F995&lt;'00_Arquitectura'!$B$120),1,0)</x:f>
        <x:v>0</x:v>
      </x:c>
      <x:c r="I995" s="5" t="n">
        <x:f>IF($I$977=1,IF(OR(AND(F995&lt;'00_Arquitectura'!$B$121,G995&lt;'00_Arquitectura'!$B$122),F995&lt;'00_Arquitectura'!$B$123),1,0),IF(AND(H995=1,$H$977=1),1,0))</x:f>
        <x:v>0</x:v>
      </x:c>
      <x:c r="J995" s="5" t="n">
        <x:f>-I995*1.5*'02_Actores'!$E$12/10</x:f>
        <x:v>0</x:v>
      </x:c>
      <x:c r="K995" s="5" t="n">
        <x:f>$K$989</x:f>
        <x:v>48.91157974349487</x:v>
      </x:c>
      <x:c r="L995" s="5" t="str">
        <x:v>J programa offset para t+1; efecto sustituible y acotado, sin voto adicional.</x:v>
      </x:c>
    </x:row>
    <x:row r="996" ht="42" customHeight="1">
      <x:c r="A996" s="10" t="str">
        <x:v>S2_VIAL</x:v>
      </x:c>
      <x:c r="B996" s="10" t="n">
        <x:v>3</x:v>
      </x:c>
      <x:c r="C996" s="10" t="str">
        <x:v>estudiantes</x:v>
      </x:c>
      <x:c r="D996" s="10" t="n">
        <x:f>$F$978</x:f>
        <x:v>49.2</x:v>
      </x:c>
      <x:c r="E996" s="10" t="n">
        <x:f>(ABS('03_Sensibilidades'!$C$34)*IF('03_Sensibilidades'!$C$34&lt;0,100-$K$244,$K$244)+ABS('03_Sensibilidades'!$C$35)*IF('03_Sensibilidades'!$C$35&lt;0,100-$K$239,$K$239)+ABS('03_Sensibilidades'!$C$36)*IF('03_Sensibilidades'!$C$36&lt;0,100-$K$249,$K$249)+ABS('03_Sensibilidades'!$C$37)*IF('03_Sensibilidades'!$C$37&lt;0,100-$K$248,$K$248))/(ABS('03_Sensibilidades'!$C$34)+ABS('03_Sensibilidades'!$C$35)+ABS('03_Sensibilidades'!$C$36)+ABS('03_Sensibilidades'!$C$37))</x:f>
        <x:v>49.26</x:v>
      </x:c>
      <x:c r="F996" s="10" t="n">
        <x:f>(1-'00_Arquitectura'!$B$95)*D996+'00_Arquitectura'!$B$95*E996</x:f>
        <x:v>49.221000000000004</x:v>
      </x:c>
      <x:c r="G996" s="10" t="n">
        <x:f>'02_Actores'!$I$13</x:f>
        <x:v>45</x:v>
      </x:c>
      <x:c r="H996" s="10" t="n">
        <x:f>IF(OR(AND(F996&lt;'00_Arquitectura'!$B$118,G996&lt;'00_Arquitectura'!$B$119),F996&lt;'00_Arquitectura'!$B$120),1,0)</x:f>
        <x:v>0</x:v>
      </x:c>
      <x:c r="I996" s="10" t="n">
        <x:f>IF($I$978=1,IF(OR(AND(F996&lt;'00_Arquitectura'!$B$121,G996&lt;'00_Arquitectura'!$B$122),F996&lt;'00_Arquitectura'!$B$123),1,0),IF(AND(H996=1,$H$978=1),1,0))</x:f>
        <x:v>0</x:v>
      </x:c>
      <x:c r="J996" s="10" t="n">
        <x:f>0</x:f>
        <x:v>0</x:v>
      </x:c>
      <x:c r="K996" s="10" t="n">
        <x:f>$K$989</x:f>
        <x:v>48.91157974349487</x:v>
      </x:c>
      <x:c r="L996" s="10" t="str">
        <x:v>Conflicto activo captura menor eficacia en políticas ejecutadas en t+1. Magnitud0 en J: no es un offset directo de indicador.</x:v>
      </x:c>
    </x:row>
    <x:row r="997" ht="34" customHeight="1">
      <x:c r="A997" s="5" t="str">
        <x:v>S2_VIAL</x:v>
      </x:c>
      <x:c r="B997" s="5" t="n">
        <x:v>3</x:v>
      </x:c>
      <x:c r="C997" s="5" t="str">
        <x:v>docentes</x:v>
      </x:c>
      <x:c r="D997" s="5" t="n">
        <x:f>$F$979</x:f>
        <x:v>48.91304347826087</x:v>
      </x:c>
      <x:c r="E997" s="5" t="n">
        <x:f>(ABS('03_Sensibilidades'!$C$38)*IF('03_Sensibilidades'!$C$38&lt;0,100-$K$244,$K$244)+ABS('03_Sensibilidades'!$C$39)*IF('03_Sensibilidades'!$C$39&lt;0,100-$K$239,$K$239)+ABS('03_Sensibilidades'!$C$40)*IF('03_Sensibilidades'!$C$40&lt;0,100-$K$249,$K$249))/(ABS('03_Sensibilidades'!$C$38)+ABS('03_Sensibilidades'!$C$39)+ABS('03_Sensibilidades'!$C$40))</x:f>
        <x:v>49.0304347826087</x:v>
      </x:c>
      <x:c r="F997" s="5" t="n">
        <x:f>(1-'00_Arquitectura'!$B$95)*D997+'00_Arquitectura'!$B$95*E997</x:f>
        <x:v>48.95413043478261</x:v>
      </x:c>
      <x:c r="G997" s="5" t="n">
        <x:f>'02_Actores'!$I$14</x:f>
        <x:v>45</x:v>
      </x:c>
      <x:c r="H997" s="5" t="n">
        <x:f>IF(OR(AND(F997&lt;'00_Arquitectura'!$B$118,G997&lt;'00_Arquitectura'!$B$119),F997&lt;'00_Arquitectura'!$B$120),1,0)</x:f>
        <x:v>0</x:v>
      </x:c>
      <x:c r="I997" s="5" t="n">
        <x:f>IF($I$979=1,IF(OR(AND(F997&lt;'00_Arquitectura'!$B$121,G997&lt;'00_Arquitectura'!$B$122),F997&lt;'00_Arquitectura'!$B$123),1,0),IF(AND(H997=1,$H$979=1),1,0))</x:f>
        <x:v>0</x:v>
      </x:c>
      <x:c r="J997" s="5" t="n">
        <x:f>-I997*1.5*'02_Actores'!$E$14/10</x:f>
        <x:v>0</x:v>
      </x:c>
      <x:c r="K997" s="5" t="n">
        <x:f>$K$989</x:f>
        <x:v>48.91157974349487</x:v>
      </x:c>
      <x:c r="L997" s="5" t="str">
        <x:v>J programa offset para t+1; efecto sustituible y acotado, sin voto adicional.</x:v>
      </x:c>
    </x:row>
    <x:row r="998" ht="34" customHeight="1">
      <x:c r="A998" s="10" t="str">
        <x:v>S2_VIAL</x:v>
      </x:c>
      <x:c r="B998" s="10" t="n">
        <x:v>3</x:v>
      </x:c>
      <x:c r="C998" s="10" t="str">
        <x:v>cientificos</x:v>
      </x:c>
      <x:c r="D998" s="10" t="n">
        <x:f>$F$980</x:f>
        <x:v>46.59090909090909</x:v>
      </x:c>
      <x:c r="E998" s="10" t="n">
        <x:f>(ABS('03_Sensibilidades'!$C$41)*IF('03_Sensibilidades'!$C$41&lt;0,100-$K$248,$K$248)+ABS('03_Sensibilidades'!$C$42)*IF('03_Sensibilidades'!$C$42&lt;0,100-$K$244,$K$244)+ABS('03_Sensibilidades'!$C$43)*IF('03_Sensibilidades'!$C$43&lt;0,100-$K$249,$K$249))/(ABS('03_Sensibilidades'!$C$41)+ABS('03_Sensibilidades'!$C$42)+ABS('03_Sensibilidades'!$C$43))</x:f>
        <x:v>46.59090909090909</x:v>
      </x:c>
      <x:c r="F998" s="10" t="n">
        <x:f>(1-'00_Arquitectura'!$B$95)*D998+'00_Arquitectura'!$B$95*E998</x:f>
        <x:v>46.59090909090909</x:v>
      </x:c>
      <x:c r="G998" s="10" t="n">
        <x:f>'02_Actores'!$I$15</x:f>
        <x:v>45</x:v>
      </x:c>
      <x:c r="H998" s="10" t="n">
        <x:f>IF(OR(AND(F998&lt;'00_Arquitectura'!$B$118,G998&lt;'00_Arquitectura'!$B$119),F998&lt;'00_Arquitectura'!$B$120),1,0)</x:f>
        <x:v>0</x:v>
      </x:c>
      <x:c r="I998" s="10" t="n">
        <x:f>IF($I$980=1,IF(OR(AND(F998&lt;'00_Arquitectura'!$B$121,G998&lt;'00_Arquitectura'!$B$122),F998&lt;'00_Arquitectura'!$B$123),1,0),IF(AND(H998=1,$H$980=1),1,0))</x:f>
        <x:v>0</x:v>
      </x:c>
      <x:c r="J998" s="10" t="n">
        <x:f>-I998*1.5*'02_Actores'!$E$15/10</x:f>
        <x:v>0</x:v>
      </x:c>
      <x:c r="K998" s="10" t="n">
        <x:f>$K$989</x:f>
        <x:v>48.91157974349487</x:v>
      </x:c>
      <x:c r="L998" s="10" t="str">
        <x:v>J programa offset para t+1; efecto sustituible y acotado, sin voto adicional.</x:v>
      </x:c>
    </x:row>
    <x:row r="999" ht="34" customHeight="1">
      <x:c r="A999" s="5" t="str">
        <x:v>S2_VIAL</x:v>
      </x:c>
      <x:c r="B999" s="5" t="n">
        <x:v>3</x:v>
      </x:c>
      <x:c r="C999" s="5" t="str">
        <x:v>organizaciones</x:v>
      </x:c>
      <x:c r="D999" s="5" t="n">
        <x:f>$F$981</x:f>
        <x:v>49.25714285714285</x:v>
      </x:c>
      <x:c r="E999" s="5" t="n">
        <x:f>(ABS('03_Sensibilidades'!$C$44)*IF('03_Sensibilidades'!$C$44&lt;0,100-$K$246,$K$246)+ABS('03_Sensibilidades'!$C$45)*IF('03_Sensibilidades'!$C$45&lt;0,100-$K$245,$K$245)+ABS('03_Sensibilidades'!$C$46)*IF('03_Sensibilidades'!$C$46&lt;0,100-$K$238,$K$238)+ABS('03_Sensibilidades'!$C$47)*IF('03_Sensibilidades'!$C$47&lt;0,100-$K$249,$K$249))/(ABS('03_Sensibilidades'!$C$44)+ABS('03_Sensibilidades'!$C$45)+ABS('03_Sensibilidades'!$C$46)+ABS('03_Sensibilidades'!$C$47))</x:f>
        <x:v>49.535714285714285</x:v>
      </x:c>
      <x:c r="F999" s="5" t="n">
        <x:f>(1-'00_Arquitectura'!$B$95)*D999+'00_Arquitectura'!$B$95*E999</x:f>
        <x:v>49.354642857142856</x:v>
      </x:c>
      <x:c r="G999" s="5" t="n">
        <x:f>'02_Actores'!$I$16</x:f>
        <x:v>45</x:v>
      </x:c>
      <x:c r="H999" s="5" t="n">
        <x:f>IF(OR(AND(F999&lt;'00_Arquitectura'!$B$118,G999&lt;'00_Arquitectura'!$B$119),F999&lt;'00_Arquitectura'!$B$120),1,0)</x:f>
        <x:v>0</x:v>
      </x:c>
      <x:c r="I999" s="5" t="n">
        <x:f>IF($I$981=1,IF(OR(AND(F999&lt;'00_Arquitectura'!$B$121,G999&lt;'00_Arquitectura'!$B$122),F999&lt;'00_Arquitectura'!$B$123),1,0),IF(AND(H999=1,$H$981=1),1,0))</x:f>
        <x:v>0</x:v>
      </x:c>
      <x:c r="J999" s="5" t="n">
        <x:f>-I999*1.5*'02_Actores'!$E$16/10</x:f>
        <x:v>0</x:v>
      </x:c>
      <x:c r="K999" s="5" t="n">
        <x:f>$K$989</x:f>
        <x:v>48.91157974349487</x:v>
      </x:c>
      <x:c r="L999" s="5" t="str">
        <x:v>J programa offset para t+1; efecto sustituible y acotado, sin voto adicional.</x:v>
      </x:c>
    </x:row>
    <x:row r="1000" ht="42" customHeight="1">
      <x:c r="A1000" s="10" t="str">
        <x:v>S2_VIAL</x:v>
      </x:c>
      <x:c r="B1000" s="10" t="n">
        <x:v>3</x:v>
      </x:c>
      <x:c r="C1000" s="10" t="str">
        <x:v>ddhh</x:v>
      </x:c>
      <x:c r="D1000" s="10" t="n">
        <x:f>$F$982</x:f>
        <x:v>50.88235294117648</x:v>
      </x:c>
      <x:c r="E1000" s="10" t="n">
        <x:f>(ABS('03_Sensibilidades'!$C$48)*IF('03_Sensibilidades'!$C$48&lt;0,100-$K$249,$K$249)+ABS('03_Sensibilidades'!$C$49)*IF('03_Sensibilidades'!$C$49&lt;0,100-$K$247,$K$247)+ABS('03_Sensibilidades'!$C$50)*IF('03_Sensibilidades'!$C$50&lt;0,100-$K$246,$K$246))/(ABS('03_Sensibilidades'!$C$48)+ABS('03_Sensibilidades'!$C$49)+ABS('03_Sensibilidades'!$C$50))</x:f>
        <x:v>50.88235294117647</x:v>
      </x:c>
      <x:c r="F1000" s="10" t="n">
        <x:f>(1-'00_Arquitectura'!$B$95)*D1000+'00_Arquitectura'!$B$95*E1000</x:f>
        <x:v>50.88235294117648</x:v>
      </x:c>
      <x:c r="G1000" s="10" t="n">
        <x:f>'02_Actores'!$I$17</x:f>
        <x:v>45</x:v>
      </x:c>
      <x:c r="H1000" s="10" t="n">
        <x:f>IF(OR(AND(F1000&lt;'00_Arquitectura'!$B$118,G1000&lt;'00_Arquitectura'!$B$119),F1000&lt;'00_Arquitectura'!$B$120),1,0)</x:f>
        <x:v>0</x:v>
      </x:c>
      <x:c r="I1000" s="10" t="n">
        <x:f>IF($I$982=1,IF(OR(AND(F1000&lt;'00_Arquitectura'!$B$121,G1000&lt;'00_Arquitectura'!$B$122),F1000&lt;'00_Arquitectura'!$B$123),1,0),IF(AND(H1000=1,$H$982=1),1,0))</x:f>
        <x:v>0</x:v>
      </x:c>
      <x:c r="J1000" s="10" t="n">
        <x:f>0</x:f>
        <x:v>0</x:v>
      </x:c>
      <x:c r="K1000" s="10" t="n">
        <x:f>$K$989</x:f>
        <x:v>48.91157974349487</x:v>
      </x:c>
      <x:c r="L1000" s="10" t="str">
        <x:v>Conflicto activo captura menor eficacia en políticas ejecutadas en t+1. Magnitud0 en J: no es un offset directo de indicador.</x:v>
      </x:c>
    </x:row>
    <x:row r="1001" ht="42" customHeight="1">
      <x:c r="A1001" s="5" t="str">
        <x:v>S2_VIAL</x:v>
      </x:c>
      <x:c r="B1001" s="5" t="n">
        <x:v>3</x:v>
      </x:c>
      <x:c r="C1001" s="5" t="str">
        <x:v>ambientalistas</x:v>
      </x:c>
      <x:c r="D1001" s="5" t="n">
        <x:f>$F$983</x:f>
        <x:v>51.388888888888886</x:v>
      </x:c>
      <x:c r="E1001" s="5" t="n">
        <x:f>(ABS('03_Sensibilidades'!$C$51)*IF('03_Sensibilidades'!$C$51&lt;0,100-$K$250,$K$250)+ABS('03_Sensibilidades'!$C$52)*IF('03_Sensibilidades'!$C$52&lt;0,100-$K$249,$K$249)+ABS('03_Sensibilidades'!$C$53)*IF('03_Sensibilidades'!$C$53&lt;0,100-$K$245,$K$245))/(ABS('03_Sensibilidades'!$C$51)+ABS('03_Sensibilidades'!$C$52)+ABS('03_Sensibilidades'!$C$53))</x:f>
        <x:v>51.388888888888886</x:v>
      </x:c>
      <x:c r="F1001" s="5" t="n">
        <x:f>(1-'00_Arquitectura'!$B$95)*D1001+'00_Arquitectura'!$B$95*E1001</x:f>
        <x:v>51.388888888888886</x:v>
      </x:c>
      <x:c r="G1001" s="5" t="n">
        <x:f>'02_Actores'!$I$18</x:f>
        <x:v>45</x:v>
      </x:c>
      <x:c r="H1001" s="5" t="n">
        <x:f>IF(OR(AND(F1001&lt;'00_Arquitectura'!$B$118,G1001&lt;'00_Arquitectura'!$B$119),F1001&lt;'00_Arquitectura'!$B$120),1,0)</x:f>
        <x:v>0</x:v>
      </x:c>
      <x:c r="I1001" s="5" t="n">
        <x:f>IF($I$983=1,IF(OR(AND(F1001&lt;'00_Arquitectura'!$B$121,G1001&lt;'00_Arquitectura'!$B$122),F1001&lt;'00_Arquitectura'!$B$123),1,0),IF(AND(H1001=1,$H$983=1),1,0))</x:f>
        <x:v>0</x:v>
      </x:c>
      <x:c r="J1001" s="5" t="n">
        <x:f>0</x:f>
        <x:v>0</x:v>
      </x:c>
      <x:c r="K1001" s="5" t="n">
        <x:f>$K$989</x:f>
        <x:v>48.91157974349487</x:v>
      </x:c>
      <x:c r="L1001" s="5" t="str">
        <x:v>Conflicto activo captura menor eficacia en políticas ejecutadas en t+1. Magnitud0 en J: no es un offset directo de indicador.</x:v>
      </x:c>
    </x:row>
    <x:row r="1002" ht="34" customHeight="1">
      <x:c r="A1002" s="10" t="str">
        <x:v>S2_VIAL</x:v>
      </x:c>
      <x:c r="B1002" s="10" t="n">
        <x:v>3</x:v>
      </x:c>
      <x:c r="C1002" s="10" t="str">
        <x:v>cultura</x:v>
      </x:c>
      <x:c r="D1002" s="10" t="n">
        <x:f>$F$984</x:f>
        <x:v>50.78947368421053</x:v>
      </x:c>
      <x:c r="E1002" s="10" t="n">
        <x:f>(ABS('03_Sensibilidades'!$C$54)*IF('03_Sensibilidades'!$C$54&lt;0,100-$K$249,$K$249)+ABS('03_Sensibilidades'!$C$55)*IF('03_Sensibilidades'!$C$55&lt;0,100-$K$244,$K$244)+ABS('03_Sensibilidades'!$C$56)*IF('03_Sensibilidades'!$C$56&lt;0,100-$K$239,$K$239))/(ABS('03_Sensibilidades'!$C$54)+ABS('03_Sensibilidades'!$C$55)+ABS('03_Sensibilidades'!$C$56))</x:f>
        <x:v>50.86842105263158</x:v>
      </x:c>
      <x:c r="F1002" s="10" t="n">
        <x:f>(1-'00_Arquitectura'!$B$95)*D1002+'00_Arquitectura'!$B$95*E1002</x:f>
        <x:v>50.8171052631579</x:v>
      </x:c>
      <x:c r="G1002" s="10" t="n">
        <x:f>'02_Actores'!$I$19</x:f>
        <x:v>45</x:v>
      </x:c>
      <x:c r="H1002" s="10" t="n">
        <x:f>IF(OR(AND(F1002&lt;'00_Arquitectura'!$B$118,G1002&lt;'00_Arquitectura'!$B$119),F1002&lt;'00_Arquitectura'!$B$120),1,0)</x:f>
        <x:v>0</x:v>
      </x:c>
      <x:c r="I1002" s="10" t="n">
        <x:f>IF($I$984=1,IF(OR(AND(F1002&lt;'00_Arquitectura'!$B$121,G1002&lt;'00_Arquitectura'!$B$122),F1002&lt;'00_Arquitectura'!$B$123),1,0),IF(AND(H1002=1,$H$984=1),1,0))</x:f>
        <x:v>0</x:v>
      </x:c>
      <x:c r="J1002" s="10" t="n">
        <x:f>0</x:f>
        <x:v>0</x:v>
      </x:c>
      <x:c r="K1002" s="10" t="n">
        <x:f>$K$989</x:f>
        <x:v>48.91157974349487</x:v>
      </x:c>
      <x:c r="L1002" s="10" t="str">
        <x:v>Conflicto activo encarece agenda del turno siguiente; sin castigo electoral adicional.</x:v>
      </x:c>
    </x:row>
    <x:row r="1003" ht="34" customHeight="1">
      <x:c r="A1003" s="5" t="str">
        <x:v>S2_VIAL</x:v>
      </x:c>
      <x:c r="B1003" s="5" t="n">
        <x:v>3</x:v>
      </x:c>
      <x:c r="C1003" s="5" t="str">
        <x:v>oficialismo</x:v>
      </x:c>
      <x:c r="D1003" s="5" t="n">
        <x:f>$F$985</x:f>
        <x:v>52.343999999999994</x:v>
      </x:c>
      <x:c r="E1003" s="5" t="n">
        <x:f>(ABS('03_Sensibilidades'!$C$57)*IF('03_Sensibilidades'!$C$57&lt;0,100-$K$249,$K$249)+ABS('03_Sensibilidades'!$C$58)*IF('03_Sensibilidades'!$C$58&lt;0,100-$K$238,$K$238)+ABS('03_Sensibilidades'!$C$59)*IF('03_Sensibilidades'!$C$59&lt;0,100-$K$241,$K$241)+ABS('03_Sensibilidades'!$C$60)*IF('03_Sensibilidades'!$C$60&lt;0,100-$K$246,$K$246))/(ABS('03_Sensibilidades'!$C$57)+ABS('03_Sensibilidades'!$C$58)+ABS('03_Sensibilidades'!$C$59)+ABS('03_Sensibilidades'!$C$60))</x:f>
        <x:v>52.856</x:v>
      </x:c>
      <x:c r="F1003" s="5" t="n">
        <x:f>(1-'00_Arquitectura'!$B$95)*D1003+'00_Arquitectura'!$B$95*E1003</x:f>
        <x:v>52.523199999999996</x:v>
      </x:c>
      <x:c r="G1003" s="5" t="n">
        <x:f>'02_Actores'!$I$20</x:f>
        <x:v>60</x:v>
      </x:c>
      <x:c r="H1003" s="5" t="n">
        <x:f>IF(OR(AND(F1003&lt;'00_Arquitectura'!$B$118,G1003&lt;'00_Arquitectura'!$B$119),F1003&lt;'00_Arquitectura'!$B$120),1,0)</x:f>
        <x:v>0</x:v>
      </x:c>
      <x:c r="I1003" s="5" t="n">
        <x:f>IF($I$985=1,IF(OR(AND(F1003&lt;'00_Arquitectura'!$B$121,G1003&lt;'00_Arquitectura'!$B$122),F1003&lt;'00_Arquitectura'!$B$123),1,0),IF(AND(H1003=1,$H$985=1),1,0))</x:f>
        <x:v>0</x:v>
      </x:c>
      <x:c r="J1003" s="5" t="n">
        <x:f>0</x:f>
        <x:v>0</x:v>
      </x:c>
      <x:c r="K1003" s="5" t="n">
        <x:f>$K$989</x:f>
        <x:v>48.91157974349487</x:v>
      </x:c>
      <x:c r="L1003" s="5" t="str">
        <x:v>No aporta E_social; S y R alimentan disposición a leyes según07.</x:v>
      </x:c>
    </x:row>
    <x:row r="1004" ht="34" customHeight="1">
      <x:c r="A1004" s="10" t="str">
        <x:v>S2_VIAL</x:v>
      </x:c>
      <x:c r="B1004" s="10" t="n">
        <x:v>3</x:v>
      </x:c>
      <x:c r="C1004" s="10" t="str">
        <x:v>aliados</x:v>
      </x:c>
      <x:c r="D1004" s="10" t="n">
        <x:f>$F$986</x:f>
        <x:v>53.142857142857146</x:v>
      </x:c>
      <x:c r="E1004" s="10" t="n">
        <x:f>(ABS('03_Sensibilidades'!$C$61)*IF('03_Sensibilidades'!$C$61&lt;0,100-$K$249,$K$249)+ABS('03_Sensibilidades'!$C$62)*IF('03_Sensibilidades'!$C$62&lt;0,100-$K$241,$K$241)+ABS('03_Sensibilidades'!$C$63)*IF('03_Sensibilidades'!$C$63&lt;0,100-$K$243,$K$243))/(ABS('03_Sensibilidades'!$C$61)+ABS('03_Sensibilidades'!$C$62)+ABS('03_Sensibilidades'!$C$63))</x:f>
        <x:v>53.27619047619047</x:v>
      </x:c>
      <x:c r="F1004" s="10" t="n">
        <x:f>(1-'00_Arquitectura'!$B$95)*D1004+'00_Arquitectura'!$B$95*E1004</x:f>
        <x:v>53.189523809523806</x:v>
      </x:c>
      <x:c r="G1004" s="10" t="n">
        <x:f>'02_Actores'!$I$21</x:f>
        <x:v>45</x:v>
      </x:c>
      <x:c r="H1004" s="10" t="n">
        <x:f>IF(OR(AND(F1004&lt;'00_Arquitectura'!$B$118,G1004&lt;'00_Arquitectura'!$B$119),F1004&lt;'00_Arquitectura'!$B$120),1,0)</x:f>
        <x:v>0</x:v>
      </x:c>
      <x:c r="I1004" s="10" t="n">
        <x:f>IF($I$986=1,IF(OR(AND(F1004&lt;'00_Arquitectura'!$B$121,G1004&lt;'00_Arquitectura'!$B$122),F1004&lt;'00_Arquitectura'!$B$123),1,0),IF(AND(H1004=1,$H$986=1),1,0))</x:f>
        <x:v>0</x:v>
      </x:c>
      <x:c r="J1004" s="10" t="n">
        <x:f>0</x:f>
        <x:v>0</x:v>
      </x:c>
      <x:c r="K1004" s="10" t="n">
        <x:f>$K$989</x:f>
        <x:v>48.91157974349487</x:v>
      </x:c>
      <x:c r="L1004" s="10" t="str">
        <x:v>No aporta E_social; S y R alimentan disposición a leyes según07.</x:v>
      </x:c>
    </x:row>
    <x:row r="1005" ht="34" customHeight="1">
      <x:c r="A1005" s="5" t="str">
        <x:v>S2_VIAL</x:v>
      </x:c>
      <x:c r="B1005" s="5" t="n">
        <x:v>3</x:v>
      </x:c>
      <x:c r="C1005" s="5" t="str">
        <x:v>oposicion</x:v>
      </x:c>
      <x:c r="D1005" s="5" t="n">
        <x:f>$F$987</x:f>
        <x:v>53.900000000000006</x:v>
      </x:c>
      <x:c r="E1005" s="5" t="n">
        <x:f>(ABS('03_Sensibilidades'!$C$64)*IF('03_Sensibilidades'!$C$64&lt;0,100-$K$249,$K$249)+ABS('03_Sensibilidades'!$C$65)*IF('03_Sensibilidades'!$C$65&lt;0,100-$K$241,$K$241)+ABS('03_Sensibilidades'!$C$66)*IF('03_Sensibilidades'!$C$66&lt;0,100-$K$247,$K$247))/(ABS('03_Sensibilidades'!$C$64)+ABS('03_Sensibilidades'!$C$65)+ABS('03_Sensibilidades'!$C$66))</x:f>
        <x:v>54.02</x:v>
      </x:c>
      <x:c r="F1005" s="5" t="n">
        <x:f>(1-'00_Arquitectura'!$B$95)*D1005+'00_Arquitectura'!$B$95*E1005</x:f>
        <x:v>53.94200000000001</x:v>
      </x:c>
      <x:c r="G1005" s="5" t="n">
        <x:f>'02_Actores'!$I$22</x:f>
        <x:v>30</x:v>
      </x:c>
      <x:c r="H1005" s="5" t="n">
        <x:f>IF(OR(AND(F1005&lt;'00_Arquitectura'!$B$118,G1005&lt;'00_Arquitectura'!$B$119),F1005&lt;'00_Arquitectura'!$B$120),1,0)</x:f>
        <x:v>0</x:v>
      </x:c>
      <x:c r="I1005" s="5" t="n">
        <x:f>IF($I$987=1,IF(OR(AND(F1005&lt;'00_Arquitectura'!$B$121,G1005&lt;'00_Arquitectura'!$B$122),F1005&lt;'00_Arquitectura'!$B$123),1,0),IF(AND(H1005=1,$H$987=1),1,0))</x:f>
        <x:v>0</x:v>
      </x:c>
      <x:c r="J1005" s="5" t="n">
        <x:f>0</x:f>
        <x:v>0</x:v>
      </x:c>
      <x:c r="K1005" s="5" t="n">
        <x:f>$K$989</x:f>
        <x:v>48.91157974349487</x:v>
      </x:c>
      <x:c r="L1005" s="5" t="str">
        <x:v>No aporta E_social; S y R alimentan disposición a leyes según07.</x:v>
      </x:c>
    </x:row>
    <x:row r="1006" ht="42" customHeight="1">
      <x:c r="A1006" s="10" t="str">
        <x:v>S2_VIAL</x:v>
      </x:c>
      <x:c r="B1006" s="10" t="n">
        <x:v>3</x:v>
      </x:c>
      <x:c r="C1006" s="10" t="str">
        <x:v>gobernadores</x:v>
      </x:c>
      <x:c r="D1006" s="10" t="n">
        <x:f>$F$988</x:f>
        <x:v>50.10344827586207</x:v>
      </x:c>
      <x:c r="E1006" s="10" t="n">
        <x:f>(ABS('03_Sensibilidades'!$C$67)*IF('03_Sensibilidades'!$C$67&lt;0,100-$K$243,$K$243)+ABS('03_Sensibilidades'!$C$68)*IF('03_Sensibilidades'!$C$68&lt;0,100-$K$245,$K$245)+ABS('03_Sensibilidades'!$C$69)*IF('03_Sensibilidades'!$C$69&lt;0,100-$K$244,$K$244)+ABS('03_Sensibilidades'!$C$70)*IF('03_Sensibilidades'!$C$70&lt;0,100-$K$241,$K$241))/(ABS('03_Sensibilidades'!$C$67)+ABS('03_Sensibilidades'!$C$68)+ABS('03_Sensibilidades'!$C$69)+ABS('03_Sensibilidades'!$C$70))</x:f>
        <x:v>50.186206896551724</x:v>
      </x:c>
      <x:c r="F1006" s="10" t="n">
        <x:f>(1-'00_Arquitectura'!$B$95)*D1006+'00_Arquitectura'!$B$95*E1006</x:f>
        <x:v>50.13241379310345</x:v>
      </x:c>
      <x:c r="G1006" s="10" t="n">
        <x:f>'02_Actores'!$I$23</x:f>
        <x:v>45</x:v>
      </x:c>
      <x:c r="H1006" s="10" t="n">
        <x:f>IF(OR(AND(F1006&lt;'00_Arquitectura'!$B$118,G1006&lt;'00_Arquitectura'!$B$119),F1006&lt;'00_Arquitectura'!$B$120),1,0)</x:f>
        <x:v>0</x:v>
      </x:c>
      <x:c r="I1006" s="10" t="n">
        <x:f>IF($I$988=1,IF(OR(AND(F1006&lt;'00_Arquitectura'!$B$121,G1006&lt;'00_Arquitectura'!$B$122),F1006&lt;'00_Arquitectura'!$B$123),1,0),IF(AND(H1006=1,$H$988=1),1,0))</x:f>
        <x:v>0</x:v>
      </x:c>
      <x:c r="J1006" s="10" t="n">
        <x:f>0</x:f>
        <x:v>0</x:v>
      </x:c>
      <x:c r="K1006" s="10" t="n">
        <x:f>$K$989</x:f>
        <x:v>48.91157974349487</x:v>
      </x:c>
      <x:c r="L1006" s="10" t="str">
        <x:v>Conflicto activo captura menor eficacia en políticas ejecutadas en t+1. Magnitud0 en J: no es un offset directo de indicador.</x:v>
      </x:c>
    </x:row>
    <x:row r="1007" ht="34" customHeight="1">
      <x:c r="A1007" s="5" t="str">
        <x:v>S2_VIAL</x:v>
      </x:c>
      <x:c r="B1007" s="5" t="n">
        <x:v>4</x:v>
      </x:c>
      <x:c r="C1007" s="5" t="str">
        <x:v>industria</x:v>
      </x:c>
      <x:c r="D1007" s="5" t="n">
        <x:f>$F$989</x:f>
        <x:v>46.8237037037037</x:v>
      </x:c>
      <x:c r="E1007" s="5" t="n">
        <x:f>(ABS('03_Sensibilidades'!$C$6)*IF('03_Sensibilidades'!$C$6&lt;0,100-$K$254,$K$254)+ABS('03_Sensibilidades'!$C$7)*IF('03_Sensibilidades'!$C$7&lt;0,100-$K$252,$K$252)+ABS('03_Sensibilidades'!$C$8)*IF('03_Sensibilidades'!$C$8&lt;0,100-$K$257,$K$257)+ABS('03_Sensibilidades'!$C$9)*IF('03_Sensibilidades'!$C$9&lt;0,100-$K$256,$K$256))/(ABS('03_Sensibilidades'!$C$6)+ABS('03_Sensibilidades'!$C$7)+ABS('03_Sensibilidades'!$C$8)+ABS('03_Sensibilidades'!$C$9))</x:f>
        <x:v>48.03940740740741</x:v>
      </x:c>
      <x:c r="F1007" s="5" t="n">
        <x:f>(1-'00_Arquitectura'!$B$95)*D1007+'00_Arquitectura'!$B$95*E1007</x:f>
        <x:v>47.2492</x:v>
      </x:c>
      <x:c r="G1007" s="5" t="n">
        <x:f>'02_Actores'!$I$6</x:f>
        <x:v>45</x:v>
      </x:c>
      <x:c r="H1007" s="5" t="n">
        <x:f>IF(OR(AND(F1007&lt;'00_Arquitectura'!$B$118,G1007&lt;'00_Arquitectura'!$B$119),F1007&lt;'00_Arquitectura'!$B$120),1,0)</x:f>
        <x:v>0</x:v>
      </x:c>
      <x:c r="I1007" s="5" t="n">
        <x:f>IF($I$989=1,IF(OR(AND(F1007&lt;'00_Arquitectura'!$B$121,G1007&lt;'00_Arquitectura'!$B$122),F1007&lt;'00_Arquitectura'!$B$123),1,0),IF(AND(H1007=1,$H$989=1),1,0))</x:f>
        <x:v>0</x:v>
      </x:c>
      <x:c r="J1007" s="5" t="n">
        <x:f>-I1007*2*'02_Actores'!$E$6/10</x:f>
        <x:v>0</x:v>
      </x:c>
      <x:c r="K1007" s="5" t="n">
        <x:f>($F$1007*'02_Actores'!$F$6+$F$1008*'02_Actores'!$F$7+$F$1009*'02_Actores'!$F$8+$F$1010*'02_Actores'!$F$9+$F$1011*'02_Actores'!$F$10+$F$1012*'02_Actores'!$F$11+$F$1013*'02_Actores'!$F$12+$F$1014*'02_Actores'!$F$13+$F$1015*'02_Actores'!$F$14+$F$1016*'02_Actores'!$F$15+$F$1017*'02_Actores'!$F$16+$F$1018*'02_Actores'!$F$17+$F$1019*'02_Actores'!$F$18+$F$1020*'02_Actores'!$F$19)/('02_Actores'!$F$6+'02_Actores'!$F$7+'02_Actores'!$F$8+'02_Actores'!$F$9+'02_Actores'!$F$10+'02_Actores'!$F$11+'02_Actores'!$F$12+'02_Actores'!$F$13+'02_Actores'!$F$14+'02_Actores'!$F$15+'02_Actores'!$F$16+'02_Actores'!$F$17+'02_Actores'!$F$18+'02_Actores'!$F$19)</x:f>
        <x:v>48.97527469360335</x:v>
      </x:c>
      <x:c r="L1007" s="5" t="str">
        <x:v>J programa offset para t+1; efecto sustituible y acotado, sin voto adicional.</x:v>
      </x:c>
    </x:row>
    <x:row r="1008" ht="34" customHeight="1">
      <x:c r="A1008" s="10" t="str">
        <x:v>S2_VIAL</x:v>
      </x:c>
      <x:c r="B1008" s="10" t="n">
        <x:v>4</x:v>
      </x:c>
      <x:c r="C1008" s="10" t="str">
        <x:v>agro</x:v>
      </x:c>
      <x:c r="D1008" s="10" t="n">
        <x:f>$F$990</x:f>
        <x:v>45.892857142857146</x:v>
      </x:c>
      <x:c r="E1008" s="10" t="n">
        <x:f>(ABS('03_Sensibilidades'!$C$10)*IF('03_Sensibilidades'!$C$10&lt;0,100-$K$256,$K$256)+ABS('03_Sensibilidades'!$C$11)*IF('03_Sensibilidades'!$C$11&lt;0,100-$K$257,$K$257)+ABS('03_Sensibilidades'!$C$12)*IF('03_Sensibilidades'!$C$12&lt;0,100-$K$264,$K$264)+ABS('03_Sensibilidades'!$C$13)*IF('03_Sensibilidades'!$C$13&lt;0,100-$K$254,$K$254))/(ABS('03_Sensibilidades'!$C$10)+ABS('03_Sensibilidades'!$C$11)+ABS('03_Sensibilidades'!$C$12)+ABS('03_Sensibilidades'!$C$13))</x:f>
        <x:v>47.25142857142857</x:v>
      </x:c>
      <x:c r="F1008" s="10" t="n">
        <x:f>(1-'00_Arquitectura'!$B$95)*D1008+'00_Arquitectura'!$B$95*E1008</x:f>
        <x:v>46.36835714285714</x:v>
      </x:c>
      <x:c r="G1008" s="10" t="n">
        <x:f>'02_Actores'!$I$7</x:f>
        <x:v>45</x:v>
      </x:c>
      <x:c r="H1008" s="10" t="n">
        <x:f>IF(OR(AND(F1008&lt;'00_Arquitectura'!$B$118,G1008&lt;'00_Arquitectura'!$B$119),F1008&lt;'00_Arquitectura'!$B$120),1,0)</x:f>
        <x:v>0</x:v>
      </x:c>
      <x:c r="I1008" s="10" t="n">
        <x:f>IF($I$990=1,IF(OR(AND(F1008&lt;'00_Arquitectura'!$B$121,G1008&lt;'00_Arquitectura'!$B$122),F1008&lt;'00_Arquitectura'!$B$123),1,0),IF(AND(H1008=1,$H$990=1),1,0))</x:f>
        <x:v>0</x:v>
      </x:c>
      <x:c r="J1008" s="10" t="n">
        <x:f>-I1008*2*'02_Actores'!$E$7/10</x:f>
        <x:v>0</x:v>
      </x:c>
      <x:c r="K1008" s="10" t="n">
        <x:f>$K$1007</x:f>
        <x:v>48.97527469360335</x:v>
      </x:c>
      <x:c r="L1008" s="10" t="str">
        <x:v>J programa offset para t+1; efecto sustituible y acotado, sin voto adicional.</x:v>
      </x:c>
    </x:row>
    <x:row r="1009" ht="34" customHeight="1">
      <x:c r="A1009" s="5" t="str">
        <x:v>S2_VIAL</x:v>
      </x:c>
      <x:c r="B1009" s="5" t="n">
        <x:v>4</x:v>
      </x:c>
      <x:c r="C1009" s="5" t="str">
        <x:v>financiero</x:v>
      </x:c>
      <x:c r="D1009" s="5" t="n">
        <x:f>$F$991</x:f>
        <x:v>55.04827586206896</x:v>
      </x:c>
      <x:c r="E1009" s="5" t="n">
        <x:f>(ABS('03_Sensibilidades'!$C$14)*IF('03_Sensibilidades'!$C$14&lt;0,100-$K$255,$K$255)+ABS('03_Sensibilidades'!$C$15)*IF('03_Sensibilidades'!$C$15&lt;0,100-$K$251,$K$251)+ABS('03_Sensibilidades'!$C$16)*IF('03_Sensibilidades'!$C$16&lt;0,100-$K$254,$K$254)+ABS('03_Sensibilidades'!$C$17)*IF('03_Sensibilidades'!$C$17&lt;0,100-$K$263,$K$263))/(ABS('03_Sensibilidades'!$C$14)+ABS('03_Sensibilidades'!$C$15)+ABS('03_Sensibilidades'!$C$16)+ABS('03_Sensibilidades'!$C$17))</x:f>
        <x:v>55.13986206896552</x:v>
      </x:c>
      <x:c r="F1009" s="5" t="n">
        <x:f>(1-'00_Arquitectura'!$B$95)*D1009+'00_Arquitectura'!$B$95*E1009</x:f>
        <x:v>55.080331034482754</x:v>
      </x:c>
      <x:c r="G1009" s="5" t="n">
        <x:f>'02_Actores'!$I$8</x:f>
        <x:v>45</x:v>
      </x:c>
      <x:c r="H1009" s="5" t="n">
        <x:f>IF(OR(AND(F1009&lt;'00_Arquitectura'!$B$118,G1009&lt;'00_Arquitectura'!$B$119),F1009&lt;'00_Arquitectura'!$B$120),1,0)</x:f>
        <x:v>0</x:v>
      </x:c>
      <x:c r="I1009" s="5" t="n">
        <x:f>IF($I$991=1,IF(OR(AND(F1009&lt;'00_Arquitectura'!$B$121,G1009&lt;'00_Arquitectura'!$B$122),F1009&lt;'00_Arquitectura'!$B$123),1,0),IF(AND(H1009=1,$H$991=1),1,0))</x:f>
        <x:v>0</x:v>
      </x:c>
      <x:c r="J1009" s="5" t="n">
        <x:f>-I1009*2*'02_Actores'!$E$8/10</x:f>
        <x:v>0</x:v>
      </x:c>
      <x:c r="K1009" s="5" t="n">
        <x:f>$K$1007</x:f>
        <x:v>48.97527469360335</x:v>
      </x:c>
      <x:c r="L1009" s="5" t="str">
        <x:v>J programa offset para t+1; efecto sustituible y acotado, sin voto adicional.</x:v>
      </x:c>
    </x:row>
    <x:row r="1010" ht="34" customHeight="1">
      <x:c r="A1010" s="10" t="str">
        <x:v>S2_VIAL</x:v>
      </x:c>
      <x:c r="B1010" s="10" t="n">
        <x:v>4</x:v>
      </x:c>
      <x:c r="C1010" s="10" t="str">
        <x:v>sindicatos</x:v>
      </x:c>
      <x:c r="D1010" s="10" t="n">
        <x:f>$F$992</x:f>
        <x:v>48.32568965517241</x:v>
      </x:c>
      <x:c r="E1010" s="10" t="n">
        <x:f>(ABS('03_Sensibilidades'!$C$18)*IF('03_Sensibilidades'!$C$18&lt;0,100-$K$253,$K$253)+ABS('03_Sensibilidades'!$C$19)*IF('03_Sensibilidades'!$C$19&lt;0,100-$K$252,$K$252)+ABS('03_Sensibilidades'!$C$20)*IF('03_Sensibilidades'!$C$20&lt;0,100-$K$260,$K$260)+ABS('03_Sensibilidades'!$C$21)*IF('03_Sensibilidades'!$C$21&lt;0,100-$K$263,$K$263))/(ABS('03_Sensibilidades'!$C$18)+ABS('03_Sensibilidades'!$C$19)+ABS('03_Sensibilidades'!$C$20)+ABS('03_Sensibilidades'!$C$21))</x:f>
        <x:v>48.03448275862069</x:v>
      </x:c>
      <x:c r="F1010" s="10" t="n">
        <x:f>(1-'00_Arquitectura'!$B$95)*D1010+'00_Arquitectura'!$B$95*E1010</x:f>
        <x:v>48.223767241379306</x:v>
      </x:c>
      <x:c r="G1010" s="10" t="n">
        <x:f>'02_Actores'!$I$9</x:f>
        <x:v>45</x:v>
      </x:c>
      <x:c r="H1010" s="10" t="n">
        <x:f>IF(OR(AND(F1010&lt;'00_Arquitectura'!$B$118,G1010&lt;'00_Arquitectura'!$B$119),F1010&lt;'00_Arquitectura'!$B$120),1,0)</x:f>
        <x:v>0</x:v>
      </x:c>
      <x:c r="I1010" s="10" t="n">
        <x:f>IF($I$992=1,IF(OR(AND(F1010&lt;'00_Arquitectura'!$B$121,G1010&lt;'00_Arquitectura'!$B$122),F1010&lt;'00_Arquitectura'!$B$123),1,0),IF(AND(H1010=1,$H$992=1),1,0))</x:f>
        <x:v>0</x:v>
      </x:c>
      <x:c r="J1010" s="10" t="n">
        <x:f>-I1010*2*'02_Actores'!$E$9/10</x:f>
        <x:v>0</x:v>
      </x:c>
      <x:c r="K1010" s="10" t="n">
        <x:f>$K$1007</x:f>
        <x:v>48.97527469360335</x:v>
      </x:c>
      <x:c r="L1010" s="10" t="str">
        <x:v>J programa offset para t+1; efecto sustituible y acotado, sin voto adicional.</x:v>
      </x:c>
    </x:row>
    <x:row r="1011" ht="34" customHeight="1">
      <x:c r="A1011" s="5" t="str">
        <x:v>S2_VIAL</x:v>
      </x:c>
      <x:c r="B1011" s="5" t="n">
        <x:v>4</x:v>
      </x:c>
      <x:c r="C1011" s="5" t="str">
        <x:v>pymes</x:v>
      </x:c>
      <x:c r="D1011" s="5" t="n">
        <x:f>$F$993</x:f>
        <x:v>49.496379310344835</x:v>
      </x:c>
      <x:c r="E1011" s="5" t="n">
        <x:f>(ABS('03_Sensibilidades'!$C$22)*IF('03_Sensibilidades'!$C$22&lt;0,100-$K$254,$K$254)+ABS('03_Sensibilidades'!$C$23)*IF('03_Sensibilidades'!$C$23&lt;0,100-$K$252,$K$252)+ABS('03_Sensibilidades'!$C$24)*IF('03_Sensibilidades'!$C$24&lt;0,100-$K$257,$K$257)+ABS('03_Sensibilidades'!$C$25)*IF('03_Sensibilidades'!$C$25&lt;0,100-$K$251,$K$251))/(ABS('03_Sensibilidades'!$C$22)+ABS('03_Sensibilidades'!$C$23)+ABS('03_Sensibilidades'!$C$24)+ABS('03_Sensibilidades'!$C$25))</x:f>
        <x:v>50.1751724137931</x:v>
      </x:c>
      <x:c r="F1011" s="5" t="n">
        <x:f>(1-'00_Arquitectura'!$B$95)*D1011+'00_Arquitectura'!$B$95*E1011</x:f>
        <x:v>49.733956896551724</x:v>
      </x:c>
      <x:c r="G1011" s="5" t="n">
        <x:f>'02_Actores'!$I$10</x:f>
        <x:v>45</x:v>
      </x:c>
      <x:c r="H1011" s="5" t="n">
        <x:f>IF(OR(AND(F1011&lt;'00_Arquitectura'!$B$118,G1011&lt;'00_Arquitectura'!$B$119),F1011&lt;'00_Arquitectura'!$B$120),1,0)</x:f>
        <x:v>0</x:v>
      </x:c>
      <x:c r="I1011" s="5" t="n">
        <x:f>IF($I$993=1,IF(OR(AND(F1011&lt;'00_Arquitectura'!$B$121,G1011&lt;'00_Arquitectura'!$B$122),F1011&lt;'00_Arquitectura'!$B$123),1,0),IF(AND(H1011=1,$H$993=1),1,0))</x:f>
        <x:v>0</x:v>
      </x:c>
      <x:c r="J1011" s="5" t="n">
        <x:f>-I1011*2*'02_Actores'!$E$10/10</x:f>
        <x:v>0</x:v>
      </x:c>
      <x:c r="K1011" s="5" t="n">
        <x:f>$K$1007</x:f>
        <x:v>48.97527469360335</x:v>
      </x:c>
      <x:c r="L1011" s="5" t="str">
        <x:v>J programa offset para t+1; efecto sustituible y acotado, sin voto adicional.</x:v>
      </x:c>
    </x:row>
    <x:row r="1012" ht="34" customHeight="1">
      <x:c r="A1012" s="10" t="str">
        <x:v>S2_VIAL</x:v>
      </x:c>
      <x:c r="B1012" s="10" t="n">
        <x:v>4</x:v>
      </x:c>
      <x:c r="C1012" s="10" t="str">
        <x:v>clase_media</x:v>
      </x:c>
      <x:c r="D1012" s="10" t="n">
        <x:f>$F$994</x:f>
        <x:v>48.37222222222222</x:v>
      </x:c>
      <x:c r="E1012" s="10" t="n">
        <x:f>(ABS('03_Sensibilidades'!$C$26)*IF('03_Sensibilidades'!$C$26&lt;0,100-$K$253,$K$253)+ABS('03_Sensibilidades'!$C$27)*IF('03_Sensibilidades'!$C$27&lt;0,100-$K$261,$K$261)+ABS('03_Sensibilidades'!$C$28)*IF('03_Sensibilidades'!$C$28&lt;0,100-$K$258,$K$258)+ABS('03_Sensibilidades'!$C$29)*IF('03_Sensibilidades'!$C$29&lt;0,100-$K$251,$K$251))/(ABS('03_Sensibilidades'!$C$26)+ABS('03_Sensibilidades'!$C$27)+ABS('03_Sensibilidades'!$C$28)+ABS('03_Sensibilidades'!$C$29))</x:f>
        <x:v>48.44444444444444</x:v>
      </x:c>
      <x:c r="F1012" s="10" t="n">
        <x:f>(1-'00_Arquitectura'!$B$95)*D1012+'00_Arquitectura'!$B$95*E1012</x:f>
        <x:v>48.397499999999994</x:v>
      </x:c>
      <x:c r="G1012" s="10" t="n">
        <x:f>'02_Actores'!$I$11</x:f>
        <x:v>45</x:v>
      </x:c>
      <x:c r="H1012" s="10" t="n">
        <x:f>IF(OR(AND(F1012&lt;'00_Arquitectura'!$B$118,G1012&lt;'00_Arquitectura'!$B$119),F1012&lt;'00_Arquitectura'!$B$120),1,0)</x:f>
        <x:v>0</x:v>
      </x:c>
      <x:c r="I1012" s="10" t="n">
        <x:f>IF($I$994=1,IF(OR(AND(F1012&lt;'00_Arquitectura'!$B$121,G1012&lt;'00_Arquitectura'!$B$122),F1012&lt;'00_Arquitectura'!$B$123),1,0),IF(AND(H1012=1,$H$994=1),1,0))</x:f>
        <x:v>0</x:v>
      </x:c>
      <x:c r="J1012" s="10" t="n">
        <x:f>0</x:f>
        <x:v>0</x:v>
      </x:c>
      <x:c r="K1012" s="10" t="n">
        <x:f>$K$1007</x:f>
        <x:v>48.97527469360335</x:v>
      </x:c>
      <x:c r="L1012" s="10" t="str">
        <x:v>Canal directo sólo al índice social; sin bono de popularidad.</x:v>
      </x:c>
    </x:row>
    <x:row r="1013" ht="34" customHeight="1">
      <x:c r="A1013" s="5" t="str">
        <x:v>S2_VIAL</x:v>
      </x:c>
      <x:c r="B1013" s="5" t="n">
        <x:v>4</x:v>
      </x:c>
      <x:c r="C1013" s="5" t="str">
        <x:v>cooperativas</x:v>
      </x:c>
      <x:c r="D1013" s="5" t="n">
        <x:f>$F$995</x:f>
        <x:v>48.07722222222222</x:v>
      </x:c>
      <x:c r="E1013" s="5" t="n">
        <x:f>(ABS('03_Sensibilidades'!$C$30)*IF('03_Sensibilidades'!$C$30&lt;0,100-$K$254,$K$254)+ABS('03_Sensibilidades'!$C$31)*IF('03_Sensibilidades'!$C$31&lt;0,100-$K$252,$K$252)+ABS('03_Sensibilidades'!$C$32)*IF('03_Sensibilidades'!$C$32&lt;0,100-$K$260,$K$260)+ABS('03_Sensibilidades'!$C$33)*IF('03_Sensibilidades'!$C$33&lt;0,100-$K$263,$K$263))/(ABS('03_Sensibilidades'!$C$30)+ABS('03_Sensibilidades'!$C$31)+ABS('03_Sensibilidades'!$C$32)+ABS('03_Sensibilidades'!$C$33))</x:f>
        <x:v>47.77985185185185</x:v>
      </x:c>
      <x:c r="F1013" s="5" t="n">
        <x:f>(1-'00_Arquitectura'!$B$95)*D1013+'00_Arquitectura'!$B$95*E1013</x:f>
        <x:v>47.973142592592595</x:v>
      </x:c>
      <x:c r="G1013" s="5" t="n">
        <x:f>'02_Actores'!$I$12</x:f>
        <x:v>45</x:v>
      </x:c>
      <x:c r="H1013" s="5" t="n">
        <x:f>IF(OR(AND(F1013&lt;'00_Arquitectura'!$B$118,G1013&lt;'00_Arquitectura'!$B$119),F1013&lt;'00_Arquitectura'!$B$120),1,0)</x:f>
        <x:v>0</x:v>
      </x:c>
      <x:c r="I1013" s="5" t="n">
        <x:f>IF($I$995=1,IF(OR(AND(F1013&lt;'00_Arquitectura'!$B$121,G1013&lt;'00_Arquitectura'!$B$122),F1013&lt;'00_Arquitectura'!$B$123),1,0),IF(AND(H1013=1,$H$995=1),1,0))</x:f>
        <x:v>0</x:v>
      </x:c>
      <x:c r="J1013" s="5" t="n">
        <x:f>-I1013*1.5*'02_Actores'!$E$12/10</x:f>
        <x:v>0</x:v>
      </x:c>
      <x:c r="K1013" s="5" t="n">
        <x:f>$K$1007</x:f>
        <x:v>48.97527469360335</x:v>
      </x:c>
      <x:c r="L1013" s="5" t="str">
        <x:v>J programa offset para t+1; efecto sustituible y acotado, sin voto adicional.</x:v>
      </x:c>
    </x:row>
    <x:row r="1014" ht="42" customHeight="1">
      <x:c r="A1014" s="10" t="str">
        <x:v>S2_VIAL</x:v>
      </x:c>
      <x:c r="B1014" s="10" t="n">
        <x:v>4</x:v>
      </x:c>
      <x:c r="C1014" s="10" t="str">
        <x:v>estudiantes</x:v>
      </x:c>
      <x:c r="D1014" s="10" t="n">
        <x:f>$F$996</x:f>
        <x:v>49.221000000000004</x:v>
      </x:c>
      <x:c r="E1014" s="10" t="n">
        <x:f>(ABS('03_Sensibilidades'!$C$34)*IF('03_Sensibilidades'!$C$34&lt;0,100-$K$258,$K$258)+ABS('03_Sensibilidades'!$C$35)*IF('03_Sensibilidades'!$C$35&lt;0,100-$K$253,$K$253)+ABS('03_Sensibilidades'!$C$36)*IF('03_Sensibilidades'!$C$36&lt;0,100-$K$263,$K$263)+ABS('03_Sensibilidades'!$C$37)*IF('03_Sensibilidades'!$C$37&lt;0,100-$K$262,$K$262))/(ABS('03_Sensibilidades'!$C$34)+ABS('03_Sensibilidades'!$C$35)+ABS('03_Sensibilidades'!$C$36)+ABS('03_Sensibilidades'!$C$37))</x:f>
        <x:v>49.26</x:v>
      </x:c>
      <x:c r="F1014" s="10" t="n">
        <x:f>(1-'00_Arquitectura'!$B$95)*D1014+'00_Arquitectura'!$B$95*E1014</x:f>
        <x:v>49.23465</x:v>
      </x:c>
      <x:c r="G1014" s="10" t="n">
        <x:f>'02_Actores'!$I$13</x:f>
        <x:v>45</x:v>
      </x:c>
      <x:c r="H1014" s="10" t="n">
        <x:f>IF(OR(AND(F1014&lt;'00_Arquitectura'!$B$118,G1014&lt;'00_Arquitectura'!$B$119),F1014&lt;'00_Arquitectura'!$B$120),1,0)</x:f>
        <x:v>0</x:v>
      </x:c>
      <x:c r="I1014" s="10" t="n">
        <x:f>IF($I$996=1,IF(OR(AND(F1014&lt;'00_Arquitectura'!$B$121,G1014&lt;'00_Arquitectura'!$B$122),F1014&lt;'00_Arquitectura'!$B$123),1,0),IF(AND(H1014=1,$H$996=1),1,0))</x:f>
        <x:v>0</x:v>
      </x:c>
      <x:c r="J1014" s="10" t="n">
        <x:f>0</x:f>
        <x:v>0</x:v>
      </x:c>
      <x:c r="K1014" s="10" t="n">
        <x:f>$K$1007</x:f>
        <x:v>48.97527469360335</x:v>
      </x:c>
      <x:c r="L1014" s="10" t="str">
        <x:v>Conflicto activo captura menor eficacia en políticas ejecutadas en t+1. Magnitud0 en J: no es un offset directo de indicador.</x:v>
      </x:c>
    </x:row>
    <x:row r="1015" ht="34" customHeight="1">
      <x:c r="A1015" s="5" t="str">
        <x:v>S2_VIAL</x:v>
      </x:c>
      <x:c r="B1015" s="5" t="n">
        <x:v>4</x:v>
      </x:c>
      <x:c r="C1015" s="5" t="str">
        <x:v>docentes</x:v>
      </x:c>
      <x:c r="D1015" s="5" t="n">
        <x:f>$F$997</x:f>
        <x:v>48.95413043478261</x:v>
      </x:c>
      <x:c r="E1015" s="5" t="n">
        <x:f>(ABS('03_Sensibilidades'!$C$38)*IF('03_Sensibilidades'!$C$38&lt;0,100-$K$258,$K$258)+ABS('03_Sensibilidades'!$C$39)*IF('03_Sensibilidades'!$C$39&lt;0,100-$K$253,$K$253)+ABS('03_Sensibilidades'!$C$40)*IF('03_Sensibilidades'!$C$40&lt;0,100-$K$263,$K$263))/(ABS('03_Sensibilidades'!$C$38)+ABS('03_Sensibilidades'!$C$39)+ABS('03_Sensibilidades'!$C$40))</x:f>
        <x:v>49.0304347826087</x:v>
      </x:c>
      <x:c r="F1015" s="5" t="n">
        <x:f>(1-'00_Arquitectura'!$B$95)*D1015+'00_Arquitectura'!$B$95*E1015</x:f>
        <x:v>48.98083695652174</x:v>
      </x:c>
      <x:c r="G1015" s="5" t="n">
        <x:f>'02_Actores'!$I$14</x:f>
        <x:v>45</x:v>
      </x:c>
      <x:c r="H1015" s="5" t="n">
        <x:f>IF(OR(AND(F1015&lt;'00_Arquitectura'!$B$118,G1015&lt;'00_Arquitectura'!$B$119),F1015&lt;'00_Arquitectura'!$B$120),1,0)</x:f>
        <x:v>0</x:v>
      </x:c>
      <x:c r="I1015" s="5" t="n">
        <x:f>IF($I$997=1,IF(OR(AND(F1015&lt;'00_Arquitectura'!$B$121,G1015&lt;'00_Arquitectura'!$B$122),F1015&lt;'00_Arquitectura'!$B$123),1,0),IF(AND(H1015=1,$H$997=1),1,0))</x:f>
        <x:v>0</x:v>
      </x:c>
      <x:c r="J1015" s="5" t="n">
        <x:f>-I1015*1.5*'02_Actores'!$E$14/10</x:f>
        <x:v>0</x:v>
      </x:c>
      <x:c r="K1015" s="5" t="n">
        <x:f>$K$1007</x:f>
        <x:v>48.97527469360335</x:v>
      </x:c>
      <x:c r="L1015" s="5" t="str">
        <x:v>J programa offset para t+1; efecto sustituible y acotado, sin voto adicional.</x:v>
      </x:c>
    </x:row>
    <x:row r="1016" ht="34" customHeight="1">
      <x:c r="A1016" s="10" t="str">
        <x:v>S2_VIAL</x:v>
      </x:c>
      <x:c r="B1016" s="10" t="n">
        <x:v>4</x:v>
      </x:c>
      <x:c r="C1016" s="10" t="str">
        <x:v>cientificos</x:v>
      </x:c>
      <x:c r="D1016" s="10" t="n">
        <x:f>$F$998</x:f>
        <x:v>46.59090909090909</x:v>
      </x:c>
      <x:c r="E1016" s="10" t="n">
        <x:f>(ABS('03_Sensibilidades'!$C$41)*IF('03_Sensibilidades'!$C$41&lt;0,100-$K$262,$K$262)+ABS('03_Sensibilidades'!$C$42)*IF('03_Sensibilidades'!$C$42&lt;0,100-$K$258,$K$258)+ABS('03_Sensibilidades'!$C$43)*IF('03_Sensibilidades'!$C$43&lt;0,100-$K$263,$K$263))/(ABS('03_Sensibilidades'!$C$41)+ABS('03_Sensibilidades'!$C$42)+ABS('03_Sensibilidades'!$C$43))</x:f>
        <x:v>46.59090909090909</x:v>
      </x:c>
      <x:c r="F1016" s="10" t="n">
        <x:f>(1-'00_Arquitectura'!$B$95)*D1016+'00_Arquitectura'!$B$95*E1016</x:f>
        <x:v>46.59090909090909</x:v>
      </x:c>
      <x:c r="G1016" s="10" t="n">
        <x:f>'02_Actores'!$I$15</x:f>
        <x:v>45</x:v>
      </x:c>
      <x:c r="H1016" s="10" t="n">
        <x:f>IF(OR(AND(F1016&lt;'00_Arquitectura'!$B$118,G1016&lt;'00_Arquitectura'!$B$119),F1016&lt;'00_Arquitectura'!$B$120),1,0)</x:f>
        <x:v>0</x:v>
      </x:c>
      <x:c r="I1016" s="10" t="n">
        <x:f>IF($I$998=1,IF(OR(AND(F1016&lt;'00_Arquitectura'!$B$121,G1016&lt;'00_Arquitectura'!$B$122),F1016&lt;'00_Arquitectura'!$B$123),1,0),IF(AND(H1016=1,$H$998=1),1,0))</x:f>
        <x:v>0</x:v>
      </x:c>
      <x:c r="J1016" s="10" t="n">
        <x:f>-I1016*1.5*'02_Actores'!$E$15/10</x:f>
        <x:v>0</x:v>
      </x:c>
      <x:c r="K1016" s="10" t="n">
        <x:f>$K$1007</x:f>
        <x:v>48.97527469360335</x:v>
      </x:c>
      <x:c r="L1016" s="10" t="str">
        <x:v>J programa offset para t+1; efecto sustituible y acotado, sin voto adicional.</x:v>
      </x:c>
    </x:row>
    <x:row r="1017" ht="34" customHeight="1">
      <x:c r="A1017" s="5" t="str">
        <x:v>S2_VIAL</x:v>
      </x:c>
      <x:c r="B1017" s="5" t="n">
        <x:v>4</x:v>
      </x:c>
      <x:c r="C1017" s="5" t="str">
        <x:v>organizaciones</x:v>
      </x:c>
      <x:c r="D1017" s="5" t="n">
        <x:f>$F$999</x:f>
        <x:v>49.354642857142856</x:v>
      </x:c>
      <x:c r="E1017" s="5" t="n">
        <x:f>(ABS('03_Sensibilidades'!$C$44)*IF('03_Sensibilidades'!$C$44&lt;0,100-$K$260,$K$260)+ABS('03_Sensibilidades'!$C$45)*IF('03_Sensibilidades'!$C$45&lt;0,100-$K$259,$K$259)+ABS('03_Sensibilidades'!$C$46)*IF('03_Sensibilidades'!$C$46&lt;0,100-$K$252,$K$252)+ABS('03_Sensibilidades'!$C$47)*IF('03_Sensibilidades'!$C$47&lt;0,100-$K$263,$K$263))/(ABS('03_Sensibilidades'!$C$44)+ABS('03_Sensibilidades'!$C$45)+ABS('03_Sensibilidades'!$C$46)+ABS('03_Sensibilidades'!$C$47))</x:f>
        <x:v>49.107142857142854</x:v>
      </x:c>
      <x:c r="F1017" s="5" t="n">
        <x:f>(1-'00_Arquitectura'!$B$95)*D1017+'00_Arquitectura'!$B$95*E1017</x:f>
        <x:v>49.26801785714285</x:v>
      </x:c>
      <x:c r="G1017" s="5" t="n">
        <x:f>'02_Actores'!$I$16</x:f>
        <x:v>45</x:v>
      </x:c>
      <x:c r="H1017" s="5" t="n">
        <x:f>IF(OR(AND(F1017&lt;'00_Arquitectura'!$B$118,G1017&lt;'00_Arquitectura'!$B$119),F1017&lt;'00_Arquitectura'!$B$120),1,0)</x:f>
        <x:v>0</x:v>
      </x:c>
      <x:c r="I1017" s="5" t="n">
        <x:f>IF($I$999=1,IF(OR(AND(F1017&lt;'00_Arquitectura'!$B$121,G1017&lt;'00_Arquitectura'!$B$122),F1017&lt;'00_Arquitectura'!$B$123),1,0),IF(AND(H1017=1,$H$999=1),1,0))</x:f>
        <x:v>0</x:v>
      </x:c>
      <x:c r="J1017" s="5" t="n">
        <x:f>-I1017*1.5*'02_Actores'!$E$16/10</x:f>
        <x:v>0</x:v>
      </x:c>
      <x:c r="K1017" s="5" t="n">
        <x:f>$K$1007</x:f>
        <x:v>48.97527469360335</x:v>
      </x:c>
      <x:c r="L1017" s="5" t="str">
        <x:v>J programa offset para t+1; efecto sustituible y acotado, sin voto adicional.</x:v>
      </x:c>
    </x:row>
    <x:row r="1018" ht="42" customHeight="1">
      <x:c r="A1018" s="10" t="str">
        <x:v>S2_VIAL</x:v>
      </x:c>
      <x:c r="B1018" s="10" t="n">
        <x:v>4</x:v>
      </x:c>
      <x:c r="C1018" s="10" t="str">
        <x:v>ddhh</x:v>
      </x:c>
      <x:c r="D1018" s="10" t="n">
        <x:f>$F$1000</x:f>
        <x:v>50.88235294117648</x:v>
      </x:c>
      <x:c r="E1018" s="10" t="n">
        <x:f>(ABS('03_Sensibilidades'!$C$48)*IF('03_Sensibilidades'!$C$48&lt;0,100-$K$263,$K$263)+ABS('03_Sensibilidades'!$C$49)*IF('03_Sensibilidades'!$C$49&lt;0,100-$K$261,$K$261)+ABS('03_Sensibilidades'!$C$50)*IF('03_Sensibilidades'!$C$50&lt;0,100-$K$260,$K$260))/(ABS('03_Sensibilidades'!$C$48)+ABS('03_Sensibilidades'!$C$49)+ABS('03_Sensibilidades'!$C$50))</x:f>
        <x:v>50.88235294117647</x:v>
      </x:c>
      <x:c r="F1018" s="10" t="n">
        <x:f>(1-'00_Arquitectura'!$B$95)*D1018+'00_Arquitectura'!$B$95*E1018</x:f>
        <x:v>50.88235294117648</x:v>
      </x:c>
      <x:c r="G1018" s="10" t="n">
        <x:f>'02_Actores'!$I$17</x:f>
        <x:v>45</x:v>
      </x:c>
      <x:c r="H1018" s="10" t="n">
        <x:f>IF(OR(AND(F1018&lt;'00_Arquitectura'!$B$118,G1018&lt;'00_Arquitectura'!$B$119),F1018&lt;'00_Arquitectura'!$B$120),1,0)</x:f>
        <x:v>0</x:v>
      </x:c>
      <x:c r="I1018" s="10" t="n">
        <x:f>IF($I$1000=1,IF(OR(AND(F1018&lt;'00_Arquitectura'!$B$121,G1018&lt;'00_Arquitectura'!$B$122),F1018&lt;'00_Arquitectura'!$B$123),1,0),IF(AND(H1018=1,$H$1000=1),1,0))</x:f>
        <x:v>0</x:v>
      </x:c>
      <x:c r="J1018" s="10" t="n">
        <x:f>0</x:f>
        <x:v>0</x:v>
      </x:c>
      <x:c r="K1018" s="10" t="n">
        <x:f>$K$1007</x:f>
        <x:v>48.97527469360335</x:v>
      </x:c>
      <x:c r="L1018" s="10" t="str">
        <x:v>Conflicto activo captura menor eficacia en políticas ejecutadas en t+1. Magnitud0 en J: no es un offset directo de indicador.</x:v>
      </x:c>
    </x:row>
    <x:row r="1019" ht="42" customHeight="1">
      <x:c r="A1019" s="5" t="str">
        <x:v>S2_VIAL</x:v>
      </x:c>
      <x:c r="B1019" s="5" t="n">
        <x:v>4</x:v>
      </x:c>
      <x:c r="C1019" s="5" t="str">
        <x:v>ambientalistas</x:v>
      </x:c>
      <x:c r="D1019" s="5" t="n">
        <x:f>$F$1001</x:f>
        <x:v>51.388888888888886</x:v>
      </x:c>
      <x:c r="E1019" s="5" t="n">
        <x:f>(ABS('03_Sensibilidades'!$C$51)*IF('03_Sensibilidades'!$C$51&lt;0,100-$K$264,$K$264)+ABS('03_Sensibilidades'!$C$52)*IF('03_Sensibilidades'!$C$52&lt;0,100-$K$263,$K$263)+ABS('03_Sensibilidades'!$C$53)*IF('03_Sensibilidades'!$C$53&lt;0,100-$K$259,$K$259))/(ABS('03_Sensibilidades'!$C$51)+ABS('03_Sensibilidades'!$C$52)+ABS('03_Sensibilidades'!$C$53))</x:f>
        <x:v>50.27777777777778</x:v>
      </x:c>
      <x:c r="F1019" s="5" t="n">
        <x:f>(1-'00_Arquitectura'!$B$95)*D1019+'00_Arquitectura'!$B$95*E1019</x:f>
        <x:v>51</x:v>
      </x:c>
      <x:c r="G1019" s="5" t="n">
        <x:f>'02_Actores'!$I$18</x:f>
        <x:v>45</x:v>
      </x:c>
      <x:c r="H1019" s="5" t="n">
        <x:f>IF(OR(AND(F1019&lt;'00_Arquitectura'!$B$118,G1019&lt;'00_Arquitectura'!$B$119),F1019&lt;'00_Arquitectura'!$B$120),1,0)</x:f>
        <x:v>0</x:v>
      </x:c>
      <x:c r="I1019" s="5" t="n">
        <x:f>IF($I$1001=1,IF(OR(AND(F1019&lt;'00_Arquitectura'!$B$121,G1019&lt;'00_Arquitectura'!$B$122),F1019&lt;'00_Arquitectura'!$B$123),1,0),IF(AND(H1019=1,$H$1001=1),1,0))</x:f>
        <x:v>0</x:v>
      </x:c>
      <x:c r="J1019" s="5" t="n">
        <x:f>0</x:f>
        <x:v>0</x:v>
      </x:c>
      <x:c r="K1019" s="5" t="n">
        <x:f>$K$1007</x:f>
        <x:v>48.97527469360335</x:v>
      </x:c>
      <x:c r="L1019" s="5" t="str">
        <x:v>Conflicto activo captura menor eficacia en políticas ejecutadas en t+1. Magnitud0 en J: no es un offset directo de indicador.</x:v>
      </x:c>
    </x:row>
    <x:row r="1020" ht="34" customHeight="1">
      <x:c r="A1020" s="10" t="str">
        <x:v>S2_VIAL</x:v>
      </x:c>
      <x:c r="B1020" s="10" t="n">
        <x:v>4</x:v>
      </x:c>
      <x:c r="C1020" s="10" t="str">
        <x:v>cultura</x:v>
      </x:c>
      <x:c r="D1020" s="10" t="n">
        <x:f>$F$1002</x:f>
        <x:v>50.8171052631579</x:v>
      </x:c>
      <x:c r="E1020" s="10" t="n">
        <x:f>(ABS('03_Sensibilidades'!$C$54)*IF('03_Sensibilidades'!$C$54&lt;0,100-$K$263,$K$263)+ABS('03_Sensibilidades'!$C$55)*IF('03_Sensibilidades'!$C$55&lt;0,100-$K$258,$K$258)+ABS('03_Sensibilidades'!$C$56)*IF('03_Sensibilidades'!$C$56&lt;0,100-$K$253,$K$253))/(ABS('03_Sensibilidades'!$C$54)+ABS('03_Sensibilidades'!$C$55)+ABS('03_Sensibilidades'!$C$56))</x:f>
        <x:v>50.86842105263158</x:v>
      </x:c>
      <x:c r="F1020" s="10" t="n">
        <x:f>(1-'00_Arquitectura'!$B$95)*D1020+'00_Arquitectura'!$B$95*E1020</x:f>
        <x:v>50.83506578947369</x:v>
      </x:c>
      <x:c r="G1020" s="10" t="n">
        <x:f>'02_Actores'!$I$19</x:f>
        <x:v>45</x:v>
      </x:c>
      <x:c r="H1020" s="10" t="n">
        <x:f>IF(OR(AND(F1020&lt;'00_Arquitectura'!$B$118,G1020&lt;'00_Arquitectura'!$B$119),F1020&lt;'00_Arquitectura'!$B$120),1,0)</x:f>
        <x:v>0</x:v>
      </x:c>
      <x:c r="I1020" s="10" t="n">
        <x:f>IF($I$1002=1,IF(OR(AND(F1020&lt;'00_Arquitectura'!$B$121,G1020&lt;'00_Arquitectura'!$B$122),F1020&lt;'00_Arquitectura'!$B$123),1,0),IF(AND(H1020=1,$H$1002=1),1,0))</x:f>
        <x:v>0</x:v>
      </x:c>
      <x:c r="J1020" s="10" t="n">
        <x:f>0</x:f>
        <x:v>0</x:v>
      </x:c>
      <x:c r="K1020" s="10" t="n">
        <x:f>$K$1007</x:f>
        <x:v>48.97527469360335</x:v>
      </x:c>
      <x:c r="L1020" s="10" t="str">
        <x:v>Conflicto activo encarece agenda del turno siguiente; sin castigo electoral adicional.</x:v>
      </x:c>
    </x:row>
    <x:row r="1021" ht="34" customHeight="1">
      <x:c r="A1021" s="5" t="str">
        <x:v>S2_VIAL</x:v>
      </x:c>
      <x:c r="B1021" s="5" t="n">
        <x:v>4</x:v>
      </x:c>
      <x:c r="C1021" s="5" t="str">
        <x:v>oficialismo</x:v>
      </x:c>
      <x:c r="D1021" s="5" t="n">
        <x:f>$F$1003</x:f>
        <x:v>52.523199999999996</x:v>
      </x:c>
      <x:c r="E1021" s="5" t="n">
        <x:f>(ABS('03_Sensibilidades'!$C$57)*IF('03_Sensibilidades'!$C$57&lt;0,100-$K$263,$K$263)+ABS('03_Sensibilidades'!$C$58)*IF('03_Sensibilidades'!$C$58&lt;0,100-$K$252,$K$252)+ABS('03_Sensibilidades'!$C$59)*IF('03_Sensibilidades'!$C$59&lt;0,100-$K$255,$K$255)+ABS('03_Sensibilidades'!$C$60)*IF('03_Sensibilidades'!$C$60&lt;0,100-$K$260,$K$260))/(ABS('03_Sensibilidades'!$C$57)+ABS('03_Sensibilidades'!$C$58)+ABS('03_Sensibilidades'!$C$59)+ABS('03_Sensibilidades'!$C$60))</x:f>
        <x:v>52.216</x:v>
      </x:c>
      <x:c r="F1021" s="5" t="n">
        <x:f>(1-'00_Arquitectura'!$B$95)*D1021+'00_Arquitectura'!$B$95*E1021</x:f>
        <x:v>52.415679999999995</x:v>
      </x:c>
      <x:c r="G1021" s="5" t="n">
        <x:f>'02_Actores'!$I$20</x:f>
        <x:v>60</x:v>
      </x:c>
      <x:c r="H1021" s="5" t="n">
        <x:f>IF(OR(AND(F1021&lt;'00_Arquitectura'!$B$118,G1021&lt;'00_Arquitectura'!$B$119),F1021&lt;'00_Arquitectura'!$B$120),1,0)</x:f>
        <x:v>0</x:v>
      </x:c>
      <x:c r="I1021" s="5" t="n">
        <x:f>IF($I$1003=1,IF(OR(AND(F1021&lt;'00_Arquitectura'!$B$121,G1021&lt;'00_Arquitectura'!$B$122),F1021&lt;'00_Arquitectura'!$B$123),1,0),IF(AND(H1021=1,$H$1003=1),1,0))</x:f>
        <x:v>0</x:v>
      </x:c>
      <x:c r="J1021" s="5" t="n">
        <x:f>0</x:f>
        <x:v>0</x:v>
      </x:c>
      <x:c r="K1021" s="5" t="n">
        <x:f>$K$1007</x:f>
        <x:v>48.97527469360335</x:v>
      </x:c>
      <x:c r="L1021" s="5" t="str">
        <x:v>No aporta E_social; S y R alimentan disposición a leyes según07.</x:v>
      </x:c>
    </x:row>
    <x:row r="1022" ht="34" customHeight="1">
      <x:c r="A1022" s="10" t="str">
        <x:v>S2_VIAL</x:v>
      </x:c>
      <x:c r="B1022" s="10" t="n">
        <x:v>4</x:v>
      </x:c>
      <x:c r="C1022" s="10" t="str">
        <x:v>aliados</x:v>
      </x:c>
      <x:c r="D1022" s="10" t="n">
        <x:f>$F$1004</x:f>
        <x:v>53.189523809523806</x:v>
      </x:c>
      <x:c r="E1022" s="10" t="n">
        <x:f>(ABS('03_Sensibilidades'!$C$61)*IF('03_Sensibilidades'!$C$61&lt;0,100-$K$263,$K$263)+ABS('03_Sensibilidades'!$C$62)*IF('03_Sensibilidades'!$C$62&lt;0,100-$K$255,$K$255)+ABS('03_Sensibilidades'!$C$63)*IF('03_Sensibilidades'!$C$63&lt;0,100-$K$257,$K$257))/(ABS('03_Sensibilidades'!$C$61)+ABS('03_Sensibilidades'!$C$62)+ABS('03_Sensibilidades'!$C$63))</x:f>
        <x:v>54.99047619047619</x:v>
      </x:c>
      <x:c r="F1022" s="10" t="n">
        <x:f>(1-'00_Arquitectura'!$B$95)*D1022+'00_Arquitectura'!$B$95*E1022</x:f>
        <x:v>53.81985714285714</x:v>
      </x:c>
      <x:c r="G1022" s="10" t="n">
        <x:f>'02_Actores'!$I$21</x:f>
        <x:v>45</x:v>
      </x:c>
      <x:c r="H1022" s="10" t="n">
        <x:f>IF(OR(AND(F1022&lt;'00_Arquitectura'!$B$118,G1022&lt;'00_Arquitectura'!$B$119),F1022&lt;'00_Arquitectura'!$B$120),1,0)</x:f>
        <x:v>0</x:v>
      </x:c>
      <x:c r="I1022" s="10" t="n">
        <x:f>IF($I$1004=1,IF(OR(AND(F1022&lt;'00_Arquitectura'!$B$121,G1022&lt;'00_Arquitectura'!$B$122),F1022&lt;'00_Arquitectura'!$B$123),1,0),IF(AND(H1022=1,$H$1004=1),1,0))</x:f>
        <x:v>0</x:v>
      </x:c>
      <x:c r="J1022" s="10" t="n">
        <x:f>0</x:f>
        <x:v>0</x:v>
      </x:c>
      <x:c r="K1022" s="10" t="n">
        <x:f>$K$1007</x:f>
        <x:v>48.97527469360335</x:v>
      </x:c>
      <x:c r="L1022" s="10" t="str">
        <x:v>No aporta E_social; S y R alimentan disposición a leyes según07.</x:v>
      </x:c>
    </x:row>
    <x:row r="1023" ht="34" customHeight="1">
      <x:c r="A1023" s="5" t="str">
        <x:v>S2_VIAL</x:v>
      </x:c>
      <x:c r="B1023" s="5" t="n">
        <x:v>4</x:v>
      </x:c>
      <x:c r="C1023" s="5" t="str">
        <x:v>oposicion</x:v>
      </x:c>
      <x:c r="D1023" s="5" t="n">
        <x:f>$F$1005</x:f>
        <x:v>53.94200000000001</x:v>
      </x:c>
      <x:c r="E1023" s="5" t="n">
        <x:f>(ABS('03_Sensibilidades'!$C$64)*IF('03_Sensibilidades'!$C$64&lt;0,100-$K$263,$K$263)+ABS('03_Sensibilidades'!$C$65)*IF('03_Sensibilidades'!$C$65&lt;0,100-$K$255,$K$255)+ABS('03_Sensibilidades'!$C$66)*IF('03_Sensibilidades'!$C$66&lt;0,100-$K$261,$K$261))/(ABS('03_Sensibilidades'!$C$64)+ABS('03_Sensibilidades'!$C$65)+ABS('03_Sensibilidades'!$C$66))</x:f>
        <x:v>54.02</x:v>
      </x:c>
      <x:c r="F1023" s="5" t="n">
        <x:f>(1-'00_Arquitectura'!$B$95)*D1023+'00_Arquitectura'!$B$95*E1023</x:f>
        <x:v>53.969300000000004</x:v>
      </x:c>
      <x:c r="G1023" s="5" t="n">
        <x:f>'02_Actores'!$I$22</x:f>
        <x:v>30</x:v>
      </x:c>
      <x:c r="H1023" s="5" t="n">
        <x:f>IF(OR(AND(F1023&lt;'00_Arquitectura'!$B$118,G1023&lt;'00_Arquitectura'!$B$119),F1023&lt;'00_Arquitectura'!$B$120),1,0)</x:f>
        <x:v>0</x:v>
      </x:c>
      <x:c r="I1023" s="5" t="n">
        <x:f>IF($I$1005=1,IF(OR(AND(F1023&lt;'00_Arquitectura'!$B$121,G1023&lt;'00_Arquitectura'!$B$122),F1023&lt;'00_Arquitectura'!$B$123),1,0),IF(AND(H1023=1,$H$1005=1),1,0))</x:f>
        <x:v>0</x:v>
      </x:c>
      <x:c r="J1023" s="5" t="n">
        <x:f>0</x:f>
        <x:v>0</x:v>
      </x:c>
      <x:c r="K1023" s="5" t="n">
        <x:f>$K$1007</x:f>
        <x:v>48.97527469360335</x:v>
      </x:c>
      <x:c r="L1023" s="5" t="str">
        <x:v>No aporta E_social; S y R alimentan disposición a leyes según07.</x:v>
      </x:c>
    </x:row>
    <x:row r="1024" ht="42" customHeight="1">
      <x:c r="A1024" s="10" t="str">
        <x:v>S2_VIAL</x:v>
      </x:c>
      <x:c r="B1024" s="10" t="n">
        <x:v>4</x:v>
      </x:c>
      <x:c r="C1024" s="10" t="str">
        <x:v>gobernadores</x:v>
      </x:c>
      <x:c r="D1024" s="10" t="n">
        <x:f>$F$1006</x:f>
        <x:v>50.13241379310345</x:v>
      </x:c>
      <x:c r="E1024" s="10" t="n">
        <x:f>(ABS('03_Sensibilidades'!$C$67)*IF('03_Sensibilidades'!$C$67&lt;0,100-$K$257,$K$257)+ABS('03_Sensibilidades'!$C$68)*IF('03_Sensibilidades'!$C$68&lt;0,100-$K$259,$K$259)+ABS('03_Sensibilidades'!$C$69)*IF('03_Sensibilidades'!$C$69&lt;0,100-$K$258,$K$258)+ABS('03_Sensibilidades'!$C$70)*IF('03_Sensibilidades'!$C$70&lt;0,100-$K$255,$K$255))/(ABS('03_Sensibilidades'!$C$67)+ABS('03_Sensibilidades'!$C$68)+ABS('03_Sensibilidades'!$C$69)+ABS('03_Sensibilidades'!$C$70))</x:f>
        <x:v>52.04827586206897</x:v>
      </x:c>
      <x:c r="F1024" s="10" t="n">
        <x:f>(1-'00_Arquitectura'!$B$95)*D1024+'00_Arquitectura'!$B$95*E1024</x:f>
        <x:v>50.802965517241375</x:v>
      </x:c>
      <x:c r="G1024" s="10" t="n">
        <x:f>'02_Actores'!$I$23</x:f>
        <x:v>45</x:v>
      </x:c>
      <x:c r="H1024" s="10" t="n">
        <x:f>IF(OR(AND(F1024&lt;'00_Arquitectura'!$B$118,G1024&lt;'00_Arquitectura'!$B$119),F1024&lt;'00_Arquitectura'!$B$120),1,0)</x:f>
        <x:v>0</x:v>
      </x:c>
      <x:c r="I1024" s="10" t="n">
        <x:f>IF($I$1006=1,IF(OR(AND(F1024&lt;'00_Arquitectura'!$B$121,G1024&lt;'00_Arquitectura'!$B$122),F1024&lt;'00_Arquitectura'!$B$123),1,0),IF(AND(H1024=1,$H$1006=1),1,0))</x:f>
        <x:v>0</x:v>
      </x:c>
      <x:c r="J1024" s="10" t="n">
        <x:f>0</x:f>
        <x:v>0</x:v>
      </x:c>
      <x:c r="K1024" s="10" t="n">
        <x:f>$K$1007</x:f>
        <x:v>48.97527469360335</x:v>
      </x:c>
      <x:c r="L1024" s="10" t="str">
        <x:v>Conflicto activo captura menor eficacia en políticas ejecutadas en t+1. Magnitud0 en J: no es un offset directo de indicador.</x:v>
      </x:c>
    </x:row>
    <x:row r="1025" ht="34" customHeight="1">
      <x:c r="A1025" s="5" t="str">
        <x:v>S2_VIAL</x:v>
      </x:c>
      <x:c r="B1025" s="5" t="n">
        <x:v>5</x:v>
      </x:c>
      <x:c r="C1025" s="5" t="str">
        <x:v>industria</x:v>
      </x:c>
      <x:c r="D1025" s="5" t="n">
        <x:f>$F$1007</x:f>
        <x:v>47.2492</x:v>
      </x:c>
      <x:c r="E1025" s="5" t="n">
        <x:f>(ABS('03_Sensibilidades'!$C$6)*IF('03_Sensibilidades'!$C$6&lt;0,100-$K$268,$K$268)+ABS('03_Sensibilidades'!$C$7)*IF('03_Sensibilidades'!$C$7&lt;0,100-$K$266,$K$266)+ABS('03_Sensibilidades'!$C$8)*IF('03_Sensibilidades'!$C$8&lt;0,100-$K$271,$K$271)+ABS('03_Sensibilidades'!$C$9)*IF('03_Sensibilidades'!$C$9&lt;0,100-$K$270,$K$270))/(ABS('03_Sensibilidades'!$C$6)+ABS('03_Sensibilidades'!$C$7)+ABS('03_Sensibilidades'!$C$8)+ABS('03_Sensibilidades'!$C$9))</x:f>
        <x:v>48.59272296296296</x:v>
      </x:c>
      <x:c r="F1025" s="5" t="n">
        <x:f>(1-'00_Arquitectura'!$B$95)*D1025+'00_Arquitectura'!$B$95*E1025</x:f>
        <x:v>47.719433037037035</x:v>
      </x:c>
      <x:c r="G1025" s="5" t="n">
        <x:f>'02_Actores'!$I$6</x:f>
        <x:v>45</x:v>
      </x:c>
      <x:c r="H1025" s="5" t="n">
        <x:f>IF(OR(AND(F1025&lt;'00_Arquitectura'!$B$118,G1025&lt;'00_Arquitectura'!$B$119),F1025&lt;'00_Arquitectura'!$B$120),1,0)</x:f>
        <x:v>0</x:v>
      </x:c>
      <x:c r="I1025" s="5" t="n">
        <x:f>IF($I$1007=1,IF(OR(AND(F1025&lt;'00_Arquitectura'!$B$121,G1025&lt;'00_Arquitectura'!$B$122),F1025&lt;'00_Arquitectura'!$B$123),1,0),IF(AND(H1025=1,$H$1007=1),1,0))</x:f>
        <x:v>0</x:v>
      </x:c>
      <x:c r="J1025" s="5" t="n">
        <x:f>-I1025*2*'02_Actores'!$E$6/10</x:f>
        <x:v>0</x:v>
      </x:c>
      <x:c r="K1025" s="5" t="n">
        <x:f>($F$1025*'02_Actores'!$F$6+$F$1026*'02_Actores'!$F$7+$F$1027*'02_Actores'!$F$8+$F$1028*'02_Actores'!$F$9+$F$1029*'02_Actores'!$F$10+$F$1030*'02_Actores'!$F$11+$F$1031*'02_Actores'!$F$12+$F$1032*'02_Actores'!$F$13+$F$1033*'02_Actores'!$F$14+$F$1034*'02_Actores'!$F$15+$F$1035*'02_Actores'!$F$16+$F$1036*'02_Actores'!$F$17+$F$1037*'02_Actores'!$F$18+$F$1038*'02_Actores'!$F$19)/('02_Actores'!$F$6+'02_Actores'!$F$7+'02_Actores'!$F$8+'02_Actores'!$F$9+'02_Actores'!$F$10+'02_Actores'!$F$11+'02_Actores'!$F$12+'02_Actores'!$F$13+'02_Actores'!$F$14+'02_Actores'!$F$15+'02_Actores'!$F$16+'02_Actores'!$F$17+'02_Actores'!$F$18+'02_Actores'!$F$19)</x:f>
        <x:v>49.04188511121608</x:v>
      </x:c>
      <x:c r="L1025" s="5" t="str">
        <x:v>J programa offset para t+1; efecto sustituible y acotado, sin voto adicional.</x:v>
      </x:c>
    </x:row>
    <x:row r="1026" ht="34" customHeight="1">
      <x:c r="A1026" s="10" t="str">
        <x:v>S2_VIAL</x:v>
      </x:c>
      <x:c r="B1026" s="10" t="n">
        <x:v>5</x:v>
      </x:c>
      <x:c r="C1026" s="10" t="str">
        <x:v>agro</x:v>
      </x:c>
      <x:c r="D1026" s="10" t="n">
        <x:f>$F$1008</x:f>
        <x:v>46.36835714285714</x:v>
      </x:c>
      <x:c r="E1026" s="10" t="n">
        <x:f>(ABS('03_Sensibilidades'!$C$10)*IF('03_Sensibilidades'!$C$10&lt;0,100-$K$270,$K$270)+ABS('03_Sensibilidades'!$C$11)*IF('03_Sensibilidades'!$C$11&lt;0,100-$K$271,$K$271)+ABS('03_Sensibilidades'!$C$12)*IF('03_Sensibilidades'!$C$12&lt;0,100-$K$278,$K$278)+ABS('03_Sensibilidades'!$C$13)*IF('03_Sensibilidades'!$C$13&lt;0,100-$K$268,$K$268))/(ABS('03_Sensibilidades'!$C$10)+ABS('03_Sensibilidades'!$C$11)+ABS('03_Sensibilidades'!$C$12)+ABS('03_Sensibilidades'!$C$13))</x:f>
        <x:v>48.32407142857143</x:v>
      </x:c>
      <x:c r="F1026" s="10" t="n">
        <x:f>(1-'00_Arquitectura'!$B$95)*D1026+'00_Arquitectura'!$B$95*E1026</x:f>
        <x:v>47.05285714285714</x:v>
      </x:c>
      <x:c r="G1026" s="10" t="n">
        <x:f>'02_Actores'!$I$7</x:f>
        <x:v>45</x:v>
      </x:c>
      <x:c r="H1026" s="10" t="n">
        <x:f>IF(OR(AND(F1026&lt;'00_Arquitectura'!$B$118,G1026&lt;'00_Arquitectura'!$B$119),F1026&lt;'00_Arquitectura'!$B$120),1,0)</x:f>
        <x:v>0</x:v>
      </x:c>
      <x:c r="I1026" s="10" t="n">
        <x:f>IF($I$1008=1,IF(OR(AND(F1026&lt;'00_Arquitectura'!$B$121,G1026&lt;'00_Arquitectura'!$B$122),F1026&lt;'00_Arquitectura'!$B$123),1,0),IF(AND(H1026=1,$H$1008=1),1,0))</x:f>
        <x:v>0</x:v>
      </x:c>
      <x:c r="J1026" s="10" t="n">
        <x:f>-I1026*2*'02_Actores'!$E$7/10</x:f>
        <x:v>0</x:v>
      </x:c>
      <x:c r="K1026" s="10" t="n">
        <x:f>$K$1025</x:f>
        <x:v>49.04188511121608</x:v>
      </x:c>
      <x:c r="L1026" s="10" t="str">
        <x:v>J programa offset para t+1; efecto sustituible y acotado, sin voto adicional.</x:v>
      </x:c>
    </x:row>
    <x:row r="1027" ht="34" customHeight="1">
      <x:c r="A1027" s="5" t="str">
        <x:v>S2_VIAL</x:v>
      </x:c>
      <x:c r="B1027" s="5" t="n">
        <x:v>5</x:v>
      </x:c>
      <x:c r="C1027" s="5" t="str">
        <x:v>financiero</x:v>
      </x:c>
      <x:c r="D1027" s="5" t="n">
        <x:f>$F$1009</x:f>
        <x:v>55.080331034482754</x:v>
      </x:c>
      <x:c r="E1027" s="5" t="n">
        <x:f>(ABS('03_Sensibilidades'!$C$14)*IF('03_Sensibilidades'!$C$14&lt;0,100-$K$269,$K$269)+ABS('03_Sensibilidades'!$C$15)*IF('03_Sensibilidades'!$C$15&lt;0,100-$K$265,$K$265)+ABS('03_Sensibilidades'!$C$16)*IF('03_Sensibilidades'!$C$16&lt;0,100-$K$268,$K$268)+ABS('03_Sensibilidades'!$C$17)*IF('03_Sensibilidades'!$C$17&lt;0,100-$K$277,$K$277))/(ABS('03_Sensibilidades'!$C$14)+ABS('03_Sensibilidades'!$C$15)+ABS('03_Sensibilidades'!$C$16)+ABS('03_Sensibilidades'!$C$17))</x:f>
        <x:v>53.96908965517241</x:v>
      </x:c>
      <x:c r="F1027" s="5" t="n">
        <x:f>(1-'00_Arquitectura'!$B$95)*D1027+'00_Arquitectura'!$B$95*E1027</x:f>
        <x:v>54.69139655172413</x:v>
      </x:c>
      <x:c r="G1027" s="5" t="n">
        <x:f>'02_Actores'!$I$8</x:f>
        <x:v>45</x:v>
      </x:c>
      <x:c r="H1027" s="5" t="n">
        <x:f>IF(OR(AND(F1027&lt;'00_Arquitectura'!$B$118,G1027&lt;'00_Arquitectura'!$B$119),F1027&lt;'00_Arquitectura'!$B$120),1,0)</x:f>
        <x:v>0</x:v>
      </x:c>
      <x:c r="I1027" s="5" t="n">
        <x:f>IF($I$1009=1,IF(OR(AND(F1027&lt;'00_Arquitectura'!$B$121,G1027&lt;'00_Arquitectura'!$B$122),F1027&lt;'00_Arquitectura'!$B$123),1,0),IF(AND(H1027=1,$H$1009=1),1,0))</x:f>
        <x:v>0</x:v>
      </x:c>
      <x:c r="J1027" s="5" t="n">
        <x:f>-I1027*2*'02_Actores'!$E$8/10</x:f>
        <x:v>0</x:v>
      </x:c>
      <x:c r="K1027" s="5" t="n">
        <x:f>$K$1025</x:f>
        <x:v>49.04188511121608</x:v>
      </x:c>
      <x:c r="L1027" s="5" t="str">
        <x:v>J programa offset para t+1; efecto sustituible y acotado, sin voto adicional.</x:v>
      </x:c>
    </x:row>
    <x:row r="1028" ht="34" customHeight="1">
      <x:c r="A1028" s="10" t="str">
        <x:v>S2_VIAL</x:v>
      </x:c>
      <x:c r="B1028" s="10" t="n">
        <x:v>5</x:v>
      </x:c>
      <x:c r="C1028" s="10" t="str">
        <x:v>sindicatos</x:v>
      </x:c>
      <x:c r="D1028" s="10" t="n">
        <x:f>$F$1010</x:f>
        <x:v>48.223767241379306</x:v>
      </x:c>
      <x:c r="E1028" s="10" t="n">
        <x:f>(ABS('03_Sensibilidades'!$C$18)*IF('03_Sensibilidades'!$C$18&lt;0,100-$K$267,$K$267)+ABS('03_Sensibilidades'!$C$19)*IF('03_Sensibilidades'!$C$19&lt;0,100-$K$266,$K$266)+ABS('03_Sensibilidades'!$C$20)*IF('03_Sensibilidades'!$C$20&lt;0,100-$K$274,$K$274)+ABS('03_Sensibilidades'!$C$21)*IF('03_Sensibilidades'!$C$21&lt;0,100-$K$277,$K$277))/(ABS('03_Sensibilidades'!$C$18)+ABS('03_Sensibilidades'!$C$19)+ABS('03_Sensibilidades'!$C$20)+ABS('03_Sensibilidades'!$C$21))</x:f>
        <x:v>48.04295724137931</x:v>
      </x:c>
      <x:c r="F1028" s="10" t="n">
        <x:f>(1-'00_Arquitectura'!$B$95)*D1028+'00_Arquitectura'!$B$95*E1028</x:f>
        <x:v>48.16048374137931</x:v>
      </x:c>
      <x:c r="G1028" s="10" t="n">
        <x:f>'02_Actores'!$I$9</x:f>
        <x:v>45</x:v>
      </x:c>
      <x:c r="H1028" s="10" t="n">
        <x:f>IF(OR(AND(F1028&lt;'00_Arquitectura'!$B$118,G1028&lt;'00_Arquitectura'!$B$119),F1028&lt;'00_Arquitectura'!$B$120),1,0)</x:f>
        <x:v>0</x:v>
      </x:c>
      <x:c r="I1028" s="10" t="n">
        <x:f>IF($I$1010=1,IF(OR(AND(F1028&lt;'00_Arquitectura'!$B$121,G1028&lt;'00_Arquitectura'!$B$122),F1028&lt;'00_Arquitectura'!$B$123),1,0),IF(AND(H1028=1,$H$1010=1),1,0))</x:f>
        <x:v>0</x:v>
      </x:c>
      <x:c r="J1028" s="10" t="n">
        <x:f>-I1028*2*'02_Actores'!$E$9/10</x:f>
        <x:v>0</x:v>
      </x:c>
      <x:c r="K1028" s="10" t="n">
        <x:f>$K$1025</x:f>
        <x:v>49.04188511121608</x:v>
      </x:c>
      <x:c r="L1028" s="10" t="str">
        <x:v>J programa offset para t+1; efecto sustituible y acotado, sin voto adicional.</x:v>
      </x:c>
    </x:row>
    <x:row r="1029" ht="34" customHeight="1">
      <x:c r="A1029" s="5" t="str">
        <x:v>S2_VIAL</x:v>
      </x:c>
      <x:c r="B1029" s="5" t="n">
        <x:v>5</x:v>
      </x:c>
      <x:c r="C1029" s="5" t="str">
        <x:v>pymes</x:v>
      </x:c>
      <x:c r="D1029" s="5" t="n">
        <x:f>$F$1011</x:f>
        <x:v>49.733956896551724</x:v>
      </x:c>
      <x:c r="E1029" s="5" t="n">
        <x:f>(ABS('03_Sensibilidades'!$C$22)*IF('03_Sensibilidades'!$C$22&lt;0,100-$K$268,$K$268)+ABS('03_Sensibilidades'!$C$23)*IF('03_Sensibilidades'!$C$23&lt;0,100-$K$266,$K$266)+ABS('03_Sensibilidades'!$C$24)*IF('03_Sensibilidades'!$C$24&lt;0,100-$K$271,$K$271)+ABS('03_Sensibilidades'!$C$25)*IF('03_Sensibilidades'!$C$25&lt;0,100-$K$265,$K$265))/(ABS('03_Sensibilidades'!$C$22)+ABS('03_Sensibilidades'!$C$23)+ABS('03_Sensibilidades'!$C$24)+ABS('03_Sensibilidades'!$C$25))</x:f>
        <x:v>50.28944</x:v>
      </x:c>
      <x:c r="F1029" s="5" t="n">
        <x:f>(1-'00_Arquitectura'!$B$95)*D1029+'00_Arquitectura'!$B$95*E1029</x:f>
        <x:v>49.928375982758624</x:v>
      </x:c>
      <x:c r="G1029" s="5" t="n">
        <x:f>'02_Actores'!$I$10</x:f>
        <x:v>45</x:v>
      </x:c>
      <x:c r="H1029" s="5" t="n">
        <x:f>IF(OR(AND(F1029&lt;'00_Arquitectura'!$B$118,G1029&lt;'00_Arquitectura'!$B$119),F1029&lt;'00_Arquitectura'!$B$120),1,0)</x:f>
        <x:v>0</x:v>
      </x:c>
      <x:c r="I1029" s="5" t="n">
        <x:f>IF($I$1011=1,IF(OR(AND(F1029&lt;'00_Arquitectura'!$B$121,G1029&lt;'00_Arquitectura'!$B$122),F1029&lt;'00_Arquitectura'!$B$123),1,0),IF(AND(H1029=1,$H$1011=1),1,0))</x:f>
        <x:v>0</x:v>
      </x:c>
      <x:c r="J1029" s="5" t="n">
        <x:f>-I1029*2*'02_Actores'!$E$10/10</x:f>
        <x:v>0</x:v>
      </x:c>
      <x:c r="K1029" s="5" t="n">
        <x:f>$K$1025</x:f>
        <x:v>49.04188511121608</x:v>
      </x:c>
      <x:c r="L1029" s="5" t="str">
        <x:v>J programa offset para t+1; efecto sustituible y acotado, sin voto adicional.</x:v>
      </x:c>
    </x:row>
    <x:row r="1030" ht="34" customHeight="1">
      <x:c r="A1030" s="10" t="str">
        <x:v>S2_VIAL</x:v>
      </x:c>
      <x:c r="B1030" s="10" t="n">
        <x:v>5</x:v>
      </x:c>
      <x:c r="C1030" s="10" t="str">
        <x:v>clase_media</x:v>
      </x:c>
      <x:c r="D1030" s="10" t="n">
        <x:f>$F$1012</x:f>
        <x:v>48.397499999999994</x:v>
      </x:c>
      <x:c r="E1030" s="10" t="n">
        <x:f>(ABS('03_Sensibilidades'!$C$26)*IF('03_Sensibilidades'!$C$26&lt;0,100-$K$267,$K$267)+ABS('03_Sensibilidades'!$C$27)*IF('03_Sensibilidades'!$C$27&lt;0,100-$K$275,$K$275)+ABS('03_Sensibilidades'!$C$28)*IF('03_Sensibilidades'!$C$28&lt;0,100-$K$272,$K$272)+ABS('03_Sensibilidades'!$C$29)*IF('03_Sensibilidades'!$C$29&lt;0,100-$K$265,$K$265))/(ABS('03_Sensibilidades'!$C$26)+ABS('03_Sensibilidades'!$C$27)+ABS('03_Sensibilidades'!$C$28)+ABS('03_Sensibilidades'!$C$29))</x:f>
        <x:v>48.333333333333336</x:v>
      </x:c>
      <x:c r="F1030" s="10" t="n">
        <x:f>(1-'00_Arquitectura'!$B$95)*D1030+'00_Arquitectura'!$B$95*E1030</x:f>
        <x:v>48.37504166666666</x:v>
      </x:c>
      <x:c r="G1030" s="10" t="n">
        <x:f>'02_Actores'!$I$11</x:f>
        <x:v>45</x:v>
      </x:c>
      <x:c r="H1030" s="10" t="n">
        <x:f>IF(OR(AND(F1030&lt;'00_Arquitectura'!$B$118,G1030&lt;'00_Arquitectura'!$B$119),F1030&lt;'00_Arquitectura'!$B$120),1,0)</x:f>
        <x:v>0</x:v>
      </x:c>
      <x:c r="I1030" s="10" t="n">
        <x:f>IF($I$1012=1,IF(OR(AND(F1030&lt;'00_Arquitectura'!$B$121,G1030&lt;'00_Arquitectura'!$B$122),F1030&lt;'00_Arquitectura'!$B$123),1,0),IF(AND(H1030=1,$H$1012=1),1,0))</x:f>
        <x:v>0</x:v>
      </x:c>
      <x:c r="J1030" s="10" t="n">
        <x:f>0</x:f>
        <x:v>0</x:v>
      </x:c>
      <x:c r="K1030" s="10" t="n">
        <x:f>$K$1025</x:f>
        <x:v>49.04188511121608</x:v>
      </x:c>
      <x:c r="L1030" s="10" t="str">
        <x:v>Canal directo sólo al índice social; sin bono de popularidad.</x:v>
      </x:c>
    </x:row>
    <x:row r="1031" ht="34" customHeight="1">
      <x:c r="A1031" s="5" t="str">
        <x:v>S2_VIAL</x:v>
      </x:c>
      <x:c r="B1031" s="5" t="n">
        <x:v>5</x:v>
      </x:c>
      <x:c r="C1031" s="5" t="str">
        <x:v>cooperativas</x:v>
      </x:c>
      <x:c r="D1031" s="5" t="n">
        <x:f>$F$1013</x:f>
        <x:v>47.973142592592595</x:v>
      </x:c>
      <x:c r="E1031" s="5" t="n">
        <x:f>(ABS('03_Sensibilidades'!$C$30)*IF('03_Sensibilidades'!$C$30&lt;0,100-$K$268,$K$268)+ABS('03_Sensibilidades'!$C$31)*IF('03_Sensibilidades'!$C$31&lt;0,100-$K$266,$K$266)+ABS('03_Sensibilidades'!$C$32)*IF('03_Sensibilidades'!$C$32&lt;0,100-$K$274,$K$274)+ABS('03_Sensibilidades'!$C$33)*IF('03_Sensibilidades'!$C$33&lt;0,100-$K$277,$K$277))/(ABS('03_Sensibilidades'!$C$30)+ABS('03_Sensibilidades'!$C$31)+ABS('03_Sensibilidades'!$C$32)+ABS('03_Sensibilidades'!$C$33))</x:f>
        <x:v>47.87511407407407</x:v>
      </x:c>
      <x:c r="F1031" s="5" t="n">
        <x:f>(1-'00_Arquitectura'!$B$95)*D1031+'00_Arquitectura'!$B$95*E1031</x:f>
        <x:v>47.93883261111111</x:v>
      </x:c>
      <x:c r="G1031" s="5" t="n">
        <x:f>'02_Actores'!$I$12</x:f>
        <x:v>45</x:v>
      </x:c>
      <x:c r="H1031" s="5" t="n">
        <x:f>IF(OR(AND(F1031&lt;'00_Arquitectura'!$B$118,G1031&lt;'00_Arquitectura'!$B$119),F1031&lt;'00_Arquitectura'!$B$120),1,0)</x:f>
        <x:v>0</x:v>
      </x:c>
      <x:c r="I1031" s="5" t="n">
        <x:f>IF($I$1013=1,IF(OR(AND(F1031&lt;'00_Arquitectura'!$B$121,G1031&lt;'00_Arquitectura'!$B$122),F1031&lt;'00_Arquitectura'!$B$123),1,0),IF(AND(H1031=1,$H$1013=1),1,0))</x:f>
        <x:v>0</x:v>
      </x:c>
      <x:c r="J1031" s="5" t="n">
        <x:f>-I1031*1.5*'02_Actores'!$E$12/10</x:f>
        <x:v>0</x:v>
      </x:c>
      <x:c r="K1031" s="5" t="n">
        <x:f>$K$1025</x:f>
        <x:v>49.04188511121608</x:v>
      </x:c>
      <x:c r="L1031" s="5" t="str">
        <x:v>J programa offset para t+1; efecto sustituible y acotado, sin voto adicional.</x:v>
      </x:c>
    </x:row>
    <x:row r="1032" ht="42" customHeight="1">
      <x:c r="A1032" s="10" t="str">
        <x:v>S2_VIAL</x:v>
      </x:c>
      <x:c r="B1032" s="10" t="n">
        <x:v>5</x:v>
      </x:c>
      <x:c r="C1032" s="10" t="str">
        <x:v>estudiantes</x:v>
      </x:c>
      <x:c r="D1032" s="10" t="n">
        <x:f>$F$1014</x:f>
        <x:v>49.23465</x:v>
      </x:c>
      <x:c r="E1032" s="10" t="n">
        <x:f>(ABS('03_Sensibilidades'!$C$34)*IF('03_Sensibilidades'!$C$34&lt;0,100-$K$272,$K$272)+ABS('03_Sensibilidades'!$C$35)*IF('03_Sensibilidades'!$C$35&lt;0,100-$K$267,$K$267)+ABS('03_Sensibilidades'!$C$36)*IF('03_Sensibilidades'!$C$36&lt;0,100-$K$277,$K$277)+ABS('03_Sensibilidades'!$C$37)*IF('03_Sensibilidades'!$C$37&lt;0,100-$K$276,$K$276))/(ABS('03_Sensibilidades'!$C$34)+ABS('03_Sensibilidades'!$C$35)+ABS('03_Sensibilidades'!$C$36)+ABS('03_Sensibilidades'!$C$37))</x:f>
        <x:v>49.2</x:v>
      </x:c>
      <x:c r="F1032" s="10" t="n">
        <x:f>(1-'00_Arquitectura'!$B$95)*D1032+'00_Arquitectura'!$B$95*E1032</x:f>
        <x:v>49.222522500000004</x:v>
      </x:c>
      <x:c r="G1032" s="10" t="n">
        <x:f>'02_Actores'!$I$13</x:f>
        <x:v>45</x:v>
      </x:c>
      <x:c r="H1032" s="10" t="n">
        <x:f>IF(OR(AND(F1032&lt;'00_Arquitectura'!$B$118,G1032&lt;'00_Arquitectura'!$B$119),F1032&lt;'00_Arquitectura'!$B$120),1,0)</x:f>
        <x:v>0</x:v>
      </x:c>
      <x:c r="I1032" s="10" t="n">
        <x:f>IF($I$1014=1,IF(OR(AND(F1032&lt;'00_Arquitectura'!$B$121,G1032&lt;'00_Arquitectura'!$B$122),F1032&lt;'00_Arquitectura'!$B$123),1,0),IF(AND(H1032=1,$H$1014=1),1,0))</x:f>
        <x:v>0</x:v>
      </x:c>
      <x:c r="J1032" s="10" t="n">
        <x:f>0</x:f>
        <x:v>0</x:v>
      </x:c>
      <x:c r="K1032" s="10" t="n">
        <x:f>$K$1025</x:f>
        <x:v>49.04188511121608</x:v>
      </x:c>
      <x:c r="L1032" s="10" t="str">
        <x:v>Conflicto activo captura menor eficacia en políticas ejecutadas en t+1. Magnitud0 en J: no es un offset directo de indicador.</x:v>
      </x:c>
    </x:row>
    <x:row r="1033" ht="34" customHeight="1">
      <x:c r="A1033" s="5" t="str">
        <x:v>S2_VIAL</x:v>
      </x:c>
      <x:c r="B1033" s="5" t="n">
        <x:v>5</x:v>
      </x:c>
      <x:c r="C1033" s="5" t="str">
        <x:v>docentes</x:v>
      </x:c>
      <x:c r="D1033" s="5" t="n">
        <x:f>$F$1015</x:f>
        <x:v>48.98083695652174</x:v>
      </x:c>
      <x:c r="E1033" s="5" t="n">
        <x:f>(ABS('03_Sensibilidades'!$C$38)*IF('03_Sensibilidades'!$C$38&lt;0,100-$K$272,$K$272)+ABS('03_Sensibilidades'!$C$39)*IF('03_Sensibilidades'!$C$39&lt;0,100-$K$267,$K$267)+ABS('03_Sensibilidades'!$C$40)*IF('03_Sensibilidades'!$C$40&lt;0,100-$K$277,$K$277))/(ABS('03_Sensibilidades'!$C$38)+ABS('03_Sensibilidades'!$C$39)+ABS('03_Sensibilidades'!$C$40))</x:f>
        <x:v>48.91304347826087</x:v>
      </x:c>
      <x:c r="F1033" s="5" t="n">
        <x:f>(1-'00_Arquitectura'!$B$95)*D1033+'00_Arquitectura'!$B$95*E1033</x:f>
        <x:v>48.95710923913043</x:v>
      </x:c>
      <x:c r="G1033" s="5" t="n">
        <x:f>'02_Actores'!$I$14</x:f>
        <x:v>45</x:v>
      </x:c>
      <x:c r="H1033" s="5" t="n">
        <x:f>IF(OR(AND(F1033&lt;'00_Arquitectura'!$B$118,G1033&lt;'00_Arquitectura'!$B$119),F1033&lt;'00_Arquitectura'!$B$120),1,0)</x:f>
        <x:v>0</x:v>
      </x:c>
      <x:c r="I1033" s="5" t="n">
        <x:f>IF($I$1015=1,IF(OR(AND(F1033&lt;'00_Arquitectura'!$B$121,G1033&lt;'00_Arquitectura'!$B$122),F1033&lt;'00_Arquitectura'!$B$123),1,0),IF(AND(H1033=1,$H$1015=1),1,0))</x:f>
        <x:v>0</x:v>
      </x:c>
      <x:c r="J1033" s="5" t="n">
        <x:f>-I1033*1.5*'02_Actores'!$E$14/10</x:f>
        <x:v>0</x:v>
      </x:c>
      <x:c r="K1033" s="5" t="n">
        <x:f>$K$1025</x:f>
        <x:v>49.04188511121608</x:v>
      </x:c>
      <x:c r="L1033" s="5" t="str">
        <x:v>J programa offset para t+1; efecto sustituible y acotado, sin voto adicional.</x:v>
      </x:c>
    </x:row>
    <x:row r="1034" ht="34" customHeight="1">
      <x:c r="A1034" s="10" t="str">
        <x:v>S2_VIAL</x:v>
      </x:c>
      <x:c r="B1034" s="10" t="n">
        <x:v>5</x:v>
      </x:c>
      <x:c r="C1034" s="10" t="str">
        <x:v>cientificos</x:v>
      </x:c>
      <x:c r="D1034" s="10" t="n">
        <x:f>$F$1016</x:f>
        <x:v>46.59090909090909</x:v>
      </x:c>
      <x:c r="E1034" s="10" t="n">
        <x:f>(ABS('03_Sensibilidades'!$C$41)*IF('03_Sensibilidades'!$C$41&lt;0,100-$K$276,$K$276)+ABS('03_Sensibilidades'!$C$42)*IF('03_Sensibilidades'!$C$42&lt;0,100-$K$272,$K$272)+ABS('03_Sensibilidades'!$C$43)*IF('03_Sensibilidades'!$C$43&lt;0,100-$K$277,$K$277))/(ABS('03_Sensibilidades'!$C$41)+ABS('03_Sensibilidades'!$C$42)+ABS('03_Sensibilidades'!$C$43))</x:f>
        <x:v>46.59090909090909</x:v>
      </x:c>
      <x:c r="F1034" s="10" t="n">
        <x:f>(1-'00_Arquitectura'!$B$95)*D1034+'00_Arquitectura'!$B$95*E1034</x:f>
        <x:v>46.59090909090909</x:v>
      </x:c>
      <x:c r="G1034" s="10" t="n">
        <x:f>'02_Actores'!$I$15</x:f>
        <x:v>45</x:v>
      </x:c>
      <x:c r="H1034" s="10" t="n">
        <x:f>IF(OR(AND(F1034&lt;'00_Arquitectura'!$B$118,G1034&lt;'00_Arquitectura'!$B$119),F1034&lt;'00_Arquitectura'!$B$120),1,0)</x:f>
        <x:v>0</x:v>
      </x:c>
      <x:c r="I1034" s="10" t="n">
        <x:f>IF($I$1016=1,IF(OR(AND(F1034&lt;'00_Arquitectura'!$B$121,G1034&lt;'00_Arquitectura'!$B$122),F1034&lt;'00_Arquitectura'!$B$123),1,0),IF(AND(H1034=1,$H$1016=1),1,0))</x:f>
        <x:v>0</x:v>
      </x:c>
      <x:c r="J1034" s="10" t="n">
        <x:f>-I1034*1.5*'02_Actores'!$E$15/10</x:f>
        <x:v>0</x:v>
      </x:c>
      <x:c r="K1034" s="10" t="n">
        <x:f>$K$1025</x:f>
        <x:v>49.04188511121608</x:v>
      </x:c>
      <x:c r="L1034" s="10" t="str">
        <x:v>J programa offset para t+1; efecto sustituible y acotado, sin voto adicional.</x:v>
      </x:c>
    </x:row>
    <x:row r="1035" ht="34" customHeight="1">
      <x:c r="A1035" s="5" t="str">
        <x:v>S2_VIAL</x:v>
      </x:c>
      <x:c r="B1035" s="5" t="n">
        <x:v>5</x:v>
      </x:c>
      <x:c r="C1035" s="5" t="str">
        <x:v>organizaciones</x:v>
      </x:c>
      <x:c r="D1035" s="5" t="n">
        <x:f>$F$1017</x:f>
        <x:v>49.26801785714285</x:v>
      </x:c>
      <x:c r="E1035" s="5" t="n">
        <x:f>(ABS('03_Sensibilidades'!$C$44)*IF('03_Sensibilidades'!$C$44&lt;0,100-$K$274,$K$274)+ABS('03_Sensibilidades'!$C$45)*IF('03_Sensibilidades'!$C$45&lt;0,100-$K$273,$K$273)+ABS('03_Sensibilidades'!$C$46)*IF('03_Sensibilidades'!$C$46&lt;0,100-$K$266,$K$266)+ABS('03_Sensibilidades'!$C$47)*IF('03_Sensibilidades'!$C$47&lt;0,100-$K$277,$K$277))/(ABS('03_Sensibilidades'!$C$44)+ABS('03_Sensibilidades'!$C$45)+ABS('03_Sensibilidades'!$C$46)+ABS('03_Sensibilidades'!$C$47))</x:f>
        <x:v>49.18442285714286</x:v>
      </x:c>
      <x:c r="F1035" s="5" t="n">
        <x:f>(1-'00_Arquitectura'!$B$95)*D1035+'00_Arquitectura'!$B$95*E1035</x:f>
        <x:v>49.23875960714285</x:v>
      </x:c>
      <x:c r="G1035" s="5" t="n">
        <x:f>'02_Actores'!$I$16</x:f>
        <x:v>45</x:v>
      </x:c>
      <x:c r="H1035" s="5" t="n">
        <x:f>IF(OR(AND(F1035&lt;'00_Arquitectura'!$B$118,G1035&lt;'00_Arquitectura'!$B$119),F1035&lt;'00_Arquitectura'!$B$120),1,0)</x:f>
        <x:v>0</x:v>
      </x:c>
      <x:c r="I1035" s="5" t="n">
        <x:f>IF($I$1017=1,IF(OR(AND(F1035&lt;'00_Arquitectura'!$B$121,G1035&lt;'00_Arquitectura'!$B$122),F1035&lt;'00_Arquitectura'!$B$123),1,0),IF(AND(H1035=1,$H$1017=1),1,0))</x:f>
        <x:v>0</x:v>
      </x:c>
      <x:c r="J1035" s="5" t="n">
        <x:f>-I1035*1.5*'02_Actores'!$E$16/10</x:f>
        <x:v>0</x:v>
      </x:c>
      <x:c r="K1035" s="5" t="n">
        <x:f>$K$1025</x:f>
        <x:v>49.04188511121608</x:v>
      </x:c>
      <x:c r="L1035" s="5" t="str">
        <x:v>J programa offset para t+1; efecto sustituible y acotado, sin voto adicional.</x:v>
      </x:c>
    </x:row>
    <x:row r="1036" ht="42" customHeight="1">
      <x:c r="A1036" s="10" t="str">
        <x:v>S2_VIAL</x:v>
      </x:c>
      <x:c r="B1036" s="10" t="n">
        <x:v>5</x:v>
      </x:c>
      <x:c r="C1036" s="10" t="str">
        <x:v>ddhh</x:v>
      </x:c>
      <x:c r="D1036" s="10" t="n">
        <x:f>$F$1018</x:f>
        <x:v>50.88235294117648</x:v>
      </x:c>
      <x:c r="E1036" s="10" t="n">
        <x:f>(ABS('03_Sensibilidades'!$C$48)*IF('03_Sensibilidades'!$C$48&lt;0,100-$K$277,$K$277)+ABS('03_Sensibilidades'!$C$49)*IF('03_Sensibilidades'!$C$49&lt;0,100-$K$275,$K$275)+ABS('03_Sensibilidades'!$C$50)*IF('03_Sensibilidades'!$C$50&lt;0,100-$K$274,$K$274))/(ABS('03_Sensibilidades'!$C$48)+ABS('03_Sensibilidades'!$C$49)+ABS('03_Sensibilidades'!$C$50))</x:f>
        <x:v>50.88235294117647</x:v>
      </x:c>
      <x:c r="F1036" s="10" t="n">
        <x:f>(1-'00_Arquitectura'!$B$95)*D1036+'00_Arquitectura'!$B$95*E1036</x:f>
        <x:v>50.88235294117648</x:v>
      </x:c>
      <x:c r="G1036" s="10" t="n">
        <x:f>'02_Actores'!$I$17</x:f>
        <x:v>45</x:v>
      </x:c>
      <x:c r="H1036" s="10" t="n">
        <x:f>IF(OR(AND(F1036&lt;'00_Arquitectura'!$B$118,G1036&lt;'00_Arquitectura'!$B$119),F1036&lt;'00_Arquitectura'!$B$120),1,0)</x:f>
        <x:v>0</x:v>
      </x:c>
      <x:c r="I1036" s="10" t="n">
        <x:f>IF($I$1018=1,IF(OR(AND(F1036&lt;'00_Arquitectura'!$B$121,G1036&lt;'00_Arquitectura'!$B$122),F1036&lt;'00_Arquitectura'!$B$123),1,0),IF(AND(H1036=1,$H$1018=1),1,0))</x:f>
        <x:v>0</x:v>
      </x:c>
      <x:c r="J1036" s="10" t="n">
        <x:f>0</x:f>
        <x:v>0</x:v>
      </x:c>
      <x:c r="K1036" s="10" t="n">
        <x:f>$K$1025</x:f>
        <x:v>49.04188511121608</x:v>
      </x:c>
      <x:c r="L1036" s="10" t="str">
        <x:v>Conflicto activo captura menor eficacia en políticas ejecutadas en t+1. Magnitud0 en J: no es un offset directo de indicador.</x:v>
      </x:c>
    </x:row>
    <x:row r="1037" ht="42" customHeight="1">
      <x:c r="A1037" s="5" t="str">
        <x:v>S2_VIAL</x:v>
      </x:c>
      <x:c r="B1037" s="5" t="n">
        <x:v>5</x:v>
      </x:c>
      <x:c r="C1037" s="5" t="str">
        <x:v>ambientalistas</x:v>
      </x:c>
      <x:c r="D1037" s="5" t="n">
        <x:f>$F$1019</x:f>
        <x:v>51</x:v>
      </x:c>
      <x:c r="E1037" s="5" t="n">
        <x:f>(ABS('03_Sensibilidades'!$C$51)*IF('03_Sensibilidades'!$C$51&lt;0,100-$K$278,$K$278)+ABS('03_Sensibilidades'!$C$52)*IF('03_Sensibilidades'!$C$52&lt;0,100-$K$277,$K$277)+ABS('03_Sensibilidades'!$C$53)*IF('03_Sensibilidades'!$C$53&lt;0,100-$K$273,$K$273))/(ABS('03_Sensibilidades'!$C$51)+ABS('03_Sensibilidades'!$C$52)+ABS('03_Sensibilidades'!$C$53))</x:f>
        <x:v>50.27777777777778</x:v>
      </x:c>
      <x:c r="F1037" s="5" t="n">
        <x:f>(1-'00_Arquitectura'!$B$95)*D1037+'00_Arquitectura'!$B$95*E1037</x:f>
        <x:v>50.74722222222222</x:v>
      </x:c>
      <x:c r="G1037" s="5" t="n">
        <x:f>'02_Actores'!$I$18</x:f>
        <x:v>45</x:v>
      </x:c>
      <x:c r="H1037" s="5" t="n">
        <x:f>IF(OR(AND(F1037&lt;'00_Arquitectura'!$B$118,G1037&lt;'00_Arquitectura'!$B$119),F1037&lt;'00_Arquitectura'!$B$120),1,0)</x:f>
        <x:v>0</x:v>
      </x:c>
      <x:c r="I1037" s="5" t="n">
        <x:f>IF($I$1019=1,IF(OR(AND(F1037&lt;'00_Arquitectura'!$B$121,G1037&lt;'00_Arquitectura'!$B$122),F1037&lt;'00_Arquitectura'!$B$123),1,0),IF(AND(H1037=1,$H$1019=1),1,0))</x:f>
        <x:v>0</x:v>
      </x:c>
      <x:c r="J1037" s="5" t="n">
        <x:f>0</x:f>
        <x:v>0</x:v>
      </x:c>
      <x:c r="K1037" s="5" t="n">
        <x:f>$K$1025</x:f>
        <x:v>49.04188511121608</x:v>
      </x:c>
      <x:c r="L1037" s="5" t="str">
        <x:v>Conflicto activo captura menor eficacia en políticas ejecutadas en t+1. Magnitud0 en J: no es un offset directo de indicador.</x:v>
      </x:c>
    </x:row>
    <x:row r="1038" ht="34" customHeight="1">
      <x:c r="A1038" s="10" t="str">
        <x:v>S2_VIAL</x:v>
      </x:c>
      <x:c r="B1038" s="10" t="n">
        <x:v>5</x:v>
      </x:c>
      <x:c r="C1038" s="10" t="str">
        <x:v>cultura</x:v>
      </x:c>
      <x:c r="D1038" s="10" t="n">
        <x:f>$F$1020</x:f>
        <x:v>50.83506578947369</x:v>
      </x:c>
      <x:c r="E1038" s="10" t="n">
        <x:f>(ABS('03_Sensibilidades'!$C$54)*IF('03_Sensibilidades'!$C$54&lt;0,100-$K$277,$K$277)+ABS('03_Sensibilidades'!$C$55)*IF('03_Sensibilidades'!$C$55&lt;0,100-$K$272,$K$272)+ABS('03_Sensibilidades'!$C$56)*IF('03_Sensibilidades'!$C$56&lt;0,100-$K$267,$K$267))/(ABS('03_Sensibilidades'!$C$54)+ABS('03_Sensibilidades'!$C$55)+ABS('03_Sensibilidades'!$C$56))</x:f>
        <x:v>50.78947368421053</x:v>
      </x:c>
      <x:c r="F1038" s="10" t="n">
        <x:f>(1-'00_Arquitectura'!$B$95)*D1038+'00_Arquitectura'!$B$95*E1038</x:f>
        <x:v>50.81910855263158</x:v>
      </x:c>
      <x:c r="G1038" s="10" t="n">
        <x:f>'02_Actores'!$I$19</x:f>
        <x:v>45</x:v>
      </x:c>
      <x:c r="H1038" s="10" t="n">
        <x:f>IF(OR(AND(F1038&lt;'00_Arquitectura'!$B$118,G1038&lt;'00_Arquitectura'!$B$119),F1038&lt;'00_Arquitectura'!$B$120),1,0)</x:f>
        <x:v>0</x:v>
      </x:c>
      <x:c r="I1038" s="10" t="n">
        <x:f>IF($I$1020=1,IF(OR(AND(F1038&lt;'00_Arquitectura'!$B$121,G1038&lt;'00_Arquitectura'!$B$122),F1038&lt;'00_Arquitectura'!$B$123),1,0),IF(AND(H1038=1,$H$1020=1),1,0))</x:f>
        <x:v>0</x:v>
      </x:c>
      <x:c r="J1038" s="10" t="n">
        <x:f>0</x:f>
        <x:v>0</x:v>
      </x:c>
      <x:c r="K1038" s="10" t="n">
        <x:f>$K$1025</x:f>
        <x:v>49.04188511121608</x:v>
      </x:c>
      <x:c r="L1038" s="10" t="str">
        <x:v>Conflicto activo encarece agenda del turno siguiente; sin castigo electoral adicional.</x:v>
      </x:c>
    </x:row>
    <x:row r="1039" ht="34" customHeight="1">
      <x:c r="A1039" s="5" t="str">
        <x:v>S2_VIAL</x:v>
      </x:c>
      <x:c r="B1039" s="5" t="n">
        <x:v>5</x:v>
      </x:c>
      <x:c r="C1039" s="5" t="str">
        <x:v>oficialismo</x:v>
      </x:c>
      <x:c r="D1039" s="5" t="n">
        <x:f>$F$1021</x:f>
        <x:v>52.415679999999995</x:v>
      </x:c>
      <x:c r="E1039" s="5" t="n">
        <x:f>(ABS('03_Sensibilidades'!$C$57)*IF('03_Sensibilidades'!$C$57&lt;0,100-$K$277,$K$277)+ABS('03_Sensibilidades'!$C$58)*IF('03_Sensibilidades'!$C$58&lt;0,100-$K$266,$K$266)+ABS('03_Sensibilidades'!$C$59)*IF('03_Sensibilidades'!$C$59&lt;0,100-$K$269,$K$269)+ABS('03_Sensibilidades'!$C$60)*IF('03_Sensibilidades'!$C$60&lt;0,100-$K$274,$K$274))/(ABS('03_Sensibilidades'!$C$57)+ABS('03_Sensibilidades'!$C$58)+ABS('03_Sensibilidades'!$C$59)+ABS('03_Sensibilidades'!$C$60))</x:f>
        <x:v>51.5154048</x:v>
      </x:c>
      <x:c r="F1039" s="5" t="n">
        <x:f>(1-'00_Arquitectura'!$B$95)*D1039+'00_Arquitectura'!$B$95*E1039</x:f>
        <x:v>52.10058368</x:v>
      </x:c>
      <x:c r="G1039" s="5" t="n">
        <x:f>'02_Actores'!$I$20</x:f>
        <x:v>60</x:v>
      </x:c>
      <x:c r="H1039" s="5" t="n">
        <x:f>IF(OR(AND(F1039&lt;'00_Arquitectura'!$B$118,G1039&lt;'00_Arquitectura'!$B$119),F1039&lt;'00_Arquitectura'!$B$120),1,0)</x:f>
        <x:v>0</x:v>
      </x:c>
      <x:c r="I1039" s="5" t="n">
        <x:f>IF($I$1021=1,IF(OR(AND(F1039&lt;'00_Arquitectura'!$B$121,G1039&lt;'00_Arquitectura'!$B$122),F1039&lt;'00_Arquitectura'!$B$123),1,0),IF(AND(H1039=1,$H$1021=1),1,0))</x:f>
        <x:v>0</x:v>
      </x:c>
      <x:c r="J1039" s="5" t="n">
        <x:f>0</x:f>
        <x:v>0</x:v>
      </x:c>
      <x:c r="K1039" s="5" t="n">
        <x:f>$K$1025</x:f>
        <x:v>49.04188511121608</x:v>
      </x:c>
      <x:c r="L1039" s="5" t="str">
        <x:v>No aporta E_social; S y R alimentan disposición a leyes según07.</x:v>
      </x:c>
    </x:row>
    <x:row r="1040" ht="34" customHeight="1">
      <x:c r="A1040" s="10" t="str">
        <x:v>S2_VIAL</x:v>
      </x:c>
      <x:c r="B1040" s="10" t="n">
        <x:v>5</x:v>
      </x:c>
      <x:c r="C1040" s="10" t="str">
        <x:v>aliados</x:v>
      </x:c>
      <x:c r="D1040" s="10" t="n">
        <x:f>$F$1022</x:f>
        <x:v>53.81985714285714</x:v>
      </x:c>
      <x:c r="E1040" s="10" t="n">
        <x:f>(ABS('03_Sensibilidades'!$C$61)*IF('03_Sensibilidades'!$C$61&lt;0,100-$K$277,$K$277)+ABS('03_Sensibilidades'!$C$62)*IF('03_Sensibilidades'!$C$62&lt;0,100-$K$269,$K$269)+ABS('03_Sensibilidades'!$C$63)*IF('03_Sensibilidades'!$C$63&lt;0,100-$K$271,$K$271))/(ABS('03_Sensibilidades'!$C$61)+ABS('03_Sensibilidades'!$C$62)+ABS('03_Sensibilidades'!$C$63))</x:f>
        <x:v>53.857142857142854</x:v>
      </x:c>
      <x:c r="F1040" s="10" t="n">
        <x:f>(1-'00_Arquitectura'!$B$95)*D1040+'00_Arquitectura'!$B$95*E1040</x:f>
        <x:v>53.83290714285714</x:v>
      </x:c>
      <x:c r="G1040" s="10" t="n">
        <x:f>'02_Actores'!$I$21</x:f>
        <x:v>45</x:v>
      </x:c>
      <x:c r="H1040" s="10" t="n">
        <x:f>IF(OR(AND(F1040&lt;'00_Arquitectura'!$B$118,G1040&lt;'00_Arquitectura'!$B$119),F1040&lt;'00_Arquitectura'!$B$120),1,0)</x:f>
        <x:v>0</x:v>
      </x:c>
      <x:c r="I1040" s="10" t="n">
        <x:f>IF($I$1022=1,IF(OR(AND(F1040&lt;'00_Arquitectura'!$B$121,G1040&lt;'00_Arquitectura'!$B$122),F1040&lt;'00_Arquitectura'!$B$123),1,0),IF(AND(H1040=1,$H$1022=1),1,0))</x:f>
        <x:v>0</x:v>
      </x:c>
      <x:c r="J1040" s="10" t="n">
        <x:f>0</x:f>
        <x:v>0</x:v>
      </x:c>
      <x:c r="K1040" s="10" t="n">
        <x:f>$K$1025</x:f>
        <x:v>49.04188511121608</x:v>
      </x:c>
      <x:c r="L1040" s="10" t="str">
        <x:v>No aporta E_social; S y R alimentan disposición a leyes según07.</x:v>
      </x:c>
    </x:row>
    <x:row r="1041" ht="34" customHeight="1">
      <x:c r="A1041" s="5" t="str">
        <x:v>S2_VIAL</x:v>
      </x:c>
      <x:c r="B1041" s="5" t="n">
        <x:v>5</x:v>
      </x:c>
      <x:c r="C1041" s="5" t="str">
        <x:v>oposicion</x:v>
      </x:c>
      <x:c r="D1041" s="5" t="n">
        <x:f>$F$1023</x:f>
        <x:v>53.969300000000004</x:v>
      </x:c>
      <x:c r="E1041" s="5" t="n">
        <x:f>(ABS('03_Sensibilidades'!$C$64)*IF('03_Sensibilidades'!$C$64&lt;0,100-$K$277,$K$277)+ABS('03_Sensibilidades'!$C$65)*IF('03_Sensibilidades'!$C$65&lt;0,100-$K$269,$K$269)+ABS('03_Sensibilidades'!$C$66)*IF('03_Sensibilidades'!$C$66&lt;0,100-$K$275,$K$275))/(ABS('03_Sensibilidades'!$C$64)+ABS('03_Sensibilidades'!$C$65)+ABS('03_Sensibilidades'!$C$66))</x:f>
        <x:v>53</x:v>
      </x:c>
      <x:c r="F1041" s="5" t="n">
        <x:f>(1-'00_Arquitectura'!$B$95)*D1041+'00_Arquitectura'!$B$95*E1041</x:f>
        <x:v>53.630045</x:v>
      </x:c>
      <x:c r="G1041" s="5" t="n">
        <x:f>'02_Actores'!$I$22</x:f>
        <x:v>30</x:v>
      </x:c>
      <x:c r="H1041" s="5" t="n">
        <x:f>IF(OR(AND(F1041&lt;'00_Arquitectura'!$B$118,G1041&lt;'00_Arquitectura'!$B$119),F1041&lt;'00_Arquitectura'!$B$120),1,0)</x:f>
        <x:v>0</x:v>
      </x:c>
      <x:c r="I1041" s="5" t="n">
        <x:f>IF($I$1023=1,IF(OR(AND(F1041&lt;'00_Arquitectura'!$B$121,G1041&lt;'00_Arquitectura'!$B$122),F1041&lt;'00_Arquitectura'!$B$123),1,0),IF(AND(H1041=1,$H$1023=1),1,0))</x:f>
        <x:v>0</x:v>
      </x:c>
      <x:c r="J1041" s="5" t="n">
        <x:f>0</x:f>
        <x:v>0</x:v>
      </x:c>
      <x:c r="K1041" s="5" t="n">
        <x:f>$K$1025</x:f>
        <x:v>49.04188511121608</x:v>
      </x:c>
      <x:c r="L1041" s="5" t="str">
        <x:v>No aporta E_social; S y R alimentan disposición a leyes según07.</x:v>
      </x:c>
    </x:row>
    <x:row r="1042" ht="42" customHeight="1">
      <x:c r="A1042" s="10" t="str">
        <x:v>S2_VIAL</x:v>
      </x:c>
      <x:c r="B1042" s="10" t="n">
        <x:v>5</x:v>
      </x:c>
      <x:c r="C1042" s="10" t="str">
        <x:v>gobernadores</x:v>
      </x:c>
      <x:c r="D1042" s="10" t="n">
        <x:f>$F$1024</x:f>
        <x:v>50.802965517241375</x:v>
      </x:c>
      <x:c r="E1042" s="10" t="n">
        <x:f>(ABS('03_Sensibilidades'!$C$67)*IF('03_Sensibilidades'!$C$67&lt;0,100-$K$271,$K$271)+ABS('03_Sensibilidades'!$C$68)*IF('03_Sensibilidades'!$C$68&lt;0,100-$K$273,$K$273)+ABS('03_Sensibilidades'!$C$69)*IF('03_Sensibilidades'!$C$69&lt;0,100-$K$272,$K$272)+ABS('03_Sensibilidades'!$C$70)*IF('03_Sensibilidades'!$C$70&lt;0,100-$K$269,$K$269))/(ABS('03_Sensibilidades'!$C$67)+ABS('03_Sensibilidades'!$C$68)+ABS('03_Sensibilidades'!$C$69)+ABS('03_Sensibilidades'!$C$70))</x:f>
        <x:v>51.3448275862069</x:v>
      </x:c>
      <x:c r="F1042" s="10" t="n">
        <x:f>(1-'00_Arquitectura'!$B$95)*D1042+'00_Arquitectura'!$B$95*E1042</x:f>
        <x:v>50.99261724137931</x:v>
      </x:c>
      <x:c r="G1042" s="10" t="n">
        <x:f>'02_Actores'!$I$23</x:f>
        <x:v>45</x:v>
      </x:c>
      <x:c r="H1042" s="10" t="n">
        <x:f>IF(OR(AND(F1042&lt;'00_Arquitectura'!$B$118,G1042&lt;'00_Arquitectura'!$B$119),F1042&lt;'00_Arquitectura'!$B$120),1,0)</x:f>
        <x:v>0</x:v>
      </x:c>
      <x:c r="I1042" s="10" t="n">
        <x:f>IF($I$1024=1,IF(OR(AND(F1042&lt;'00_Arquitectura'!$B$121,G1042&lt;'00_Arquitectura'!$B$122),F1042&lt;'00_Arquitectura'!$B$123),1,0),IF(AND(H1042=1,$H$1024=1),1,0))</x:f>
        <x:v>0</x:v>
      </x:c>
      <x:c r="J1042" s="10" t="n">
        <x:f>0</x:f>
        <x:v>0</x:v>
      </x:c>
      <x:c r="K1042" s="10" t="n">
        <x:f>$K$1025</x:f>
        <x:v>49.04188511121608</x:v>
      </x:c>
      <x:c r="L1042" s="10" t="str">
        <x:v>Conflicto activo captura menor eficacia en políticas ejecutadas en t+1. Magnitud0 en J: no es un offset directo de indicador.</x:v>
      </x:c>
    </x:row>
    <x:row r="1043" ht="34" customHeight="1">
      <x:c r="A1043" s="5" t="str">
        <x:v>S2_VIAL</x:v>
      </x:c>
      <x:c r="B1043" s="5" t="n">
        <x:v>6</x:v>
      </x:c>
      <x:c r="C1043" s="5" t="str">
        <x:v>industria</x:v>
      </x:c>
      <x:c r="D1043" s="5" t="n">
        <x:f>$F$1025</x:f>
        <x:v>47.719433037037035</x:v>
      </x:c>
      <x:c r="E1043" s="5" t="n">
        <x:f>(ABS('03_Sensibilidades'!$C$6)*IF('03_Sensibilidades'!$C$6&lt;0,100-$K$282,$K$282)+ABS('03_Sensibilidades'!$C$7)*IF('03_Sensibilidades'!$C$7&lt;0,100-$K$280,$K$280)+ABS('03_Sensibilidades'!$C$8)*IF('03_Sensibilidades'!$C$8&lt;0,100-$K$285,$K$285)+ABS('03_Sensibilidades'!$C$9)*IF('03_Sensibilidades'!$C$9&lt;0,100-$K$284,$K$284))/(ABS('03_Sensibilidades'!$C$6)+ABS('03_Sensibilidades'!$C$7)+ABS('03_Sensibilidades'!$C$8)+ABS('03_Sensibilidades'!$C$9))</x:f>
        <x:v>48.70437807407407</x:v>
      </x:c>
      <x:c r="F1043" s="5" t="n">
        <x:f>(1-'00_Arquitectura'!$B$95)*D1043+'00_Arquitectura'!$B$95*E1043</x:f>
        <x:v>48.064163799999996</x:v>
      </x:c>
      <x:c r="G1043" s="5" t="n">
        <x:f>'02_Actores'!$I$6</x:f>
        <x:v>45</x:v>
      </x:c>
      <x:c r="H1043" s="5" t="n">
        <x:f>IF(OR(AND(F1043&lt;'00_Arquitectura'!$B$118,G1043&lt;'00_Arquitectura'!$B$119),F1043&lt;'00_Arquitectura'!$B$120),1,0)</x:f>
        <x:v>0</x:v>
      </x:c>
      <x:c r="I1043" s="5" t="n">
        <x:f>IF($I$1025=1,IF(OR(AND(F1043&lt;'00_Arquitectura'!$B$121,G1043&lt;'00_Arquitectura'!$B$122),F1043&lt;'00_Arquitectura'!$B$123),1,0),IF(AND(H1043=1,$H$1025=1),1,0))</x:f>
        <x:v>0</x:v>
      </x:c>
      <x:c r="J1043" s="5" t="n">
        <x:f>-I1043*2*'02_Actores'!$E$6/10</x:f>
        <x:v>0</x:v>
      </x:c>
      <x:c r="K1043" s="5" t="n">
        <x:f>($F$1043*'02_Actores'!$F$6+$F$1044*'02_Actores'!$F$7+$F$1045*'02_Actores'!$F$8+$F$1046*'02_Actores'!$F$9+$F$1047*'02_Actores'!$F$10+$F$1048*'02_Actores'!$F$11+$F$1049*'02_Actores'!$F$12+$F$1050*'02_Actores'!$F$13+$F$1051*'02_Actores'!$F$14+$F$1052*'02_Actores'!$F$15+$F$1053*'02_Actores'!$F$16+$F$1054*'02_Actores'!$F$17+$F$1055*'02_Actores'!$F$18+$F$1056*'02_Actores'!$F$19)/('02_Actores'!$F$6+'02_Actores'!$F$7+'02_Actores'!$F$8+'02_Actores'!$F$9+'02_Actores'!$F$10+'02_Actores'!$F$11+'02_Actores'!$F$12+'02_Actores'!$F$13+'02_Actores'!$F$14+'02_Actores'!$F$15+'02_Actores'!$F$16+'02_Actores'!$F$17+'02_Actores'!$F$18+'02_Actores'!$F$19)</x:f>
        <x:v>49.10412510231434</x:v>
      </x:c>
      <x:c r="L1043" s="5" t="str">
        <x:v>J programa offset para t+1; efecto sustituible y acotado, sin voto adicional.</x:v>
      </x:c>
    </x:row>
    <x:row r="1044" ht="34" customHeight="1">
      <x:c r="A1044" s="10" t="str">
        <x:v>S2_VIAL</x:v>
      </x:c>
      <x:c r="B1044" s="10" t="n">
        <x:v>6</x:v>
      </x:c>
      <x:c r="C1044" s="10" t="str">
        <x:v>agro</x:v>
      </x:c>
      <x:c r="D1044" s="10" t="n">
        <x:f>$F$1026</x:f>
        <x:v>47.05285714285714</x:v>
      </x:c>
      <x:c r="E1044" s="10" t="n">
        <x:f>(ABS('03_Sensibilidades'!$C$10)*IF('03_Sensibilidades'!$C$10&lt;0,100-$K$284,$K$284)+ABS('03_Sensibilidades'!$C$11)*IF('03_Sensibilidades'!$C$11&lt;0,100-$K$285,$K$285)+ABS('03_Sensibilidades'!$C$12)*IF('03_Sensibilidades'!$C$12&lt;0,100-$K$292,$K$292)+ABS('03_Sensibilidades'!$C$13)*IF('03_Sensibilidades'!$C$13&lt;0,100-$K$282,$K$282))/(ABS('03_Sensibilidades'!$C$10)+ABS('03_Sensibilidades'!$C$11)+ABS('03_Sensibilidades'!$C$12)+ABS('03_Sensibilidades'!$C$13))</x:f>
        <x:v>48.312960714285715</x:v>
      </x:c>
      <x:c r="F1044" s="10" t="n">
        <x:f>(1-'00_Arquitectura'!$B$95)*D1044+'00_Arquitectura'!$B$95*E1044</x:f>
        <x:v>47.493893392857146</x:v>
      </x:c>
      <x:c r="G1044" s="10" t="n">
        <x:f>'02_Actores'!$I$7</x:f>
        <x:v>45</x:v>
      </x:c>
      <x:c r="H1044" s="10" t="n">
        <x:f>IF(OR(AND(F1044&lt;'00_Arquitectura'!$B$118,G1044&lt;'00_Arquitectura'!$B$119),F1044&lt;'00_Arquitectura'!$B$120),1,0)</x:f>
        <x:v>0</x:v>
      </x:c>
      <x:c r="I1044" s="10" t="n">
        <x:f>IF($I$1026=1,IF(OR(AND(F1044&lt;'00_Arquitectura'!$B$121,G1044&lt;'00_Arquitectura'!$B$122),F1044&lt;'00_Arquitectura'!$B$123),1,0),IF(AND(H1044=1,$H$1026=1),1,0))</x:f>
        <x:v>0</x:v>
      </x:c>
      <x:c r="J1044" s="10" t="n">
        <x:f>-I1044*2*'02_Actores'!$E$7/10</x:f>
        <x:v>0</x:v>
      </x:c>
      <x:c r="K1044" s="10" t="n">
        <x:f>$K$1043</x:f>
        <x:v>49.10412510231434</x:v>
      </x:c>
      <x:c r="L1044" s="10" t="str">
        <x:v>J programa offset para t+1; efecto sustituible y acotado, sin voto adicional.</x:v>
      </x:c>
    </x:row>
    <x:row r="1045" ht="34" customHeight="1">
      <x:c r="A1045" s="5" t="str">
        <x:v>S2_VIAL</x:v>
      </x:c>
      <x:c r="B1045" s="5" t="n">
        <x:v>6</x:v>
      </x:c>
      <x:c r="C1045" s="5" t="str">
        <x:v>financiero</x:v>
      </x:c>
      <x:c r="D1045" s="5" t="n">
        <x:f>$F$1027</x:f>
        <x:v>54.69139655172413</x:v>
      </x:c>
      <x:c r="E1045" s="5" t="n">
        <x:f>(ABS('03_Sensibilidades'!$C$14)*IF('03_Sensibilidades'!$C$14&lt;0,100-$K$283,$K$283)+ABS('03_Sensibilidades'!$C$15)*IF('03_Sensibilidades'!$C$15&lt;0,100-$K$279,$K$279)+ABS('03_Sensibilidades'!$C$16)*IF('03_Sensibilidades'!$C$16&lt;0,100-$K$282,$K$282)+ABS('03_Sensibilidades'!$C$17)*IF('03_Sensibilidades'!$C$17&lt;0,100-$K$291,$K$291))/(ABS('03_Sensibilidades'!$C$14)+ABS('03_Sensibilidades'!$C$15)+ABS('03_Sensibilidades'!$C$16)+ABS('03_Sensibilidades'!$C$17))</x:f>
        <x:v>53.97894275862069</x:v>
      </x:c>
      <x:c r="F1045" s="5" t="n">
        <x:f>(1-'00_Arquitectura'!$B$95)*D1045+'00_Arquitectura'!$B$95*E1045</x:f>
        <x:v>54.44203772413793</x:v>
      </x:c>
      <x:c r="G1045" s="5" t="n">
        <x:f>'02_Actores'!$I$8</x:f>
        <x:v>45</x:v>
      </x:c>
      <x:c r="H1045" s="5" t="n">
        <x:f>IF(OR(AND(F1045&lt;'00_Arquitectura'!$B$118,G1045&lt;'00_Arquitectura'!$B$119),F1045&lt;'00_Arquitectura'!$B$120),1,0)</x:f>
        <x:v>0</x:v>
      </x:c>
      <x:c r="I1045" s="5" t="n">
        <x:f>IF($I$1027=1,IF(OR(AND(F1045&lt;'00_Arquitectura'!$B$121,G1045&lt;'00_Arquitectura'!$B$122),F1045&lt;'00_Arquitectura'!$B$123),1,0),IF(AND(H1045=1,$H$1027=1),1,0))</x:f>
        <x:v>0</x:v>
      </x:c>
      <x:c r="J1045" s="5" t="n">
        <x:f>-I1045*2*'02_Actores'!$E$8/10</x:f>
        <x:v>0</x:v>
      </x:c>
      <x:c r="K1045" s="5" t="n">
        <x:f>$K$1043</x:f>
        <x:v>49.10412510231434</x:v>
      </x:c>
      <x:c r="L1045" s="5" t="str">
        <x:v>J programa offset para t+1; efecto sustituible y acotado, sin voto adicional.</x:v>
      </x:c>
    </x:row>
    <x:row r="1046" ht="34" customHeight="1">
      <x:c r="A1046" s="10" t="str">
        <x:v>S2_VIAL</x:v>
      </x:c>
      <x:c r="B1046" s="10" t="n">
        <x:v>6</x:v>
      </x:c>
      <x:c r="C1046" s="10" t="str">
        <x:v>sindicatos</x:v>
      </x:c>
      <x:c r="D1046" s="10" t="n">
        <x:f>$F$1028</x:f>
        <x:v>48.16048374137931</x:v>
      </x:c>
      <x:c r="E1046" s="10" t="n">
        <x:f>(ABS('03_Sensibilidades'!$C$18)*IF('03_Sensibilidades'!$C$18&lt;0,100-$K$281,$K$281)+ABS('03_Sensibilidades'!$C$19)*IF('03_Sensibilidades'!$C$19&lt;0,100-$K$280,$K$280)+ABS('03_Sensibilidades'!$C$20)*IF('03_Sensibilidades'!$C$20&lt;0,100-$K$288,$K$288)+ABS('03_Sensibilidades'!$C$21)*IF('03_Sensibilidades'!$C$21&lt;0,100-$K$291,$K$291))/(ABS('03_Sensibilidades'!$C$18)+ABS('03_Sensibilidades'!$C$19)+ABS('03_Sensibilidades'!$C$20)+ABS('03_Sensibilidades'!$C$21))</x:f>
        <x:v>48.19786979310346</x:v>
      </x:c>
      <x:c r="F1046" s="10" t="n">
        <x:f>(1-'00_Arquitectura'!$B$95)*D1046+'00_Arquitectura'!$B$95*E1046</x:f>
        <x:v>48.173568859482764</x:v>
      </x:c>
      <x:c r="G1046" s="10" t="n">
        <x:f>'02_Actores'!$I$9</x:f>
        <x:v>45</x:v>
      </x:c>
      <x:c r="H1046" s="10" t="n">
        <x:f>IF(OR(AND(F1046&lt;'00_Arquitectura'!$B$118,G1046&lt;'00_Arquitectura'!$B$119),F1046&lt;'00_Arquitectura'!$B$120),1,0)</x:f>
        <x:v>0</x:v>
      </x:c>
      <x:c r="I1046" s="10" t="n">
        <x:f>IF($I$1028=1,IF(OR(AND(F1046&lt;'00_Arquitectura'!$B$121,G1046&lt;'00_Arquitectura'!$B$122),F1046&lt;'00_Arquitectura'!$B$123),1,0),IF(AND(H1046=1,$H$1028=1),1,0))</x:f>
        <x:v>0</x:v>
      </x:c>
      <x:c r="J1046" s="10" t="n">
        <x:f>-I1046*2*'02_Actores'!$E$9/10</x:f>
        <x:v>0</x:v>
      </x:c>
      <x:c r="K1046" s="10" t="n">
        <x:f>$K$1043</x:f>
        <x:v>49.10412510231434</x:v>
      </x:c>
      <x:c r="L1046" s="10" t="str">
        <x:v>J programa offset para t+1; efecto sustituible y acotado, sin voto adicional.</x:v>
      </x:c>
    </x:row>
    <x:row r="1047" ht="34" customHeight="1">
      <x:c r="A1047" s="5" t="str">
        <x:v>S2_VIAL</x:v>
      </x:c>
      <x:c r="B1047" s="5" t="n">
        <x:v>6</x:v>
      </x:c>
      <x:c r="C1047" s="5" t="str">
        <x:v>pymes</x:v>
      </x:c>
      <x:c r="D1047" s="5" t="n">
        <x:f>$F$1029</x:f>
        <x:v>49.928375982758624</x:v>
      </x:c>
      <x:c r="E1047" s="5" t="n">
        <x:f>(ABS('03_Sensibilidades'!$C$22)*IF('03_Sensibilidades'!$C$22&lt;0,100-$K$282,$K$282)+ABS('03_Sensibilidades'!$C$23)*IF('03_Sensibilidades'!$C$23&lt;0,100-$K$280,$K$280)+ABS('03_Sensibilidades'!$C$24)*IF('03_Sensibilidades'!$C$24&lt;0,100-$K$285,$K$285)+ABS('03_Sensibilidades'!$C$25)*IF('03_Sensibilidades'!$C$25&lt;0,100-$K$279,$K$279))/(ABS('03_Sensibilidades'!$C$22)+ABS('03_Sensibilidades'!$C$23)+ABS('03_Sensibilidades'!$C$24)+ABS('03_Sensibilidades'!$C$25))</x:f>
        <x:v>50.404243586206896</x:v>
      </x:c>
      <x:c r="F1047" s="5" t="n">
        <x:f>(1-'00_Arquitectura'!$B$95)*D1047+'00_Arquitectura'!$B$95*E1047</x:f>
        <x:v>50.09492964396552</x:v>
      </x:c>
      <x:c r="G1047" s="5" t="n">
        <x:f>'02_Actores'!$I$10</x:f>
        <x:v>45</x:v>
      </x:c>
      <x:c r="H1047" s="5" t="n">
        <x:f>IF(OR(AND(F1047&lt;'00_Arquitectura'!$B$118,G1047&lt;'00_Arquitectura'!$B$119),F1047&lt;'00_Arquitectura'!$B$120),1,0)</x:f>
        <x:v>0</x:v>
      </x:c>
      <x:c r="I1047" s="5" t="n">
        <x:f>IF($I$1029=1,IF(OR(AND(F1047&lt;'00_Arquitectura'!$B$121,G1047&lt;'00_Arquitectura'!$B$122),F1047&lt;'00_Arquitectura'!$B$123),1,0),IF(AND(H1047=1,$H$1029=1),1,0))</x:f>
        <x:v>0</x:v>
      </x:c>
      <x:c r="J1047" s="5" t="n">
        <x:f>-I1047*2*'02_Actores'!$E$10/10</x:f>
        <x:v>0</x:v>
      </x:c>
      <x:c r="K1047" s="5" t="n">
        <x:f>$K$1043</x:f>
        <x:v>49.10412510231434</x:v>
      </x:c>
      <x:c r="L1047" s="5" t="str">
        <x:v>J programa offset para t+1; efecto sustituible y acotado, sin voto adicional.</x:v>
      </x:c>
    </x:row>
    <x:row r="1048" ht="34" customHeight="1">
      <x:c r="A1048" s="10" t="str">
        <x:v>S2_VIAL</x:v>
      </x:c>
      <x:c r="B1048" s="10" t="n">
        <x:v>6</x:v>
      </x:c>
      <x:c r="C1048" s="10" t="str">
        <x:v>clase_media</x:v>
      </x:c>
      <x:c r="D1048" s="10" t="n">
        <x:f>$F$1030</x:f>
        <x:v>48.37504166666666</x:v>
      </x:c>
      <x:c r="E1048" s="10" t="n">
        <x:f>(ABS('03_Sensibilidades'!$C$26)*IF('03_Sensibilidades'!$C$26&lt;0,100-$K$281,$K$281)+ABS('03_Sensibilidades'!$C$27)*IF('03_Sensibilidades'!$C$27&lt;0,100-$K$289,$K$289)+ABS('03_Sensibilidades'!$C$28)*IF('03_Sensibilidades'!$C$28&lt;0,100-$K$286,$K$286)+ABS('03_Sensibilidades'!$C$29)*IF('03_Sensibilidades'!$C$29&lt;0,100-$K$279,$K$279))/(ABS('03_Sensibilidades'!$C$26)+ABS('03_Sensibilidades'!$C$27)+ABS('03_Sensibilidades'!$C$28)+ABS('03_Sensibilidades'!$C$29))</x:f>
        <x:v>48.35336888888889</x:v>
      </x:c>
      <x:c r="F1048" s="10" t="n">
        <x:f>(1-'00_Arquitectura'!$B$95)*D1048+'00_Arquitectura'!$B$95*E1048</x:f>
        <x:v>48.36745619444444</x:v>
      </x:c>
      <x:c r="G1048" s="10" t="n">
        <x:f>'02_Actores'!$I$11</x:f>
        <x:v>45</x:v>
      </x:c>
      <x:c r="H1048" s="10" t="n">
        <x:f>IF(OR(AND(F1048&lt;'00_Arquitectura'!$B$118,G1048&lt;'00_Arquitectura'!$B$119),F1048&lt;'00_Arquitectura'!$B$120),1,0)</x:f>
        <x:v>0</x:v>
      </x:c>
      <x:c r="I1048" s="10" t="n">
        <x:f>IF($I$1030=1,IF(OR(AND(F1048&lt;'00_Arquitectura'!$B$121,G1048&lt;'00_Arquitectura'!$B$122),F1048&lt;'00_Arquitectura'!$B$123),1,0),IF(AND(H1048=1,$H$1030=1),1,0))</x:f>
        <x:v>0</x:v>
      </x:c>
      <x:c r="J1048" s="10" t="n">
        <x:f>0</x:f>
        <x:v>0</x:v>
      </x:c>
      <x:c r="K1048" s="10" t="n">
        <x:f>$K$1043</x:f>
        <x:v>49.10412510231434</x:v>
      </x:c>
      <x:c r="L1048" s="10" t="str">
        <x:v>Canal directo sólo al índice social; sin bono de popularidad.</x:v>
      </x:c>
    </x:row>
    <x:row r="1049" ht="34" customHeight="1">
      <x:c r="A1049" s="5" t="str">
        <x:v>S2_VIAL</x:v>
      </x:c>
      <x:c r="B1049" s="5" t="n">
        <x:v>6</x:v>
      </x:c>
      <x:c r="C1049" s="5" t="str">
        <x:v>cooperativas</x:v>
      </x:c>
      <x:c r="D1049" s="5" t="n">
        <x:f>$F$1031</x:f>
        <x:v>47.93883261111111</x:v>
      </x:c>
      <x:c r="E1049" s="5" t="n">
        <x:f>(ABS('03_Sensibilidades'!$C$30)*IF('03_Sensibilidades'!$C$30&lt;0,100-$K$282,$K$282)+ABS('03_Sensibilidades'!$C$31)*IF('03_Sensibilidades'!$C$31&lt;0,100-$K$280,$K$280)+ABS('03_Sensibilidades'!$C$32)*IF('03_Sensibilidades'!$C$32&lt;0,100-$K$288,$K$288)+ABS('03_Sensibilidades'!$C$33)*IF('03_Sensibilidades'!$C$33&lt;0,100-$K$291,$K$291))/(ABS('03_Sensibilidades'!$C$30)+ABS('03_Sensibilidades'!$C$31)+ABS('03_Sensibilidades'!$C$32)+ABS('03_Sensibilidades'!$C$33))</x:f>
        <x:v>47.9728122962963</x:v>
      </x:c>
      <x:c r="F1049" s="5" t="n">
        <x:f>(1-'00_Arquitectura'!$B$95)*D1049+'00_Arquitectura'!$B$95*E1049</x:f>
        <x:v>47.95072550092593</x:v>
      </x:c>
      <x:c r="G1049" s="5" t="n">
        <x:f>'02_Actores'!$I$12</x:f>
        <x:v>45</x:v>
      </x:c>
      <x:c r="H1049" s="5" t="n">
        <x:f>IF(OR(AND(F1049&lt;'00_Arquitectura'!$B$118,G1049&lt;'00_Arquitectura'!$B$119),F1049&lt;'00_Arquitectura'!$B$120),1,0)</x:f>
        <x:v>0</x:v>
      </x:c>
      <x:c r="I1049" s="5" t="n">
        <x:f>IF($I$1031=1,IF(OR(AND(F1049&lt;'00_Arquitectura'!$B$121,G1049&lt;'00_Arquitectura'!$B$122),F1049&lt;'00_Arquitectura'!$B$123),1,0),IF(AND(H1049=1,$H$1031=1),1,0))</x:f>
        <x:v>0</x:v>
      </x:c>
      <x:c r="J1049" s="5" t="n">
        <x:f>-I1049*1.5*'02_Actores'!$E$12/10</x:f>
        <x:v>0</x:v>
      </x:c>
      <x:c r="K1049" s="5" t="n">
        <x:f>$K$1043</x:f>
        <x:v>49.10412510231434</x:v>
      </x:c>
      <x:c r="L1049" s="5" t="str">
        <x:v>J programa offset para t+1; efecto sustituible y acotado, sin voto adicional.</x:v>
      </x:c>
    </x:row>
    <x:row r="1050" ht="42" customHeight="1">
      <x:c r="A1050" s="10" t="str">
        <x:v>S2_VIAL</x:v>
      </x:c>
      <x:c r="B1050" s="10" t="n">
        <x:v>6</x:v>
      </x:c>
      <x:c r="C1050" s="10" t="str">
        <x:v>estudiantes</x:v>
      </x:c>
      <x:c r="D1050" s="10" t="n">
        <x:f>$F$1032</x:f>
        <x:v>49.222522500000004</x:v>
      </x:c>
      <x:c r="E1050" s="10" t="n">
        <x:f>(ABS('03_Sensibilidades'!$C$34)*IF('03_Sensibilidades'!$C$34&lt;0,100-$K$286,$K$286)+ABS('03_Sensibilidades'!$C$35)*IF('03_Sensibilidades'!$C$35&lt;0,100-$K$281,$K$281)+ABS('03_Sensibilidades'!$C$36)*IF('03_Sensibilidades'!$C$36&lt;0,100-$K$291,$K$291)+ABS('03_Sensibilidades'!$C$37)*IF('03_Sensibilidades'!$C$37&lt;0,100-$K$290,$K$290))/(ABS('03_Sensibilidades'!$C$34)+ABS('03_Sensibilidades'!$C$35)+ABS('03_Sensibilidades'!$C$36)+ABS('03_Sensibilidades'!$C$37))</x:f>
        <x:v>49.2108192</x:v>
      </x:c>
      <x:c r="F1050" s="10" t="n">
        <x:f>(1-'00_Arquitectura'!$B$95)*D1050+'00_Arquitectura'!$B$95*E1050</x:f>
        <x:v>49.218426345000005</x:v>
      </x:c>
      <x:c r="G1050" s="10" t="n">
        <x:f>'02_Actores'!$I$13</x:f>
        <x:v>45</x:v>
      </x:c>
      <x:c r="H1050" s="10" t="n">
        <x:f>IF(OR(AND(F1050&lt;'00_Arquitectura'!$B$118,G1050&lt;'00_Arquitectura'!$B$119),F1050&lt;'00_Arquitectura'!$B$120),1,0)</x:f>
        <x:v>0</x:v>
      </x:c>
      <x:c r="I1050" s="10" t="n">
        <x:f>IF($I$1032=1,IF(OR(AND(F1050&lt;'00_Arquitectura'!$B$121,G1050&lt;'00_Arquitectura'!$B$122),F1050&lt;'00_Arquitectura'!$B$123),1,0),IF(AND(H1050=1,$H$1032=1),1,0))</x:f>
        <x:v>0</x:v>
      </x:c>
      <x:c r="J1050" s="10" t="n">
        <x:f>0</x:f>
        <x:v>0</x:v>
      </x:c>
      <x:c r="K1050" s="10" t="n">
        <x:f>$K$1043</x:f>
        <x:v>49.10412510231434</x:v>
      </x:c>
      <x:c r="L1050" s="10" t="str">
        <x:v>Conflicto activo captura menor eficacia en políticas ejecutadas en t+1. Magnitud0 en J: no es un offset directo de indicador.</x:v>
      </x:c>
    </x:row>
    <x:row r="1051" ht="34" customHeight="1">
      <x:c r="A1051" s="5" t="str">
        <x:v>S2_VIAL</x:v>
      </x:c>
      <x:c r="B1051" s="5" t="n">
        <x:v>6</x:v>
      </x:c>
      <x:c r="C1051" s="5" t="str">
        <x:v>docentes</x:v>
      </x:c>
      <x:c r="D1051" s="5" t="n">
        <x:f>$F$1033</x:f>
        <x:v>48.95710923913043</x:v>
      </x:c>
      <x:c r="E1051" s="5" t="n">
        <x:f>(ABS('03_Sensibilidades'!$C$38)*IF('03_Sensibilidades'!$C$38&lt;0,100-$K$286,$K$286)+ABS('03_Sensibilidades'!$C$39)*IF('03_Sensibilidades'!$C$39&lt;0,100-$K$281,$K$281)+ABS('03_Sensibilidades'!$C$40)*IF('03_Sensibilidades'!$C$40&lt;0,100-$K$291,$K$291))/(ABS('03_Sensibilidades'!$C$38)+ABS('03_Sensibilidades'!$C$39)+ABS('03_Sensibilidades'!$C$40))</x:f>
        <x:v>48.93421147826087</x:v>
      </x:c>
      <x:c r="F1051" s="5" t="n">
        <x:f>(1-'00_Arquitectura'!$B$95)*D1051+'00_Arquitectura'!$B$95*E1051</x:f>
        <x:v>48.949095022826086</x:v>
      </x:c>
      <x:c r="G1051" s="5" t="n">
        <x:f>'02_Actores'!$I$14</x:f>
        <x:v>45</x:v>
      </x:c>
      <x:c r="H1051" s="5" t="n">
        <x:f>IF(OR(AND(F1051&lt;'00_Arquitectura'!$B$118,G1051&lt;'00_Arquitectura'!$B$119),F1051&lt;'00_Arquitectura'!$B$120),1,0)</x:f>
        <x:v>0</x:v>
      </x:c>
      <x:c r="I1051" s="5" t="n">
        <x:f>IF($I$1033=1,IF(OR(AND(F1051&lt;'00_Arquitectura'!$B$121,G1051&lt;'00_Arquitectura'!$B$122),F1051&lt;'00_Arquitectura'!$B$123),1,0),IF(AND(H1051=1,$H$1033=1),1,0))</x:f>
        <x:v>0</x:v>
      </x:c>
      <x:c r="J1051" s="5" t="n">
        <x:f>-I1051*1.5*'02_Actores'!$E$14/10</x:f>
        <x:v>0</x:v>
      </x:c>
      <x:c r="K1051" s="5" t="n">
        <x:f>$K$1043</x:f>
        <x:v>49.10412510231434</x:v>
      </x:c>
      <x:c r="L1051" s="5" t="str">
        <x:v>J programa offset para t+1; efecto sustituible y acotado, sin voto adicional.</x:v>
      </x:c>
    </x:row>
    <x:row r="1052" ht="34" customHeight="1">
      <x:c r="A1052" s="10" t="str">
        <x:v>S2_VIAL</x:v>
      </x:c>
      <x:c r="B1052" s="10" t="n">
        <x:v>6</x:v>
      </x:c>
      <x:c r="C1052" s="10" t="str">
        <x:v>cientificos</x:v>
      </x:c>
      <x:c r="D1052" s="10" t="n">
        <x:f>$F$1034</x:f>
        <x:v>46.59090909090909</x:v>
      </x:c>
      <x:c r="E1052" s="10" t="n">
        <x:f>(ABS('03_Sensibilidades'!$C$41)*IF('03_Sensibilidades'!$C$41&lt;0,100-$K$290,$K$290)+ABS('03_Sensibilidades'!$C$42)*IF('03_Sensibilidades'!$C$42&lt;0,100-$K$286,$K$286)+ABS('03_Sensibilidades'!$C$43)*IF('03_Sensibilidades'!$C$43&lt;0,100-$K$291,$K$291))/(ABS('03_Sensibilidades'!$C$41)+ABS('03_Sensibilidades'!$C$42)+ABS('03_Sensibilidades'!$C$43))</x:f>
        <x:v>46.59090909090909</x:v>
      </x:c>
      <x:c r="F1052" s="10" t="n">
        <x:f>(1-'00_Arquitectura'!$B$95)*D1052+'00_Arquitectura'!$B$95*E1052</x:f>
        <x:v>46.59090909090909</x:v>
      </x:c>
      <x:c r="G1052" s="10" t="n">
        <x:f>'02_Actores'!$I$15</x:f>
        <x:v>45</x:v>
      </x:c>
      <x:c r="H1052" s="10" t="n">
        <x:f>IF(OR(AND(F1052&lt;'00_Arquitectura'!$B$118,G1052&lt;'00_Arquitectura'!$B$119),F1052&lt;'00_Arquitectura'!$B$120),1,0)</x:f>
        <x:v>0</x:v>
      </x:c>
      <x:c r="I1052" s="10" t="n">
        <x:f>IF($I$1034=1,IF(OR(AND(F1052&lt;'00_Arquitectura'!$B$121,G1052&lt;'00_Arquitectura'!$B$122),F1052&lt;'00_Arquitectura'!$B$123),1,0),IF(AND(H1052=1,$H$1034=1),1,0))</x:f>
        <x:v>0</x:v>
      </x:c>
      <x:c r="J1052" s="10" t="n">
        <x:f>-I1052*1.5*'02_Actores'!$E$15/10</x:f>
        <x:v>0</x:v>
      </x:c>
      <x:c r="K1052" s="10" t="n">
        <x:f>$K$1043</x:f>
        <x:v>49.10412510231434</x:v>
      </x:c>
      <x:c r="L1052" s="10" t="str">
        <x:v>J programa offset para t+1; efecto sustituible y acotado, sin voto adicional.</x:v>
      </x:c>
    </x:row>
    <x:row r="1053" ht="34" customHeight="1">
      <x:c r="A1053" s="5" t="str">
        <x:v>S2_VIAL</x:v>
      </x:c>
      <x:c r="B1053" s="5" t="n">
        <x:v>6</x:v>
      </x:c>
      <x:c r="C1053" s="5" t="str">
        <x:v>organizaciones</x:v>
      </x:c>
      <x:c r="D1053" s="5" t="n">
        <x:f>$F$1035</x:f>
        <x:v>49.23875960714285</x:v>
      </x:c>
      <x:c r="E1053" s="5" t="n">
        <x:f>(ABS('03_Sensibilidades'!$C$44)*IF('03_Sensibilidades'!$C$44&lt;0,100-$K$288,$K$288)+ABS('03_Sensibilidades'!$C$45)*IF('03_Sensibilidades'!$C$45&lt;0,100-$K$287,$K$287)+ABS('03_Sensibilidades'!$C$46)*IF('03_Sensibilidades'!$C$46&lt;0,100-$K$280,$K$280)+ABS('03_Sensibilidades'!$C$47)*IF('03_Sensibilidades'!$C$47&lt;0,100-$K$291,$K$291))/(ABS('03_Sensibilidades'!$C$44)+ABS('03_Sensibilidades'!$C$45)+ABS('03_Sensibilidades'!$C$46)+ABS('03_Sensibilidades'!$C$47))</x:f>
        <x:v>49.278506285714286</x:v>
      </x:c>
      <x:c r="F1053" s="5" t="n">
        <x:f>(1-'00_Arquitectura'!$B$95)*D1053+'00_Arquitectura'!$B$95*E1053</x:f>
        <x:v>49.25267094464285</x:v>
      </x:c>
      <x:c r="G1053" s="5" t="n">
        <x:f>'02_Actores'!$I$16</x:f>
        <x:v>45</x:v>
      </x:c>
      <x:c r="H1053" s="5" t="n">
        <x:f>IF(OR(AND(F1053&lt;'00_Arquitectura'!$B$118,G1053&lt;'00_Arquitectura'!$B$119),F1053&lt;'00_Arquitectura'!$B$120),1,0)</x:f>
        <x:v>0</x:v>
      </x:c>
      <x:c r="I1053" s="5" t="n">
        <x:f>IF($I$1035=1,IF(OR(AND(F1053&lt;'00_Arquitectura'!$B$121,G1053&lt;'00_Arquitectura'!$B$122),F1053&lt;'00_Arquitectura'!$B$123),1,0),IF(AND(H1053=1,$H$1035=1),1,0))</x:f>
        <x:v>0</x:v>
      </x:c>
      <x:c r="J1053" s="5" t="n">
        <x:f>-I1053*1.5*'02_Actores'!$E$16/10</x:f>
        <x:v>0</x:v>
      </x:c>
      <x:c r="K1053" s="5" t="n">
        <x:f>$K$1043</x:f>
        <x:v>49.10412510231434</x:v>
      </x:c>
      <x:c r="L1053" s="5" t="str">
        <x:v>J programa offset para t+1; efecto sustituible y acotado, sin voto adicional.</x:v>
      </x:c>
    </x:row>
    <x:row r="1054" ht="42" customHeight="1">
      <x:c r="A1054" s="10" t="str">
        <x:v>S2_VIAL</x:v>
      </x:c>
      <x:c r="B1054" s="10" t="n">
        <x:v>6</x:v>
      </x:c>
      <x:c r="C1054" s="10" t="str">
        <x:v>ddhh</x:v>
      </x:c>
      <x:c r="D1054" s="10" t="n">
        <x:f>$F$1036</x:f>
        <x:v>50.88235294117648</x:v>
      </x:c>
      <x:c r="E1054" s="10" t="n">
        <x:f>(ABS('03_Sensibilidades'!$C$48)*IF('03_Sensibilidades'!$C$48&lt;0,100-$K$291,$K$291)+ABS('03_Sensibilidades'!$C$49)*IF('03_Sensibilidades'!$C$49&lt;0,100-$K$289,$K$289)+ABS('03_Sensibilidades'!$C$50)*IF('03_Sensibilidades'!$C$50&lt;0,100-$K$288,$K$288))/(ABS('03_Sensibilidades'!$C$48)+ABS('03_Sensibilidades'!$C$49)+ABS('03_Sensibilidades'!$C$50))</x:f>
        <x:v>50.88235294117647</x:v>
      </x:c>
      <x:c r="F1054" s="10" t="n">
        <x:f>(1-'00_Arquitectura'!$B$95)*D1054+'00_Arquitectura'!$B$95*E1054</x:f>
        <x:v>50.88235294117648</x:v>
      </x:c>
      <x:c r="G1054" s="10" t="n">
        <x:f>'02_Actores'!$I$17</x:f>
        <x:v>45</x:v>
      </x:c>
      <x:c r="H1054" s="10" t="n">
        <x:f>IF(OR(AND(F1054&lt;'00_Arquitectura'!$B$118,G1054&lt;'00_Arquitectura'!$B$119),F1054&lt;'00_Arquitectura'!$B$120),1,0)</x:f>
        <x:v>0</x:v>
      </x:c>
      <x:c r="I1054" s="10" t="n">
        <x:f>IF($I$1036=1,IF(OR(AND(F1054&lt;'00_Arquitectura'!$B$121,G1054&lt;'00_Arquitectura'!$B$122),F1054&lt;'00_Arquitectura'!$B$123),1,0),IF(AND(H1054=1,$H$1036=1),1,0))</x:f>
        <x:v>0</x:v>
      </x:c>
      <x:c r="J1054" s="10" t="n">
        <x:f>0</x:f>
        <x:v>0</x:v>
      </x:c>
      <x:c r="K1054" s="10" t="n">
        <x:f>$K$1043</x:f>
        <x:v>49.10412510231434</x:v>
      </x:c>
      <x:c r="L1054" s="10" t="str">
        <x:v>Conflicto activo captura menor eficacia en políticas ejecutadas en t+1. Magnitud0 en J: no es un offset directo de indicador.</x:v>
      </x:c>
    </x:row>
    <x:row r="1055" ht="42" customHeight="1">
      <x:c r="A1055" s="5" t="str">
        <x:v>S2_VIAL</x:v>
      </x:c>
      <x:c r="B1055" s="5" t="n">
        <x:v>6</x:v>
      </x:c>
      <x:c r="C1055" s="5" t="str">
        <x:v>ambientalistas</x:v>
      </x:c>
      <x:c r="D1055" s="5" t="n">
        <x:f>$F$1037</x:f>
        <x:v>50.74722222222222</x:v>
      </x:c>
      <x:c r="E1055" s="5" t="n">
        <x:f>(ABS('03_Sensibilidades'!$C$51)*IF('03_Sensibilidades'!$C$51&lt;0,100-$K$292,$K$292)+ABS('03_Sensibilidades'!$C$52)*IF('03_Sensibilidades'!$C$52&lt;0,100-$K$291,$K$291)+ABS('03_Sensibilidades'!$C$53)*IF('03_Sensibilidades'!$C$53&lt;0,100-$K$287,$K$287))/(ABS('03_Sensibilidades'!$C$51)+ABS('03_Sensibilidades'!$C$52)+ABS('03_Sensibilidades'!$C$53))</x:f>
        <x:v>50.27777777777778</x:v>
      </x:c>
      <x:c r="F1055" s="5" t="n">
        <x:f>(1-'00_Arquitectura'!$B$95)*D1055+'00_Arquitectura'!$B$95*E1055</x:f>
        <x:v>50.58291666666666</x:v>
      </x:c>
      <x:c r="G1055" s="5" t="n">
        <x:f>'02_Actores'!$I$18</x:f>
        <x:v>45</x:v>
      </x:c>
      <x:c r="H1055" s="5" t="n">
        <x:f>IF(OR(AND(F1055&lt;'00_Arquitectura'!$B$118,G1055&lt;'00_Arquitectura'!$B$119),F1055&lt;'00_Arquitectura'!$B$120),1,0)</x:f>
        <x:v>0</x:v>
      </x:c>
      <x:c r="I1055" s="5" t="n">
        <x:f>IF($I$1037=1,IF(OR(AND(F1055&lt;'00_Arquitectura'!$B$121,G1055&lt;'00_Arquitectura'!$B$122),F1055&lt;'00_Arquitectura'!$B$123),1,0),IF(AND(H1055=1,$H$1037=1),1,0))</x:f>
        <x:v>0</x:v>
      </x:c>
      <x:c r="J1055" s="5" t="n">
        <x:f>0</x:f>
        <x:v>0</x:v>
      </x:c>
      <x:c r="K1055" s="5" t="n">
        <x:f>$K$1043</x:f>
        <x:v>49.10412510231434</x:v>
      </x:c>
      <x:c r="L1055" s="5" t="str">
        <x:v>Conflicto activo captura menor eficacia en políticas ejecutadas en t+1. Magnitud0 en J: no es un offset directo de indicador.</x:v>
      </x:c>
    </x:row>
    <x:row r="1056" ht="34" customHeight="1">
      <x:c r="A1056" s="10" t="str">
        <x:v>S2_VIAL</x:v>
      </x:c>
      <x:c r="B1056" s="10" t="n">
        <x:v>6</x:v>
      </x:c>
      <x:c r="C1056" s="10" t="str">
        <x:v>cultura</x:v>
      </x:c>
      <x:c r="D1056" s="10" t="n">
        <x:f>$F$1038</x:f>
        <x:v>50.81910855263158</x:v>
      </x:c>
      <x:c r="E1056" s="10" t="n">
        <x:f>(ABS('03_Sensibilidades'!$C$54)*IF('03_Sensibilidades'!$C$54&lt;0,100-$K$291,$K$291)+ABS('03_Sensibilidades'!$C$55)*IF('03_Sensibilidades'!$C$55&lt;0,100-$K$286,$K$286)+ABS('03_Sensibilidades'!$C$56)*IF('03_Sensibilidades'!$C$56&lt;0,100-$K$281,$K$281))/(ABS('03_Sensibilidades'!$C$54)+ABS('03_Sensibilidades'!$C$55)+ABS('03_Sensibilidades'!$C$56))</x:f>
        <x:v>50.803709473684215</x:v>
      </x:c>
      <x:c r="F1056" s="10" t="n">
        <x:f>(1-'00_Arquitectura'!$B$95)*D1056+'00_Arquitectura'!$B$95*E1056</x:f>
        <x:v>50.813718875000006</x:v>
      </x:c>
      <x:c r="G1056" s="10" t="n">
        <x:f>'02_Actores'!$I$19</x:f>
        <x:v>45</x:v>
      </x:c>
      <x:c r="H1056" s="10" t="n">
        <x:f>IF(OR(AND(F1056&lt;'00_Arquitectura'!$B$118,G1056&lt;'00_Arquitectura'!$B$119),F1056&lt;'00_Arquitectura'!$B$120),1,0)</x:f>
        <x:v>0</x:v>
      </x:c>
      <x:c r="I1056" s="10" t="n">
        <x:f>IF($I$1038=1,IF(OR(AND(F1056&lt;'00_Arquitectura'!$B$121,G1056&lt;'00_Arquitectura'!$B$122),F1056&lt;'00_Arquitectura'!$B$123),1,0),IF(AND(H1056=1,$H$1038=1),1,0))</x:f>
        <x:v>0</x:v>
      </x:c>
      <x:c r="J1056" s="10" t="n">
        <x:f>0</x:f>
        <x:v>0</x:v>
      </x:c>
      <x:c r="K1056" s="10" t="n">
        <x:f>$K$1043</x:f>
        <x:v>49.10412510231434</x:v>
      </x:c>
      <x:c r="L1056" s="10" t="str">
        <x:v>Conflicto activo encarece agenda del turno siguiente; sin castigo electoral adicional.</x:v>
      </x:c>
    </x:row>
    <x:row r="1057" ht="34" customHeight="1">
      <x:c r="A1057" s="5" t="str">
        <x:v>S2_VIAL</x:v>
      </x:c>
      <x:c r="B1057" s="5" t="n">
        <x:v>6</x:v>
      </x:c>
      <x:c r="C1057" s="5" t="str">
        <x:v>oficialismo</x:v>
      </x:c>
      <x:c r="D1057" s="5" t="n">
        <x:f>$F$1039</x:f>
        <x:v>52.10058368</x:v>
      </x:c>
      <x:c r="E1057" s="5" t="n">
        <x:f>(ABS('03_Sensibilidades'!$C$57)*IF('03_Sensibilidades'!$C$57&lt;0,100-$K$291,$K$291)+ABS('03_Sensibilidades'!$C$58)*IF('03_Sensibilidades'!$C$58&lt;0,100-$K$280,$K$280)+ABS('03_Sensibilidades'!$C$59)*IF('03_Sensibilidades'!$C$59&lt;0,100-$K$283,$K$283)+ABS('03_Sensibilidades'!$C$60)*IF('03_Sensibilidades'!$C$60&lt;0,100-$K$288,$K$288))/(ABS('03_Sensibilidades'!$C$57)+ABS('03_Sensibilidades'!$C$58)+ABS('03_Sensibilidades'!$C$59)+ABS('03_Sensibilidades'!$C$60))</x:f>
        <x:v>51.67321344</x:v>
      </x:c>
      <x:c r="F1057" s="5" t="n">
        <x:f>(1-'00_Arquitectura'!$B$95)*D1057+'00_Arquitectura'!$B$95*E1057</x:f>
        <x:v>51.951004096</x:v>
      </x:c>
      <x:c r="G1057" s="5" t="n">
        <x:f>'02_Actores'!$I$20</x:f>
        <x:v>60</x:v>
      </x:c>
      <x:c r="H1057" s="5" t="n">
        <x:f>IF(OR(AND(F1057&lt;'00_Arquitectura'!$B$118,G1057&lt;'00_Arquitectura'!$B$119),F1057&lt;'00_Arquitectura'!$B$120),1,0)</x:f>
        <x:v>0</x:v>
      </x:c>
      <x:c r="I1057" s="5" t="n">
        <x:f>IF($I$1039=1,IF(OR(AND(F1057&lt;'00_Arquitectura'!$B$121,G1057&lt;'00_Arquitectura'!$B$122),F1057&lt;'00_Arquitectura'!$B$123),1,0),IF(AND(H1057=1,$H$1039=1),1,0))</x:f>
        <x:v>0</x:v>
      </x:c>
      <x:c r="J1057" s="5" t="n">
        <x:f>0</x:f>
        <x:v>0</x:v>
      </x:c>
      <x:c r="K1057" s="5" t="n">
        <x:f>$K$1043</x:f>
        <x:v>49.10412510231434</x:v>
      </x:c>
      <x:c r="L1057" s="5" t="str">
        <x:v>No aporta E_social; S y R alimentan disposición a leyes según07.</x:v>
      </x:c>
    </x:row>
    <x:row r="1058" ht="34" customHeight="1">
      <x:c r="A1058" s="10" t="str">
        <x:v>S2_VIAL</x:v>
      </x:c>
      <x:c r="B1058" s="10" t="n">
        <x:v>6</x:v>
      </x:c>
      <x:c r="C1058" s="10" t="str">
        <x:v>aliados</x:v>
      </x:c>
      <x:c r="D1058" s="10" t="n">
        <x:f>$F$1040</x:f>
        <x:v>53.83290714285714</x:v>
      </x:c>
      <x:c r="E1058" s="10" t="n">
        <x:f>(ABS('03_Sensibilidades'!$C$61)*IF('03_Sensibilidades'!$C$61&lt;0,100-$K$291,$K$291)+ABS('03_Sensibilidades'!$C$62)*IF('03_Sensibilidades'!$C$62&lt;0,100-$K$283,$K$283)+ABS('03_Sensibilidades'!$C$63)*IF('03_Sensibilidades'!$C$63&lt;0,100-$K$285,$K$285))/(ABS('03_Sensibilidades'!$C$61)+ABS('03_Sensibilidades'!$C$62)+ABS('03_Sensibilidades'!$C$63))</x:f>
        <x:v>53.88118552380952</x:v>
      </x:c>
      <x:c r="F1058" s="10" t="n">
        <x:f>(1-'00_Arquitectura'!$B$95)*D1058+'00_Arquitectura'!$B$95*E1058</x:f>
        <x:v>53.84980457619048</x:v>
      </x:c>
      <x:c r="G1058" s="10" t="n">
        <x:f>'02_Actores'!$I$21</x:f>
        <x:v>45</x:v>
      </x:c>
      <x:c r="H1058" s="10" t="n">
        <x:f>IF(OR(AND(F1058&lt;'00_Arquitectura'!$B$118,G1058&lt;'00_Arquitectura'!$B$119),F1058&lt;'00_Arquitectura'!$B$120),1,0)</x:f>
        <x:v>0</x:v>
      </x:c>
      <x:c r="I1058" s="10" t="n">
        <x:f>IF($I$1040=1,IF(OR(AND(F1058&lt;'00_Arquitectura'!$B$121,G1058&lt;'00_Arquitectura'!$B$122),F1058&lt;'00_Arquitectura'!$B$123),1,0),IF(AND(H1058=1,$H$1040=1),1,0))</x:f>
        <x:v>0</x:v>
      </x:c>
      <x:c r="J1058" s="10" t="n">
        <x:f>0</x:f>
        <x:v>0</x:v>
      </x:c>
      <x:c r="K1058" s="10" t="n">
        <x:f>$K$1043</x:f>
        <x:v>49.10412510231434</x:v>
      </x:c>
      <x:c r="L1058" s="10" t="str">
        <x:v>No aporta E_social; S y R alimentan disposición a leyes según07.</x:v>
      </x:c>
    </x:row>
    <x:row r="1059" ht="34" customHeight="1">
      <x:c r="A1059" s="5" t="str">
        <x:v>S2_VIAL</x:v>
      </x:c>
      <x:c r="B1059" s="5" t="n">
        <x:v>6</x:v>
      </x:c>
      <x:c r="C1059" s="5" t="str">
        <x:v>oposicion</x:v>
      </x:c>
      <x:c r="D1059" s="5" t="n">
        <x:f>$F$1041</x:f>
        <x:v>53.630045</x:v>
      </x:c>
      <x:c r="E1059" s="5" t="n">
        <x:f>(ABS('03_Sensibilidades'!$C$64)*IF('03_Sensibilidades'!$C$64&lt;0,100-$K$291,$K$291)+ABS('03_Sensibilidades'!$C$65)*IF('03_Sensibilidades'!$C$65&lt;0,100-$K$283,$K$283)+ABS('03_Sensibilidades'!$C$66)*IF('03_Sensibilidades'!$C$66&lt;0,100-$K$289,$K$289))/(ABS('03_Sensibilidades'!$C$64)+ABS('03_Sensibilidades'!$C$65)+ABS('03_Sensibilidades'!$C$66))</x:f>
        <x:v>53.02163840000001</x:v>
      </x:c>
      <x:c r="F1059" s="5" t="n">
        <x:f>(1-'00_Arquitectura'!$B$95)*D1059+'00_Arquitectura'!$B$95*E1059</x:f>
        <x:v>53.41710269000001</x:v>
      </x:c>
      <x:c r="G1059" s="5" t="n">
        <x:f>'02_Actores'!$I$22</x:f>
        <x:v>30</x:v>
      </x:c>
      <x:c r="H1059" s="5" t="n">
        <x:f>IF(OR(AND(F1059&lt;'00_Arquitectura'!$B$118,G1059&lt;'00_Arquitectura'!$B$119),F1059&lt;'00_Arquitectura'!$B$120),1,0)</x:f>
        <x:v>0</x:v>
      </x:c>
      <x:c r="I1059" s="5" t="n">
        <x:f>IF($I$1041=1,IF(OR(AND(F1059&lt;'00_Arquitectura'!$B$121,G1059&lt;'00_Arquitectura'!$B$122),F1059&lt;'00_Arquitectura'!$B$123),1,0),IF(AND(H1059=1,$H$1041=1),1,0))</x:f>
        <x:v>0</x:v>
      </x:c>
      <x:c r="J1059" s="5" t="n">
        <x:f>0</x:f>
        <x:v>0</x:v>
      </x:c>
      <x:c r="K1059" s="5" t="n">
        <x:f>$K$1043</x:f>
        <x:v>49.10412510231434</x:v>
      </x:c>
      <x:c r="L1059" s="5" t="str">
        <x:v>No aporta E_social; S y R alimentan disposición a leyes según07.</x:v>
      </x:c>
    </x:row>
    <x:row r="1060" ht="42" customHeight="1">
      <x:c r="A1060" s="10" t="str">
        <x:v>S2_VIAL</x:v>
      </x:c>
      <x:c r="B1060" s="10" t="n">
        <x:v>6</x:v>
      </x:c>
      <x:c r="C1060" s="10" t="str">
        <x:v>gobernadores</x:v>
      </x:c>
      <x:c r="D1060" s="10" t="n">
        <x:f>$F$1042</x:f>
        <x:v>50.99261724137931</x:v>
      </x:c>
      <x:c r="E1060" s="10" t="n">
        <x:f>(ABS('03_Sensibilidades'!$C$67)*IF('03_Sensibilidades'!$C$67&lt;0,100-$K$285,$K$285)+ABS('03_Sensibilidades'!$C$68)*IF('03_Sensibilidades'!$C$68&lt;0,100-$K$287,$K$287)+ABS('03_Sensibilidades'!$C$69)*IF('03_Sensibilidades'!$C$69&lt;0,100-$K$286,$K$286)+ABS('03_Sensibilidades'!$C$70)*IF('03_Sensibilidades'!$C$70&lt;0,100-$K$283,$K$283))/(ABS('03_Sensibilidades'!$C$67)+ABS('03_Sensibilidades'!$C$68)+ABS('03_Sensibilidades'!$C$69)+ABS('03_Sensibilidades'!$C$70))</x:f>
        <x:v>51.35975062068966</x:v>
      </x:c>
      <x:c r="F1060" s="10" t="n">
        <x:f>(1-'00_Arquitectura'!$B$95)*D1060+'00_Arquitectura'!$B$95*E1060</x:f>
        <x:v>51.12111392413793</x:v>
      </x:c>
      <x:c r="G1060" s="10" t="n">
        <x:f>'02_Actores'!$I$23</x:f>
        <x:v>45</x:v>
      </x:c>
      <x:c r="H1060" s="10" t="n">
        <x:f>IF(OR(AND(F1060&lt;'00_Arquitectura'!$B$118,G1060&lt;'00_Arquitectura'!$B$119),F1060&lt;'00_Arquitectura'!$B$120),1,0)</x:f>
        <x:v>0</x:v>
      </x:c>
      <x:c r="I1060" s="10" t="n">
        <x:f>IF($I$1042=1,IF(OR(AND(F1060&lt;'00_Arquitectura'!$B$121,G1060&lt;'00_Arquitectura'!$B$122),F1060&lt;'00_Arquitectura'!$B$123),1,0),IF(AND(H1060=1,$H$1042=1),1,0))</x:f>
        <x:v>0</x:v>
      </x:c>
      <x:c r="J1060" s="10" t="n">
        <x:f>0</x:f>
        <x:v>0</x:v>
      </x:c>
      <x:c r="K1060" s="10" t="n">
        <x:f>$K$1043</x:f>
        <x:v>49.10412510231434</x:v>
      </x:c>
      <x:c r="L1060" s="10" t="str">
        <x:v>Conflicto activo captura menor eficacia en políticas ejecutadas en t+1. Magnitud0 en J: no es un offset directo de indicador.</x:v>
      </x:c>
    </x:row>
    <x:row r="1061" ht="34" customHeight="1">
      <x:c r="A1061" s="5" t="str">
        <x:v>S2_VIAL</x:v>
      </x:c>
      <x:c r="B1061" s="5" t="n">
        <x:v>7</x:v>
      </x:c>
      <x:c r="C1061" s="5" t="str">
        <x:v>industria</x:v>
      </x:c>
      <x:c r="D1061" s="5" t="n">
        <x:f>$F$1043</x:f>
        <x:v>48.064163799999996</x:v>
      </x:c>
      <x:c r="E1061" s="5" t="n">
        <x:f>(ABS('03_Sensibilidades'!$C$6)*IF('03_Sensibilidades'!$C$6&lt;0,100-$K$296,$K$296)+ABS('03_Sensibilidades'!$C$7)*IF('03_Sensibilidades'!$C$7&lt;0,100-$K$294,$K$294)+ABS('03_Sensibilidades'!$C$8)*IF('03_Sensibilidades'!$C$8&lt;0,100-$K$299,$K$299)+ABS('03_Sensibilidades'!$C$9)*IF('03_Sensibilidades'!$C$9&lt;0,100-$K$298,$K$298))/(ABS('03_Sensibilidades'!$C$6)+ABS('03_Sensibilidades'!$C$7)+ABS('03_Sensibilidades'!$C$8)+ABS('03_Sensibilidades'!$C$9))</x:f>
        <x:v>48.79173296592593</x:v>
      </x:c>
      <x:c r="F1061" s="5" t="n">
        <x:f>(1-'00_Arquitectura'!$B$95)*D1061+'00_Arquitectura'!$B$95*E1061</x:f>
        <x:v>48.31881300807407</x:v>
      </x:c>
      <x:c r="G1061" s="5" t="n">
        <x:f>'02_Actores'!$I$6</x:f>
        <x:v>45</x:v>
      </x:c>
      <x:c r="H1061" s="5" t="n">
        <x:f>IF(OR(AND(F1061&lt;'00_Arquitectura'!$B$118,G1061&lt;'00_Arquitectura'!$B$119),F1061&lt;'00_Arquitectura'!$B$120),1,0)</x:f>
        <x:v>0</x:v>
      </x:c>
      <x:c r="I1061" s="5" t="n">
        <x:f>IF($I$1043=1,IF(OR(AND(F1061&lt;'00_Arquitectura'!$B$121,G1061&lt;'00_Arquitectura'!$B$122),F1061&lt;'00_Arquitectura'!$B$123),1,0),IF(AND(H1061=1,$H$1043=1),1,0))</x:f>
        <x:v>0</x:v>
      </x:c>
      <x:c r="J1061" s="5" t="n">
        <x:f>-I1061*2*'02_Actores'!$E$6/10</x:f>
        <x:v>0</x:v>
      </x:c>
      <x:c r="K1061" s="5" t="n">
        <x:f>($F$1061*'02_Actores'!$F$6+$F$1062*'02_Actores'!$F$7+$F$1063*'02_Actores'!$F$8+$F$1064*'02_Actores'!$F$9+$F$1065*'02_Actores'!$F$10+$F$1066*'02_Actores'!$F$11+$F$1067*'02_Actores'!$F$12+$F$1068*'02_Actores'!$F$13+$F$1069*'02_Actores'!$F$14+$F$1070*'02_Actores'!$F$15+$F$1071*'02_Actores'!$F$16+$F$1072*'02_Actores'!$F$17+$F$1073*'02_Actores'!$F$18+$F$1074*'02_Actores'!$F$19)/('02_Actores'!$F$6+'02_Actores'!$F$7+'02_Actores'!$F$8+'02_Actores'!$F$9+'02_Actores'!$F$10+'02_Actores'!$F$11+'02_Actores'!$F$12+'02_Actores'!$F$13+'02_Actores'!$F$14+'02_Actores'!$F$15+'02_Actores'!$F$16+'02_Actores'!$F$17+'02_Actores'!$F$18+'02_Actores'!$F$19)</x:f>
        <x:v>49.1607903168728</x:v>
      </x:c>
      <x:c r="L1061" s="5" t="str">
        <x:v>J programa offset para t+1; efecto sustituible y acotado, sin voto adicional.</x:v>
      </x:c>
    </x:row>
    <x:row r="1062" ht="34" customHeight="1">
      <x:c r="A1062" s="10" t="str">
        <x:v>S2_VIAL</x:v>
      </x:c>
      <x:c r="B1062" s="10" t="n">
        <x:v>7</x:v>
      </x:c>
      <x:c r="C1062" s="10" t="str">
        <x:v>agro</x:v>
      </x:c>
      <x:c r="D1062" s="10" t="n">
        <x:f>$F$1044</x:f>
        <x:v>47.493893392857146</x:v>
      </x:c>
      <x:c r="E1062" s="10" t="n">
        <x:f>(ABS('03_Sensibilidades'!$C$10)*IF('03_Sensibilidades'!$C$10&lt;0,100-$K$298,$K$298)+ABS('03_Sensibilidades'!$C$11)*IF('03_Sensibilidades'!$C$11&lt;0,100-$K$299,$K$299)+ABS('03_Sensibilidades'!$C$12)*IF('03_Sensibilidades'!$C$12&lt;0,100-$K$306,$K$306)+ABS('03_Sensibilidades'!$C$13)*IF('03_Sensibilidades'!$C$13&lt;0,100-$K$296,$K$296))/(ABS('03_Sensibilidades'!$C$10)+ABS('03_Sensibilidades'!$C$11)+ABS('03_Sensibilidades'!$C$12)+ABS('03_Sensibilidades'!$C$13))</x:f>
        <x:v>48.30377420714286</x:v>
      </x:c>
      <x:c r="F1062" s="10" t="n">
        <x:f>(1-'00_Arquitectura'!$B$95)*D1062+'00_Arquitectura'!$B$95*E1062</x:f>
        <x:v>47.77735167785714</x:v>
      </x:c>
      <x:c r="G1062" s="10" t="n">
        <x:f>'02_Actores'!$I$7</x:f>
        <x:v>45</x:v>
      </x:c>
      <x:c r="H1062" s="10" t="n">
        <x:f>IF(OR(AND(F1062&lt;'00_Arquitectura'!$B$118,G1062&lt;'00_Arquitectura'!$B$119),F1062&lt;'00_Arquitectura'!$B$120),1,0)</x:f>
        <x:v>0</x:v>
      </x:c>
      <x:c r="I1062" s="10" t="n">
        <x:f>IF($I$1044=1,IF(OR(AND(F1062&lt;'00_Arquitectura'!$B$121,G1062&lt;'00_Arquitectura'!$B$122),F1062&lt;'00_Arquitectura'!$B$123),1,0),IF(AND(H1062=1,$H$1044=1),1,0))</x:f>
        <x:v>0</x:v>
      </x:c>
      <x:c r="J1062" s="10" t="n">
        <x:f>-I1062*2*'02_Actores'!$E$7/10</x:f>
        <x:v>0</x:v>
      </x:c>
      <x:c r="K1062" s="10" t="n">
        <x:f>$K$1061</x:f>
        <x:v>49.1607903168728</x:v>
      </x:c>
      <x:c r="L1062" s="10" t="str">
        <x:v>J programa offset para t+1; efecto sustituible y acotado, sin voto adicional.</x:v>
      </x:c>
    </x:row>
    <x:row r="1063" ht="34" customHeight="1">
      <x:c r="A1063" s="5" t="str">
        <x:v>S2_VIAL</x:v>
      </x:c>
      <x:c r="B1063" s="5" t="n">
        <x:v>7</x:v>
      </x:c>
      <x:c r="C1063" s="5" t="str">
        <x:v>financiero</x:v>
      </x:c>
      <x:c r="D1063" s="5" t="n">
        <x:f>$F$1045</x:f>
        <x:v>54.44203772413793</x:v>
      </x:c>
      <x:c r="E1063" s="5" t="n">
        <x:f>(ABS('03_Sensibilidades'!$C$14)*IF('03_Sensibilidades'!$C$14&lt;0,100-$K$297,$K$297)+ABS('03_Sensibilidades'!$C$15)*IF('03_Sensibilidades'!$C$15&lt;0,100-$K$293,$K$293)+ABS('03_Sensibilidades'!$C$16)*IF('03_Sensibilidades'!$C$16&lt;0,100-$K$296,$K$296)+ABS('03_Sensibilidades'!$C$17)*IF('03_Sensibilidades'!$C$17&lt;0,100-$K$305,$K$305))/(ABS('03_Sensibilidades'!$C$14)+ABS('03_Sensibilidades'!$C$15)+ABS('03_Sensibilidades'!$C$16)+ABS('03_Sensibilidades'!$C$17))</x:f>
        <x:v>53.996804859310345</x:v>
      </x:c>
      <x:c r="F1063" s="5" t="n">
        <x:f>(1-'00_Arquitectura'!$B$95)*D1063+'00_Arquitectura'!$B$95*E1063</x:f>
        <x:v>54.28620622144828</x:v>
      </x:c>
      <x:c r="G1063" s="5" t="n">
        <x:f>'02_Actores'!$I$8</x:f>
        <x:v>45</x:v>
      </x:c>
      <x:c r="H1063" s="5" t="n">
        <x:f>IF(OR(AND(F1063&lt;'00_Arquitectura'!$B$118,G1063&lt;'00_Arquitectura'!$B$119),F1063&lt;'00_Arquitectura'!$B$120),1,0)</x:f>
        <x:v>0</x:v>
      </x:c>
      <x:c r="I1063" s="5" t="n">
        <x:f>IF($I$1045=1,IF(OR(AND(F1063&lt;'00_Arquitectura'!$B$121,G1063&lt;'00_Arquitectura'!$B$122),F1063&lt;'00_Arquitectura'!$B$123),1,0),IF(AND(H1063=1,$H$1045=1),1,0))</x:f>
        <x:v>0</x:v>
      </x:c>
      <x:c r="J1063" s="5" t="n">
        <x:f>-I1063*2*'02_Actores'!$E$8/10</x:f>
        <x:v>0</x:v>
      </x:c>
      <x:c r="K1063" s="5" t="n">
        <x:f>$K$1061</x:f>
        <x:v>49.1607903168728</x:v>
      </x:c>
      <x:c r="L1063" s="5" t="str">
        <x:v>J programa offset para t+1; efecto sustituible y acotado, sin voto adicional.</x:v>
      </x:c>
    </x:row>
    <x:row r="1064" ht="34" customHeight="1">
      <x:c r="A1064" s="10" t="str">
        <x:v>S2_VIAL</x:v>
      </x:c>
      <x:c r="B1064" s="10" t="n">
        <x:v>7</x:v>
      </x:c>
      <x:c r="C1064" s="10" t="str">
        <x:v>sindicatos</x:v>
      </x:c>
      <x:c r="D1064" s="10" t="n">
        <x:f>$F$1046</x:f>
        <x:v>48.173568859482764</x:v>
      </x:c>
      <x:c r="E1064" s="10" t="n">
        <x:f>(ABS('03_Sensibilidades'!$C$18)*IF('03_Sensibilidades'!$C$18&lt;0,100-$K$295,$K$295)+ABS('03_Sensibilidades'!$C$19)*IF('03_Sensibilidades'!$C$19&lt;0,100-$K$294,$K$294)+ABS('03_Sensibilidades'!$C$20)*IF('03_Sensibilidades'!$C$20&lt;0,100-$K$302,$K$302)+ABS('03_Sensibilidades'!$C$21)*IF('03_Sensibilidades'!$C$21&lt;0,100-$K$305,$K$305))/(ABS('03_Sensibilidades'!$C$18)+ABS('03_Sensibilidades'!$C$19)+ABS('03_Sensibilidades'!$C$20)+ABS('03_Sensibilidades'!$C$21))</x:f>
        <x:v>48.328041820689656</x:v>
      </x:c>
      <x:c r="F1064" s="10" t="n">
        <x:f>(1-'00_Arquitectura'!$B$95)*D1064+'00_Arquitectura'!$B$95*E1064</x:f>
        <x:v>48.22763439590517</x:v>
      </x:c>
      <x:c r="G1064" s="10" t="n">
        <x:f>'02_Actores'!$I$9</x:f>
        <x:v>45</x:v>
      </x:c>
      <x:c r="H1064" s="10" t="n">
        <x:f>IF(OR(AND(F1064&lt;'00_Arquitectura'!$B$118,G1064&lt;'00_Arquitectura'!$B$119),F1064&lt;'00_Arquitectura'!$B$120),1,0)</x:f>
        <x:v>0</x:v>
      </x:c>
      <x:c r="I1064" s="10" t="n">
        <x:f>IF($I$1046=1,IF(OR(AND(F1064&lt;'00_Arquitectura'!$B$121,G1064&lt;'00_Arquitectura'!$B$122),F1064&lt;'00_Arquitectura'!$B$123),1,0),IF(AND(H1064=1,$H$1046=1),1,0))</x:f>
        <x:v>0</x:v>
      </x:c>
      <x:c r="J1064" s="10" t="n">
        <x:f>-I1064*2*'02_Actores'!$E$9/10</x:f>
        <x:v>0</x:v>
      </x:c>
      <x:c r="K1064" s="10" t="n">
        <x:f>$K$1061</x:f>
        <x:v>49.1607903168728</x:v>
      </x:c>
      <x:c r="L1064" s="10" t="str">
        <x:v>J programa offset para t+1; efecto sustituible y acotado, sin voto adicional.</x:v>
      </x:c>
    </x:row>
    <x:row r="1065" ht="34" customHeight="1">
      <x:c r="A1065" s="5" t="str">
        <x:v>S2_VIAL</x:v>
      </x:c>
      <x:c r="B1065" s="5" t="n">
        <x:v>7</x:v>
      </x:c>
      <x:c r="C1065" s="5" t="str">
        <x:v>pymes</x:v>
      </x:c>
      <x:c r="D1065" s="5" t="n">
        <x:f>$F$1047</x:f>
        <x:v>50.09492964396552</x:v>
      </x:c>
      <x:c r="E1065" s="5" t="n">
        <x:f>(ABS('03_Sensibilidades'!$C$22)*IF('03_Sensibilidades'!$C$22&lt;0,100-$K$296,$K$296)+ABS('03_Sensibilidades'!$C$23)*IF('03_Sensibilidades'!$C$23&lt;0,100-$K$294,$K$294)+ABS('03_Sensibilidades'!$C$24)*IF('03_Sensibilidades'!$C$24&lt;0,100-$K$299,$K$299)+ABS('03_Sensibilidades'!$C$25)*IF('03_Sensibilidades'!$C$25&lt;0,100-$K$293,$K$293))/(ABS('03_Sensibilidades'!$C$22)+ABS('03_Sensibilidades'!$C$23)+ABS('03_Sensibilidades'!$C$24)+ABS('03_Sensibilidades'!$C$25))</x:f>
        <x:v>50.49396635862069</x:v>
      </x:c>
      <x:c r="F1065" s="5" t="n">
        <x:f>(1-'00_Arquitectura'!$B$95)*D1065+'00_Arquitectura'!$B$95*E1065</x:f>
        <x:v>50.234592494094834</x:v>
      </x:c>
      <x:c r="G1065" s="5" t="n">
        <x:f>'02_Actores'!$I$10</x:f>
        <x:v>45</x:v>
      </x:c>
      <x:c r="H1065" s="5" t="n">
        <x:f>IF(OR(AND(F1065&lt;'00_Arquitectura'!$B$118,G1065&lt;'00_Arquitectura'!$B$119),F1065&lt;'00_Arquitectura'!$B$120),1,0)</x:f>
        <x:v>0</x:v>
      </x:c>
      <x:c r="I1065" s="5" t="n">
        <x:f>IF($I$1047=1,IF(OR(AND(F1065&lt;'00_Arquitectura'!$B$121,G1065&lt;'00_Arquitectura'!$B$122),F1065&lt;'00_Arquitectura'!$B$123),1,0),IF(AND(H1065=1,$H$1047=1),1,0))</x:f>
        <x:v>0</x:v>
      </x:c>
      <x:c r="J1065" s="5" t="n">
        <x:f>-I1065*2*'02_Actores'!$E$10/10</x:f>
        <x:v>0</x:v>
      </x:c>
      <x:c r="K1065" s="5" t="n">
        <x:f>$K$1061</x:f>
        <x:v>49.1607903168728</x:v>
      </x:c>
      <x:c r="L1065" s="5" t="str">
        <x:v>J programa offset para t+1; efecto sustituible y acotado, sin voto adicional.</x:v>
      </x:c>
    </x:row>
    <x:row r="1066" ht="34" customHeight="1">
      <x:c r="A1066" s="10" t="str">
        <x:v>S2_VIAL</x:v>
      </x:c>
      <x:c r="B1066" s="10" t="n">
        <x:v>7</x:v>
      </x:c>
      <x:c r="C1066" s="10" t="str">
        <x:v>clase_media</x:v>
      </x:c>
      <x:c r="D1066" s="10" t="n">
        <x:f>$F$1048</x:f>
        <x:v>48.36745619444444</x:v>
      </x:c>
      <x:c r="E1066" s="10" t="n">
        <x:f>(ABS('03_Sensibilidades'!$C$26)*IF('03_Sensibilidades'!$C$26&lt;0,100-$K$295,$K$295)+ABS('03_Sensibilidades'!$C$27)*IF('03_Sensibilidades'!$C$27&lt;0,100-$K$303,$K$303)+ABS('03_Sensibilidades'!$C$28)*IF('03_Sensibilidades'!$C$28&lt;0,100-$K$300,$K$300)+ABS('03_Sensibilidades'!$C$29)*IF('03_Sensibilidades'!$C$29&lt;0,100-$K$293,$K$293))/(ABS('03_Sensibilidades'!$C$26)+ABS('03_Sensibilidades'!$C$27)+ABS('03_Sensibilidades'!$C$28)+ABS('03_Sensibilidades'!$C$29))</x:f>
        <x:v>48.37776088888889</x:v>
      </x:c>
      <x:c r="F1066" s="10" t="n">
        <x:f>(1-'00_Arquitectura'!$B$95)*D1066+'00_Arquitectura'!$B$95*E1066</x:f>
        <x:v>48.371062837500006</x:v>
      </x:c>
      <x:c r="G1066" s="10" t="n">
        <x:f>'02_Actores'!$I$11</x:f>
        <x:v>45</x:v>
      </x:c>
      <x:c r="H1066" s="10" t="n">
        <x:f>IF(OR(AND(F1066&lt;'00_Arquitectura'!$B$118,G1066&lt;'00_Arquitectura'!$B$119),F1066&lt;'00_Arquitectura'!$B$120),1,0)</x:f>
        <x:v>0</x:v>
      </x:c>
      <x:c r="I1066" s="10" t="n">
        <x:f>IF($I$1048=1,IF(OR(AND(F1066&lt;'00_Arquitectura'!$B$121,G1066&lt;'00_Arquitectura'!$B$122),F1066&lt;'00_Arquitectura'!$B$123),1,0),IF(AND(H1066=1,$H$1048=1),1,0))</x:f>
        <x:v>0</x:v>
      </x:c>
      <x:c r="J1066" s="10" t="n">
        <x:f>0</x:f>
        <x:v>0</x:v>
      </x:c>
      <x:c r="K1066" s="10" t="n">
        <x:f>$K$1061</x:f>
        <x:v>49.1607903168728</x:v>
      </x:c>
      <x:c r="L1066" s="10" t="str">
        <x:v>Canal directo sólo al índice social; sin bono de popularidad.</x:v>
      </x:c>
    </x:row>
    <x:row r="1067" ht="34" customHeight="1">
      <x:c r="A1067" s="5" t="str">
        <x:v>S2_VIAL</x:v>
      </x:c>
      <x:c r="B1067" s="5" t="n">
        <x:v>7</x:v>
      </x:c>
      <x:c r="C1067" s="5" t="str">
        <x:v>cooperativas</x:v>
      </x:c>
      <x:c r="D1067" s="5" t="n">
        <x:f>$F$1049</x:f>
        <x:v>47.95072550092593</x:v>
      </x:c>
      <x:c r="E1067" s="5" t="n">
        <x:f>(ABS('03_Sensibilidades'!$C$30)*IF('03_Sensibilidades'!$C$30&lt;0,100-$K$296,$K$296)+ABS('03_Sensibilidades'!$C$31)*IF('03_Sensibilidades'!$C$31&lt;0,100-$K$294,$K$294)+ABS('03_Sensibilidades'!$C$32)*IF('03_Sensibilidades'!$C$32&lt;0,100-$K$302,$K$302)+ABS('03_Sensibilidades'!$C$33)*IF('03_Sensibilidades'!$C$33&lt;0,100-$K$305,$K$305))/(ABS('03_Sensibilidades'!$C$30)+ABS('03_Sensibilidades'!$C$31)+ABS('03_Sensibilidades'!$C$32)+ABS('03_Sensibilidades'!$C$33))</x:f>
        <x:v>48.04924782666667</x:v>
      </x:c>
      <x:c r="F1067" s="5" t="n">
        <x:f>(1-'00_Arquitectura'!$B$95)*D1067+'00_Arquitectura'!$B$95*E1067</x:f>
        <x:v>47.98520831493519</x:v>
      </x:c>
      <x:c r="G1067" s="5" t="n">
        <x:f>'02_Actores'!$I$12</x:f>
        <x:v>45</x:v>
      </x:c>
      <x:c r="H1067" s="5" t="n">
        <x:f>IF(OR(AND(F1067&lt;'00_Arquitectura'!$B$118,G1067&lt;'00_Arquitectura'!$B$119),F1067&lt;'00_Arquitectura'!$B$120),1,0)</x:f>
        <x:v>0</x:v>
      </x:c>
      <x:c r="I1067" s="5" t="n">
        <x:f>IF($I$1049=1,IF(OR(AND(F1067&lt;'00_Arquitectura'!$B$121,G1067&lt;'00_Arquitectura'!$B$122),F1067&lt;'00_Arquitectura'!$B$123),1,0),IF(AND(H1067=1,$H$1049=1),1,0))</x:f>
        <x:v>0</x:v>
      </x:c>
      <x:c r="J1067" s="5" t="n">
        <x:f>-I1067*1.5*'02_Actores'!$E$12/10</x:f>
        <x:v>0</x:v>
      </x:c>
      <x:c r="K1067" s="5" t="n">
        <x:f>$K$1061</x:f>
        <x:v>49.1607903168728</x:v>
      </x:c>
      <x:c r="L1067" s="5" t="str">
        <x:v>J programa offset para t+1; efecto sustituible y acotado, sin voto adicional.</x:v>
      </x:c>
    </x:row>
    <x:row r="1068" ht="42" customHeight="1">
      <x:c r="A1068" s="10" t="str">
        <x:v>S2_VIAL</x:v>
      </x:c>
      <x:c r="B1068" s="10" t="n">
        <x:v>7</x:v>
      </x:c>
      <x:c r="C1068" s="10" t="str">
        <x:v>estudiantes</x:v>
      </x:c>
      <x:c r="D1068" s="10" t="n">
        <x:f>$F$1050</x:f>
        <x:v>49.218426345000005</x:v>
      </x:c>
      <x:c r="E1068" s="10" t="n">
        <x:f>(ABS('03_Sensibilidades'!$C$34)*IF('03_Sensibilidades'!$C$34&lt;0,100-$K$300,$K$300)+ABS('03_Sensibilidades'!$C$35)*IF('03_Sensibilidades'!$C$35&lt;0,100-$K$295,$K$295)+ABS('03_Sensibilidades'!$C$36)*IF('03_Sensibilidades'!$C$36&lt;0,100-$K$305,$K$305)+ABS('03_Sensibilidades'!$C$37)*IF('03_Sensibilidades'!$C$37&lt;0,100-$K$304,$K$304))/(ABS('03_Sensibilidades'!$C$34)+ABS('03_Sensibilidades'!$C$35)+ABS('03_Sensibilidades'!$C$36)+ABS('03_Sensibilidades'!$C$37))</x:f>
        <x:v>49.22399088</x:v>
      </x:c>
      <x:c r="F1068" s="10" t="n">
        <x:f>(1-'00_Arquitectura'!$B$95)*D1068+'00_Arquitectura'!$B$95*E1068</x:f>
        <x:v>49.22037393225</x:v>
      </x:c>
      <x:c r="G1068" s="10" t="n">
        <x:f>'02_Actores'!$I$13</x:f>
        <x:v>45</x:v>
      </x:c>
      <x:c r="H1068" s="10" t="n">
        <x:f>IF(OR(AND(F1068&lt;'00_Arquitectura'!$B$118,G1068&lt;'00_Arquitectura'!$B$119),F1068&lt;'00_Arquitectura'!$B$120),1,0)</x:f>
        <x:v>0</x:v>
      </x:c>
      <x:c r="I1068" s="10" t="n">
        <x:f>IF($I$1050=1,IF(OR(AND(F1068&lt;'00_Arquitectura'!$B$121,G1068&lt;'00_Arquitectura'!$B$122),F1068&lt;'00_Arquitectura'!$B$123),1,0),IF(AND(H1068=1,$H$1050=1),1,0))</x:f>
        <x:v>0</x:v>
      </x:c>
      <x:c r="J1068" s="10" t="n">
        <x:f>0</x:f>
        <x:v>0</x:v>
      </x:c>
      <x:c r="K1068" s="10" t="n">
        <x:f>$K$1061</x:f>
        <x:v>49.1607903168728</x:v>
      </x:c>
      <x:c r="L1068" s="10" t="str">
        <x:v>Conflicto activo captura menor eficacia en políticas ejecutadas en t+1. Magnitud0 en J: no es un offset directo de indicador.</x:v>
      </x:c>
    </x:row>
    <x:row r="1069" ht="34" customHeight="1">
      <x:c r="A1069" s="5" t="str">
        <x:v>S2_VIAL</x:v>
      </x:c>
      <x:c r="B1069" s="5" t="n">
        <x:v>7</x:v>
      </x:c>
      <x:c r="C1069" s="5" t="str">
        <x:v>docentes</x:v>
      </x:c>
      <x:c r="D1069" s="5" t="n">
        <x:f>$F$1051</x:f>
        <x:v>48.949095022826086</x:v>
      </x:c>
      <x:c r="E1069" s="5" t="n">
        <x:f>(ABS('03_Sensibilidades'!$C$38)*IF('03_Sensibilidades'!$C$38&lt;0,100-$K$300,$K$300)+ABS('03_Sensibilidades'!$C$39)*IF('03_Sensibilidades'!$C$39&lt;0,100-$K$295,$K$295)+ABS('03_Sensibilidades'!$C$40)*IF('03_Sensibilidades'!$C$40&lt;0,100-$K$305,$K$305))/(ABS('03_Sensibilidades'!$C$38)+ABS('03_Sensibilidades'!$C$39)+ABS('03_Sensibilidades'!$C$40))</x:f>
        <x:v>48.95998215652174</x:v>
      </x:c>
      <x:c r="F1069" s="5" t="n">
        <x:f>(1-'00_Arquitectura'!$B$95)*D1069+'00_Arquitectura'!$B$95*E1069</x:f>
        <x:v>48.95290551961956</x:v>
      </x:c>
      <x:c r="G1069" s="5" t="n">
        <x:f>'02_Actores'!$I$14</x:f>
        <x:v>45</x:v>
      </x:c>
      <x:c r="H1069" s="5" t="n">
        <x:f>IF(OR(AND(F1069&lt;'00_Arquitectura'!$B$118,G1069&lt;'00_Arquitectura'!$B$119),F1069&lt;'00_Arquitectura'!$B$120),1,0)</x:f>
        <x:v>0</x:v>
      </x:c>
      <x:c r="I1069" s="5" t="n">
        <x:f>IF($I$1051=1,IF(OR(AND(F1069&lt;'00_Arquitectura'!$B$121,G1069&lt;'00_Arquitectura'!$B$122),F1069&lt;'00_Arquitectura'!$B$123),1,0),IF(AND(H1069=1,$H$1051=1),1,0))</x:f>
        <x:v>0</x:v>
      </x:c>
      <x:c r="J1069" s="5" t="n">
        <x:f>-I1069*1.5*'02_Actores'!$E$14/10</x:f>
        <x:v>0</x:v>
      </x:c>
      <x:c r="K1069" s="5" t="n">
        <x:f>$K$1061</x:f>
        <x:v>49.1607903168728</x:v>
      </x:c>
      <x:c r="L1069" s="5" t="str">
        <x:v>J programa offset para t+1; efecto sustituible y acotado, sin voto adicional.</x:v>
      </x:c>
    </x:row>
    <x:row r="1070" ht="34" customHeight="1">
      <x:c r="A1070" s="10" t="str">
        <x:v>S2_VIAL</x:v>
      </x:c>
      <x:c r="B1070" s="10" t="n">
        <x:v>7</x:v>
      </x:c>
      <x:c r="C1070" s="10" t="str">
        <x:v>cientificos</x:v>
      </x:c>
      <x:c r="D1070" s="10" t="n">
        <x:f>$F$1052</x:f>
        <x:v>46.59090909090909</x:v>
      </x:c>
      <x:c r="E1070" s="10" t="n">
        <x:f>(ABS('03_Sensibilidades'!$C$41)*IF('03_Sensibilidades'!$C$41&lt;0,100-$K$304,$K$304)+ABS('03_Sensibilidades'!$C$42)*IF('03_Sensibilidades'!$C$42&lt;0,100-$K$300,$K$300)+ABS('03_Sensibilidades'!$C$43)*IF('03_Sensibilidades'!$C$43&lt;0,100-$K$305,$K$305))/(ABS('03_Sensibilidades'!$C$41)+ABS('03_Sensibilidades'!$C$42)+ABS('03_Sensibilidades'!$C$43))</x:f>
        <x:v>46.59090909090909</x:v>
      </x:c>
      <x:c r="F1070" s="10" t="n">
        <x:f>(1-'00_Arquitectura'!$B$95)*D1070+'00_Arquitectura'!$B$95*E1070</x:f>
        <x:v>46.59090909090909</x:v>
      </x:c>
      <x:c r="G1070" s="10" t="n">
        <x:f>'02_Actores'!$I$15</x:f>
        <x:v>45</x:v>
      </x:c>
      <x:c r="H1070" s="10" t="n">
        <x:f>IF(OR(AND(F1070&lt;'00_Arquitectura'!$B$118,G1070&lt;'00_Arquitectura'!$B$119),F1070&lt;'00_Arquitectura'!$B$120),1,0)</x:f>
        <x:v>0</x:v>
      </x:c>
      <x:c r="I1070" s="10" t="n">
        <x:f>IF($I$1052=1,IF(OR(AND(F1070&lt;'00_Arquitectura'!$B$121,G1070&lt;'00_Arquitectura'!$B$122),F1070&lt;'00_Arquitectura'!$B$123),1,0),IF(AND(H1070=1,$H$1052=1),1,0))</x:f>
        <x:v>0</x:v>
      </x:c>
      <x:c r="J1070" s="10" t="n">
        <x:f>-I1070*1.5*'02_Actores'!$E$15/10</x:f>
        <x:v>0</x:v>
      </x:c>
      <x:c r="K1070" s="10" t="n">
        <x:f>$K$1061</x:f>
        <x:v>49.1607903168728</x:v>
      </x:c>
      <x:c r="L1070" s="10" t="str">
        <x:v>J programa offset para t+1; efecto sustituible y acotado, sin voto adicional.</x:v>
      </x:c>
    </x:row>
    <x:row r="1071" ht="34" customHeight="1">
      <x:c r="A1071" s="5" t="str">
        <x:v>S2_VIAL</x:v>
      </x:c>
      <x:c r="B1071" s="5" t="n">
        <x:v>7</x:v>
      </x:c>
      <x:c r="C1071" s="5" t="str">
        <x:v>organizaciones</x:v>
      </x:c>
      <x:c r="D1071" s="5" t="n">
        <x:f>$F$1053</x:f>
        <x:v>49.25267094464285</x:v>
      </x:c>
      <x:c r="E1071" s="5" t="n">
        <x:f>(ABS('03_Sensibilidades'!$C$44)*IF('03_Sensibilidades'!$C$44&lt;0,100-$K$302,$K$302)+ABS('03_Sensibilidades'!$C$45)*IF('03_Sensibilidades'!$C$45&lt;0,100-$K$301,$K$301)+ABS('03_Sensibilidades'!$C$46)*IF('03_Sensibilidades'!$C$46&lt;0,100-$K$294,$K$294)+ABS('03_Sensibilidades'!$C$47)*IF('03_Sensibilidades'!$C$47&lt;0,100-$K$305,$K$305))/(ABS('03_Sensibilidades'!$C$44)+ABS('03_Sensibilidades'!$C$45)+ABS('03_Sensibilidades'!$C$46)+ABS('03_Sensibilidades'!$C$47))</x:f>
        <x:v>49.3527064</x:v>
      </x:c>
      <x:c r="F1071" s="5" t="n">
        <x:f>(1-'00_Arquitectura'!$B$95)*D1071+'00_Arquitectura'!$B$95*E1071</x:f>
        <x:v>49.28768335401786</x:v>
      </x:c>
      <x:c r="G1071" s="5" t="n">
        <x:f>'02_Actores'!$I$16</x:f>
        <x:v>45</x:v>
      </x:c>
      <x:c r="H1071" s="5" t="n">
        <x:f>IF(OR(AND(F1071&lt;'00_Arquitectura'!$B$118,G1071&lt;'00_Arquitectura'!$B$119),F1071&lt;'00_Arquitectura'!$B$120),1,0)</x:f>
        <x:v>0</x:v>
      </x:c>
      <x:c r="I1071" s="5" t="n">
        <x:f>IF($I$1053=1,IF(OR(AND(F1071&lt;'00_Arquitectura'!$B$121,G1071&lt;'00_Arquitectura'!$B$122),F1071&lt;'00_Arquitectura'!$B$123),1,0),IF(AND(H1071=1,$H$1053=1),1,0))</x:f>
        <x:v>0</x:v>
      </x:c>
      <x:c r="J1071" s="5" t="n">
        <x:f>-I1071*1.5*'02_Actores'!$E$16/10</x:f>
        <x:v>0</x:v>
      </x:c>
      <x:c r="K1071" s="5" t="n">
        <x:f>$K$1061</x:f>
        <x:v>49.1607903168728</x:v>
      </x:c>
      <x:c r="L1071" s="5" t="str">
        <x:v>J programa offset para t+1; efecto sustituible y acotado, sin voto adicional.</x:v>
      </x:c>
    </x:row>
    <x:row r="1072" ht="42" customHeight="1">
      <x:c r="A1072" s="10" t="str">
        <x:v>S2_VIAL</x:v>
      </x:c>
      <x:c r="B1072" s="10" t="n">
        <x:v>7</x:v>
      </x:c>
      <x:c r="C1072" s="10" t="str">
        <x:v>ddhh</x:v>
      </x:c>
      <x:c r="D1072" s="10" t="n">
        <x:f>$F$1054</x:f>
        <x:v>50.88235294117648</x:v>
      </x:c>
      <x:c r="E1072" s="10" t="n">
        <x:f>(ABS('03_Sensibilidades'!$C$48)*IF('03_Sensibilidades'!$C$48&lt;0,100-$K$305,$K$305)+ABS('03_Sensibilidades'!$C$49)*IF('03_Sensibilidades'!$C$49&lt;0,100-$K$303,$K$303)+ABS('03_Sensibilidades'!$C$50)*IF('03_Sensibilidades'!$C$50&lt;0,100-$K$302,$K$302))/(ABS('03_Sensibilidades'!$C$48)+ABS('03_Sensibilidades'!$C$49)+ABS('03_Sensibilidades'!$C$50))</x:f>
        <x:v>50.88235294117647</x:v>
      </x:c>
      <x:c r="F1072" s="10" t="n">
        <x:f>(1-'00_Arquitectura'!$B$95)*D1072+'00_Arquitectura'!$B$95*E1072</x:f>
        <x:v>50.88235294117648</x:v>
      </x:c>
      <x:c r="G1072" s="10" t="n">
        <x:f>'02_Actores'!$I$17</x:f>
        <x:v>45</x:v>
      </x:c>
      <x:c r="H1072" s="10" t="n">
        <x:f>IF(OR(AND(F1072&lt;'00_Arquitectura'!$B$118,G1072&lt;'00_Arquitectura'!$B$119),F1072&lt;'00_Arquitectura'!$B$120),1,0)</x:f>
        <x:v>0</x:v>
      </x:c>
      <x:c r="I1072" s="10" t="n">
        <x:f>IF($I$1054=1,IF(OR(AND(F1072&lt;'00_Arquitectura'!$B$121,G1072&lt;'00_Arquitectura'!$B$122),F1072&lt;'00_Arquitectura'!$B$123),1,0),IF(AND(H1072=1,$H$1054=1),1,0))</x:f>
        <x:v>0</x:v>
      </x:c>
      <x:c r="J1072" s="10" t="n">
        <x:f>0</x:f>
        <x:v>0</x:v>
      </x:c>
      <x:c r="K1072" s="10" t="n">
        <x:f>$K$1061</x:f>
        <x:v>49.1607903168728</x:v>
      </x:c>
      <x:c r="L1072" s="10" t="str">
        <x:v>Conflicto activo captura menor eficacia en políticas ejecutadas en t+1. Magnitud0 en J: no es un offset directo de indicador.</x:v>
      </x:c>
    </x:row>
    <x:row r="1073" ht="42" customHeight="1">
      <x:c r="A1073" s="5" t="str">
        <x:v>S2_VIAL</x:v>
      </x:c>
      <x:c r="B1073" s="5" t="n">
        <x:v>7</x:v>
      </x:c>
      <x:c r="C1073" s="5" t="str">
        <x:v>ambientalistas</x:v>
      </x:c>
      <x:c r="D1073" s="5" t="n">
        <x:f>$F$1055</x:f>
        <x:v>50.58291666666666</x:v>
      </x:c>
      <x:c r="E1073" s="5" t="n">
        <x:f>(ABS('03_Sensibilidades'!$C$51)*IF('03_Sensibilidades'!$C$51&lt;0,100-$K$306,$K$306)+ABS('03_Sensibilidades'!$C$52)*IF('03_Sensibilidades'!$C$52&lt;0,100-$K$305,$K$305)+ABS('03_Sensibilidades'!$C$53)*IF('03_Sensibilidades'!$C$53&lt;0,100-$K$301,$K$301))/(ABS('03_Sensibilidades'!$C$51)+ABS('03_Sensibilidades'!$C$52)+ABS('03_Sensibilidades'!$C$53))</x:f>
        <x:v>50.27777777777778</x:v>
      </x:c>
      <x:c r="F1073" s="5" t="n">
        <x:f>(1-'00_Arquitectura'!$B$95)*D1073+'00_Arquitectura'!$B$95*E1073</x:f>
        <x:v>50.47611805555555</x:v>
      </x:c>
      <x:c r="G1073" s="5" t="n">
        <x:f>'02_Actores'!$I$18</x:f>
        <x:v>45</x:v>
      </x:c>
      <x:c r="H1073" s="5" t="n">
        <x:f>IF(OR(AND(F1073&lt;'00_Arquitectura'!$B$118,G1073&lt;'00_Arquitectura'!$B$119),F1073&lt;'00_Arquitectura'!$B$120),1,0)</x:f>
        <x:v>0</x:v>
      </x:c>
      <x:c r="I1073" s="5" t="n">
        <x:f>IF($I$1055=1,IF(OR(AND(F1073&lt;'00_Arquitectura'!$B$121,G1073&lt;'00_Arquitectura'!$B$122),F1073&lt;'00_Arquitectura'!$B$123),1,0),IF(AND(H1073=1,$H$1055=1),1,0))</x:f>
        <x:v>0</x:v>
      </x:c>
      <x:c r="J1073" s="5" t="n">
        <x:f>0</x:f>
        <x:v>0</x:v>
      </x:c>
      <x:c r="K1073" s="5" t="n">
        <x:f>$K$1061</x:f>
        <x:v>49.1607903168728</x:v>
      </x:c>
      <x:c r="L1073" s="5" t="str">
        <x:v>Conflicto activo captura menor eficacia en políticas ejecutadas en t+1. Magnitud0 en J: no es un offset directo de indicador.</x:v>
      </x:c>
    </x:row>
    <x:row r="1074" ht="34" customHeight="1">
      <x:c r="A1074" s="10" t="str">
        <x:v>S2_VIAL</x:v>
      </x:c>
      <x:c r="B1074" s="10" t="n">
        <x:v>7</x:v>
      </x:c>
      <x:c r="C1074" s="10" t="str">
        <x:v>cultura</x:v>
      </x:c>
      <x:c r="D1074" s="10" t="n">
        <x:f>$F$1056</x:f>
        <x:v>50.813718875000006</x:v>
      </x:c>
      <x:c r="E1074" s="10" t="n">
        <x:f>(ABS('03_Sensibilidades'!$C$54)*IF('03_Sensibilidades'!$C$54&lt;0,100-$K$305,$K$305)+ABS('03_Sensibilidades'!$C$55)*IF('03_Sensibilidades'!$C$55&lt;0,100-$K$300,$K$300)+ABS('03_Sensibilidades'!$C$56)*IF('03_Sensibilidades'!$C$56&lt;0,100-$K$295,$K$295))/(ABS('03_Sensibilidades'!$C$54)+ABS('03_Sensibilidades'!$C$55)+ABS('03_Sensibilidades'!$C$56))</x:f>
        <x:v>50.821040631578946</x:v>
      </x:c>
      <x:c r="F1074" s="10" t="n">
        <x:f>(1-'00_Arquitectura'!$B$95)*D1074+'00_Arquitectura'!$B$95*E1074</x:f>
        <x:v>50.816281489802634</x:v>
      </x:c>
      <x:c r="G1074" s="10" t="n">
        <x:f>'02_Actores'!$I$19</x:f>
        <x:v>45</x:v>
      </x:c>
      <x:c r="H1074" s="10" t="n">
        <x:f>IF(OR(AND(F1074&lt;'00_Arquitectura'!$B$118,G1074&lt;'00_Arquitectura'!$B$119),F1074&lt;'00_Arquitectura'!$B$120),1,0)</x:f>
        <x:v>0</x:v>
      </x:c>
      <x:c r="I1074" s="10" t="n">
        <x:f>IF($I$1056=1,IF(OR(AND(F1074&lt;'00_Arquitectura'!$B$121,G1074&lt;'00_Arquitectura'!$B$122),F1074&lt;'00_Arquitectura'!$B$123),1,0),IF(AND(H1074=1,$H$1056=1),1,0))</x:f>
        <x:v>0</x:v>
      </x:c>
      <x:c r="J1074" s="10" t="n">
        <x:f>0</x:f>
        <x:v>0</x:v>
      </x:c>
      <x:c r="K1074" s="10" t="n">
        <x:f>$K$1061</x:f>
        <x:v>49.1607903168728</x:v>
      </x:c>
      <x:c r="L1074" s="10" t="str">
        <x:v>Conflicto activo encarece agenda del turno siguiente; sin castigo electoral adicional.</x:v>
      </x:c>
    </x:row>
    <x:row r="1075" ht="34" customHeight="1">
      <x:c r="A1075" s="5" t="str">
        <x:v>S2_VIAL</x:v>
      </x:c>
      <x:c r="B1075" s="5" t="n">
        <x:v>7</x:v>
      </x:c>
      <x:c r="C1075" s="5" t="str">
        <x:v>oficialismo</x:v>
      </x:c>
      <x:c r="D1075" s="5" t="n">
        <x:f>$F$1057</x:f>
        <x:v>51.951004096</x:v>
      </x:c>
      <x:c r="E1075" s="5" t="n">
        <x:f>(ABS('03_Sensibilidades'!$C$57)*IF('03_Sensibilidades'!$C$57&lt;0,100-$K$305,$K$305)+ABS('03_Sensibilidades'!$C$58)*IF('03_Sensibilidades'!$C$58&lt;0,100-$K$294,$K$294)+ABS('03_Sensibilidades'!$C$59)*IF('03_Sensibilidades'!$C$59&lt;0,100-$K$297,$K$297)+ABS('03_Sensibilidades'!$C$60)*IF('03_Sensibilidades'!$C$60&lt;0,100-$K$302,$K$302))/(ABS('03_Sensibilidades'!$C$57)+ABS('03_Sensibilidades'!$C$58)+ABS('03_Sensibilidades'!$C$59)+ABS('03_Sensibilidades'!$C$60))</x:f>
        <x:v>51.80509363200001</x:v>
      </x:c>
      <x:c r="F1075" s="5" t="n">
        <x:f>(1-'00_Arquitectura'!$B$95)*D1075+'00_Arquitectura'!$B$95*E1075</x:f>
        <x:v>51.8999354336</x:v>
      </x:c>
      <x:c r="G1075" s="5" t="n">
        <x:f>'02_Actores'!$I$20</x:f>
        <x:v>60</x:v>
      </x:c>
      <x:c r="H1075" s="5" t="n">
        <x:f>IF(OR(AND(F1075&lt;'00_Arquitectura'!$B$118,G1075&lt;'00_Arquitectura'!$B$119),F1075&lt;'00_Arquitectura'!$B$120),1,0)</x:f>
        <x:v>0</x:v>
      </x:c>
      <x:c r="I1075" s="5" t="n">
        <x:f>IF($I$1057=1,IF(OR(AND(F1075&lt;'00_Arquitectura'!$B$121,G1075&lt;'00_Arquitectura'!$B$122),F1075&lt;'00_Arquitectura'!$B$123),1,0),IF(AND(H1075=1,$H$1057=1),1,0))</x:f>
        <x:v>0</x:v>
      </x:c>
      <x:c r="J1075" s="5" t="n">
        <x:f>0</x:f>
        <x:v>0</x:v>
      </x:c>
      <x:c r="K1075" s="5" t="n">
        <x:f>$K$1061</x:f>
        <x:v>49.1607903168728</x:v>
      </x:c>
      <x:c r="L1075" s="5" t="str">
        <x:v>No aporta E_social; S y R alimentan disposición a leyes según07.</x:v>
      </x:c>
    </x:row>
    <x:row r="1076" ht="34" customHeight="1">
      <x:c r="A1076" s="10" t="str">
        <x:v>S2_VIAL</x:v>
      </x:c>
      <x:c r="B1076" s="10" t="n">
        <x:v>7</x:v>
      </x:c>
      <x:c r="C1076" s="10" t="str">
        <x:v>aliados</x:v>
      </x:c>
      <x:c r="D1076" s="10" t="n">
        <x:f>$F$1058</x:f>
        <x:v>53.84980457619048</x:v>
      </x:c>
      <x:c r="E1076" s="10" t="n">
        <x:f>(ABS('03_Sensibilidades'!$C$61)*IF('03_Sensibilidades'!$C$61&lt;0,100-$K$305,$K$305)+ABS('03_Sensibilidades'!$C$62)*IF('03_Sensibilidades'!$C$62&lt;0,100-$K$297,$K$297)+ABS('03_Sensibilidades'!$C$63)*IF('03_Sensibilidades'!$C$63&lt;0,100-$K$299,$K$299))/(ABS('03_Sensibilidades'!$C$61)+ABS('03_Sensibilidades'!$C$62)+ABS('03_Sensibilidades'!$C$63))</x:f>
        <x:v>53.91045592380953</x:v>
      </x:c>
      <x:c r="F1076" s="10" t="n">
        <x:f>(1-'00_Arquitectura'!$B$95)*D1076+'00_Arquitectura'!$B$95*E1076</x:f>
        <x:v>53.871032547857155</x:v>
      </x:c>
      <x:c r="G1076" s="10" t="n">
        <x:f>'02_Actores'!$I$21</x:f>
        <x:v>45</x:v>
      </x:c>
      <x:c r="H1076" s="10" t="n">
        <x:f>IF(OR(AND(F1076&lt;'00_Arquitectura'!$B$118,G1076&lt;'00_Arquitectura'!$B$119),F1076&lt;'00_Arquitectura'!$B$120),1,0)</x:f>
        <x:v>0</x:v>
      </x:c>
      <x:c r="I1076" s="10" t="n">
        <x:f>IF($I$1058=1,IF(OR(AND(F1076&lt;'00_Arquitectura'!$B$121,G1076&lt;'00_Arquitectura'!$B$122),F1076&lt;'00_Arquitectura'!$B$123),1,0),IF(AND(H1076=1,$H$1058=1),1,0))</x:f>
        <x:v>0</x:v>
      </x:c>
      <x:c r="J1076" s="10" t="n">
        <x:f>0</x:f>
        <x:v>0</x:v>
      </x:c>
      <x:c r="K1076" s="10" t="n">
        <x:f>$K$1061</x:f>
        <x:v>49.1607903168728</x:v>
      </x:c>
      <x:c r="L1076" s="10" t="str">
        <x:v>No aporta E_social; S y R alimentan disposición a leyes según07.</x:v>
      </x:c>
    </x:row>
    <x:row r="1077" ht="34" customHeight="1">
      <x:c r="A1077" s="5" t="str">
        <x:v>S2_VIAL</x:v>
      </x:c>
      <x:c r="B1077" s="5" t="n">
        <x:v>7</x:v>
      </x:c>
      <x:c r="C1077" s="5" t="str">
        <x:v>oposicion</x:v>
      </x:c>
      <x:c r="D1077" s="5" t="n">
        <x:f>$F$1059</x:f>
        <x:v>53.41710269000001</x:v>
      </x:c>
      <x:c r="E1077" s="5" t="n">
        <x:f>(ABS('03_Sensibilidades'!$C$64)*IF('03_Sensibilidades'!$C$64&lt;0,100-$K$305,$K$305)+ABS('03_Sensibilidades'!$C$65)*IF('03_Sensibilidades'!$C$65&lt;0,100-$K$297,$K$297)+ABS('03_Sensibilidades'!$C$66)*IF('03_Sensibilidades'!$C$66&lt;0,100-$K$303,$K$303))/(ABS('03_Sensibilidades'!$C$64)+ABS('03_Sensibilidades'!$C$65)+ABS('03_Sensibilidades'!$C$66))</x:f>
        <x:v>53.047981760000006</x:v>
      </x:c>
      <x:c r="F1077" s="5" t="n">
        <x:f>(1-'00_Arquitectura'!$B$95)*D1077+'00_Arquitectura'!$B$95*E1077</x:f>
        <x:v>53.28791036450001</x:v>
      </x:c>
      <x:c r="G1077" s="5" t="n">
        <x:f>'02_Actores'!$I$22</x:f>
        <x:v>30</x:v>
      </x:c>
      <x:c r="H1077" s="5" t="n">
        <x:f>IF(OR(AND(F1077&lt;'00_Arquitectura'!$B$118,G1077&lt;'00_Arquitectura'!$B$119),F1077&lt;'00_Arquitectura'!$B$120),1,0)</x:f>
        <x:v>0</x:v>
      </x:c>
      <x:c r="I1077" s="5" t="n">
        <x:f>IF($I$1059=1,IF(OR(AND(F1077&lt;'00_Arquitectura'!$B$121,G1077&lt;'00_Arquitectura'!$B$122),F1077&lt;'00_Arquitectura'!$B$123),1,0),IF(AND(H1077=1,$H$1059=1),1,0))</x:f>
        <x:v>0</x:v>
      </x:c>
      <x:c r="J1077" s="5" t="n">
        <x:f>0</x:f>
        <x:v>0</x:v>
      </x:c>
      <x:c r="K1077" s="5" t="n">
        <x:f>$K$1061</x:f>
        <x:v>49.1607903168728</x:v>
      </x:c>
      <x:c r="L1077" s="5" t="str">
        <x:v>No aporta E_social; S y R alimentan disposición a leyes según07.</x:v>
      </x:c>
    </x:row>
    <x:row r="1078" ht="42" customHeight="1">
      <x:c r="A1078" s="10" t="str">
        <x:v>S2_VIAL</x:v>
      </x:c>
      <x:c r="B1078" s="10" t="n">
        <x:v>7</x:v>
      </x:c>
      <x:c r="C1078" s="10" t="str">
        <x:v>gobernadores</x:v>
      </x:c>
      <x:c r="D1078" s="10" t="n">
        <x:f>$F$1060</x:f>
        <x:v>51.12111392413793</x:v>
      </x:c>
      <x:c r="E1078" s="10" t="n">
        <x:f>(ABS('03_Sensibilidades'!$C$67)*IF('03_Sensibilidades'!$C$67&lt;0,100-$K$299,$K$299)+ABS('03_Sensibilidades'!$C$68)*IF('03_Sensibilidades'!$C$68&lt;0,100-$K$301,$K$301)+ABS('03_Sensibilidades'!$C$69)*IF('03_Sensibilidades'!$C$69&lt;0,100-$K$300,$K$300)+ABS('03_Sensibilidades'!$C$70)*IF('03_Sensibilidades'!$C$70&lt;0,100-$K$297,$K$297))/(ABS('03_Sensibilidades'!$C$67)+ABS('03_Sensibilidades'!$C$68)+ABS('03_Sensibilidades'!$C$69)+ABS('03_Sensibilidades'!$C$70))</x:f>
        <x:v>51.37791845517242</x:v>
      </x:c>
      <x:c r="F1078" s="10" t="n">
        <x:f>(1-'00_Arquitectura'!$B$95)*D1078+'00_Arquitectura'!$B$95*E1078</x:f>
        <x:v>51.210995510000004</x:v>
      </x:c>
      <x:c r="G1078" s="10" t="n">
        <x:f>'02_Actores'!$I$23</x:f>
        <x:v>45</x:v>
      </x:c>
      <x:c r="H1078" s="10" t="n">
        <x:f>IF(OR(AND(F1078&lt;'00_Arquitectura'!$B$118,G1078&lt;'00_Arquitectura'!$B$119),F1078&lt;'00_Arquitectura'!$B$120),1,0)</x:f>
        <x:v>0</x:v>
      </x:c>
      <x:c r="I1078" s="10" t="n">
        <x:f>IF($I$1060=1,IF(OR(AND(F1078&lt;'00_Arquitectura'!$B$121,G1078&lt;'00_Arquitectura'!$B$122),F1078&lt;'00_Arquitectura'!$B$123),1,0),IF(AND(H1078=1,$H$1060=1),1,0))</x:f>
        <x:v>0</x:v>
      </x:c>
      <x:c r="J1078" s="10" t="n">
        <x:f>0</x:f>
        <x:v>0</x:v>
      </x:c>
      <x:c r="K1078" s="10" t="n">
        <x:f>$K$1061</x:f>
        <x:v>49.1607903168728</x:v>
      </x:c>
      <x:c r="L1078" s="10" t="str">
        <x:v>Conflicto activo captura menor eficacia en políticas ejecutadas en t+1. Magnitud0 en J: no es un offset directo de indicador.</x:v>
      </x:c>
    </x:row>
    <x:row r="1079" ht="34" customHeight="1">
      <x:c r="A1079" s="5" t="str">
        <x:v>S2_VIAL</x:v>
      </x:c>
      <x:c r="B1079" s="5" t="n">
        <x:v>8</x:v>
      </x:c>
      <x:c r="C1079" s="5" t="str">
        <x:v>industria</x:v>
      </x:c>
      <x:c r="D1079" s="5" t="n">
        <x:f>$F$1061</x:f>
        <x:v>48.31881300807407</x:v>
      </x:c>
      <x:c r="E1079" s="5" t="n">
        <x:f>(ABS('03_Sensibilidades'!$C$6)*IF('03_Sensibilidades'!$C$6&lt;0,100-$K$310,$K$310)+ABS('03_Sensibilidades'!$C$7)*IF('03_Sensibilidades'!$C$7&lt;0,100-$K$308,$K$308)+ABS('03_Sensibilidades'!$C$8)*IF('03_Sensibilidades'!$C$8&lt;0,100-$K$313,$K$313)+ABS('03_Sensibilidades'!$C$9)*IF('03_Sensibilidades'!$C$9&lt;0,100-$K$312,$K$312))/(ABS('03_Sensibilidades'!$C$6)+ABS('03_Sensibilidades'!$C$7)+ABS('03_Sensibilidades'!$C$8)+ABS('03_Sensibilidades'!$C$9))</x:f>
        <x:v>48.86015567845926</x:v>
      </x:c>
      <x:c r="F1079" s="5" t="n">
        <x:f>(1-'00_Arquitectura'!$B$95)*D1079+'00_Arquitectura'!$B$95*E1079</x:f>
        <x:v>48.50828294270889</x:v>
      </x:c>
      <x:c r="G1079" s="5" t="n">
        <x:f>'02_Actores'!$I$6</x:f>
        <x:v>45</x:v>
      </x:c>
      <x:c r="H1079" s="5" t="n">
        <x:f>IF(OR(AND(F1079&lt;'00_Arquitectura'!$B$118,G1079&lt;'00_Arquitectura'!$B$119),F1079&lt;'00_Arquitectura'!$B$120),1,0)</x:f>
        <x:v>0</x:v>
      </x:c>
      <x:c r="I1079" s="5" t="n">
        <x:f>IF($I$1061=1,IF(OR(AND(F1079&lt;'00_Arquitectura'!$B$121,G1079&lt;'00_Arquitectura'!$B$122),F1079&lt;'00_Arquitectura'!$B$123),1,0),IF(AND(H1079=1,$H$1061=1),1,0))</x:f>
        <x:v>0</x:v>
      </x:c>
      <x:c r="J1079" s="5" t="n">
        <x:f>-I1079*2*'02_Actores'!$E$6/10</x:f>
        <x:v>0</x:v>
      </x:c>
      <x:c r="K1079" s="5" t="n">
        <x:f>($F$1079*'02_Actores'!$F$6+$F$1080*'02_Actores'!$F$7+$F$1081*'02_Actores'!$F$8+$F$1082*'02_Actores'!$F$9+$F$1083*'02_Actores'!$F$10+$F$1084*'02_Actores'!$F$11+$F$1085*'02_Actores'!$F$12+$F$1086*'02_Actores'!$F$13+$F$1087*'02_Actores'!$F$14+$F$1088*'02_Actores'!$F$15+$F$1089*'02_Actores'!$F$16+$F$1090*'02_Actores'!$F$17+$F$1091*'02_Actores'!$F$18+$F$1092*'02_Actores'!$F$19)/('02_Actores'!$F$6+'02_Actores'!$F$7+'02_Actores'!$F$8+'02_Actores'!$F$9+'02_Actores'!$F$10+'02_Actores'!$F$11+'02_Actores'!$F$12+'02_Actores'!$F$13+'02_Actores'!$F$14+'02_Actores'!$F$15+'02_Actores'!$F$16+'02_Actores'!$F$17+'02_Actores'!$F$18+'02_Actores'!$F$19)</x:f>
        <x:v>49.21035151094868</x:v>
      </x:c>
      <x:c r="L1079" s="5" t="str">
        <x:v>J programa offset para t+1; efecto sustituible y acotado, sin voto adicional.</x:v>
      </x:c>
    </x:row>
    <x:row r="1080" ht="34" customHeight="1">
      <x:c r="A1080" s="10" t="str">
        <x:v>S2_VIAL</x:v>
      </x:c>
      <x:c r="B1080" s="10" t="n">
        <x:v>8</x:v>
      </x:c>
      <x:c r="C1080" s="10" t="str">
        <x:v>agro</x:v>
      </x:c>
      <x:c r="D1080" s="10" t="n">
        <x:f>$F$1062</x:f>
        <x:v>47.77735167785714</x:v>
      </x:c>
      <x:c r="E1080" s="10" t="n">
        <x:f>(ABS('03_Sensibilidades'!$C$10)*IF('03_Sensibilidades'!$C$10&lt;0,100-$K$312,$K$312)+ABS('03_Sensibilidades'!$C$11)*IF('03_Sensibilidades'!$C$11&lt;0,100-$K$313,$K$313)+ABS('03_Sensibilidades'!$C$12)*IF('03_Sensibilidades'!$C$12&lt;0,100-$K$320,$K$320)+ABS('03_Sensibilidades'!$C$13)*IF('03_Sensibilidades'!$C$13&lt;0,100-$K$310,$K$310))/(ABS('03_Sensibilidades'!$C$10)+ABS('03_Sensibilidades'!$C$11)+ABS('03_Sensibilidades'!$C$12)+ABS('03_Sensibilidades'!$C$13))</x:f>
        <x:v>48.2962792875</x:v>
      </x:c>
      <x:c r="F1080" s="10" t="n">
        <x:f>(1-'00_Arquitectura'!$B$95)*D1080+'00_Arquitectura'!$B$95*E1080</x:f>
        <x:v>47.958976341232145</x:v>
      </x:c>
      <x:c r="G1080" s="10" t="n">
        <x:f>'02_Actores'!$I$7</x:f>
        <x:v>45</x:v>
      </x:c>
      <x:c r="H1080" s="10" t="n">
        <x:f>IF(OR(AND(F1080&lt;'00_Arquitectura'!$B$118,G1080&lt;'00_Arquitectura'!$B$119),F1080&lt;'00_Arquitectura'!$B$120),1,0)</x:f>
        <x:v>0</x:v>
      </x:c>
      <x:c r="I1080" s="10" t="n">
        <x:f>IF($I$1062=1,IF(OR(AND(F1080&lt;'00_Arquitectura'!$B$121,G1080&lt;'00_Arquitectura'!$B$122),F1080&lt;'00_Arquitectura'!$B$123),1,0),IF(AND(H1080=1,$H$1062=1),1,0))</x:f>
        <x:v>0</x:v>
      </x:c>
      <x:c r="J1080" s="10" t="n">
        <x:f>-I1080*2*'02_Actores'!$E$7/10</x:f>
        <x:v>0</x:v>
      </x:c>
      <x:c r="K1080" s="10" t="n">
        <x:f>$K$1079</x:f>
        <x:v>49.21035151094868</x:v>
      </x:c>
      <x:c r="L1080" s="10" t="str">
        <x:v>J programa offset para t+1; efecto sustituible y acotado, sin voto adicional.</x:v>
      </x:c>
    </x:row>
    <x:row r="1081" ht="34" customHeight="1">
      <x:c r="A1081" s="5" t="str">
        <x:v>S2_VIAL</x:v>
      </x:c>
      <x:c r="B1081" s="5" t="n">
        <x:v>8</x:v>
      </x:c>
      <x:c r="C1081" s="5" t="str">
        <x:v>financiero</x:v>
      </x:c>
      <x:c r="D1081" s="5" t="n">
        <x:f>$F$1063</x:f>
        <x:v>54.28620622144828</x:v>
      </x:c>
      <x:c r="E1081" s="5" t="n">
        <x:f>(ABS('03_Sensibilidades'!$C$14)*IF('03_Sensibilidades'!$C$14&lt;0,100-$K$311,$K$311)+ABS('03_Sensibilidades'!$C$15)*IF('03_Sensibilidades'!$C$15&lt;0,100-$K$307,$K$307)+ABS('03_Sensibilidades'!$C$16)*IF('03_Sensibilidades'!$C$16&lt;0,100-$K$310,$K$310)+ABS('03_Sensibilidades'!$C$17)*IF('03_Sensibilidades'!$C$17&lt;0,100-$K$319,$K$319))/(ABS('03_Sensibilidades'!$C$14)+ABS('03_Sensibilidades'!$C$15)+ABS('03_Sensibilidades'!$C$16)+ABS('03_Sensibilidades'!$C$17))</x:f>
        <x:v>54.01055429206897</x:v>
      </x:c>
      <x:c r="F1081" s="5" t="n">
        <x:f>(1-'00_Arquitectura'!$B$95)*D1081+'00_Arquitectura'!$B$95*E1081</x:f>
        <x:v>54.18972804616553</x:v>
      </x:c>
      <x:c r="G1081" s="5" t="n">
        <x:f>'02_Actores'!$I$8</x:f>
        <x:v>45</x:v>
      </x:c>
      <x:c r="H1081" s="5" t="n">
        <x:f>IF(OR(AND(F1081&lt;'00_Arquitectura'!$B$118,G1081&lt;'00_Arquitectura'!$B$119),F1081&lt;'00_Arquitectura'!$B$120),1,0)</x:f>
        <x:v>0</x:v>
      </x:c>
      <x:c r="I1081" s="5" t="n">
        <x:f>IF($I$1063=1,IF(OR(AND(F1081&lt;'00_Arquitectura'!$B$121,G1081&lt;'00_Arquitectura'!$B$122),F1081&lt;'00_Arquitectura'!$B$123),1,0),IF(AND(H1081=1,$H$1063=1),1,0))</x:f>
        <x:v>0</x:v>
      </x:c>
      <x:c r="J1081" s="5" t="n">
        <x:f>-I1081*2*'02_Actores'!$E$8/10</x:f>
        <x:v>0</x:v>
      </x:c>
      <x:c r="K1081" s="5" t="n">
        <x:f>$K$1079</x:f>
        <x:v>49.21035151094868</x:v>
      </x:c>
      <x:c r="L1081" s="5" t="str">
        <x:v>J programa offset para t+1; efecto sustituible y acotado, sin voto adicional.</x:v>
      </x:c>
    </x:row>
    <x:row r="1082" ht="34" customHeight="1">
      <x:c r="A1082" s="10" t="str">
        <x:v>S2_VIAL</x:v>
      </x:c>
      <x:c r="B1082" s="10" t="n">
        <x:v>8</x:v>
      </x:c>
      <x:c r="C1082" s="10" t="str">
        <x:v>sindicatos</x:v>
      </x:c>
      <x:c r="D1082" s="10" t="n">
        <x:f>$F$1064</x:f>
        <x:v>48.22763439590517</x:v>
      </x:c>
      <x:c r="E1082" s="10" t="n">
        <x:f>(ABS('03_Sensibilidades'!$C$18)*IF('03_Sensibilidades'!$C$18&lt;0,100-$K$309,$K$309)+ABS('03_Sensibilidades'!$C$19)*IF('03_Sensibilidades'!$C$19&lt;0,100-$K$308,$K$308)+ABS('03_Sensibilidades'!$C$20)*IF('03_Sensibilidades'!$C$20&lt;0,100-$K$316,$K$316)+ABS('03_Sensibilidades'!$C$21)*IF('03_Sensibilidades'!$C$21&lt;0,100-$K$319,$K$319))/(ABS('03_Sensibilidades'!$C$18)+ABS('03_Sensibilidades'!$C$19)+ABS('03_Sensibilidades'!$C$20)+ABS('03_Sensibilidades'!$C$21))</x:f>
        <x:v>48.43064473942069</x:v>
      </x:c>
      <x:c r="F1082" s="10" t="n">
        <x:f>(1-'00_Arquitectura'!$B$95)*D1082+'00_Arquitectura'!$B$95*E1082</x:f>
        <x:v>48.2986880161356</x:v>
      </x:c>
      <x:c r="G1082" s="10" t="n">
        <x:f>'02_Actores'!$I$9</x:f>
        <x:v>45</x:v>
      </x:c>
      <x:c r="H1082" s="10" t="n">
        <x:f>IF(OR(AND(F1082&lt;'00_Arquitectura'!$B$118,G1082&lt;'00_Arquitectura'!$B$119),F1082&lt;'00_Arquitectura'!$B$120),1,0)</x:f>
        <x:v>0</x:v>
      </x:c>
      <x:c r="I1082" s="10" t="n">
        <x:f>IF($I$1064=1,IF(OR(AND(F1082&lt;'00_Arquitectura'!$B$121,G1082&lt;'00_Arquitectura'!$B$122),F1082&lt;'00_Arquitectura'!$B$123),1,0),IF(AND(H1082=1,$H$1064=1),1,0))</x:f>
        <x:v>0</x:v>
      </x:c>
      <x:c r="J1082" s="10" t="n">
        <x:f>-I1082*2*'02_Actores'!$E$9/10</x:f>
        <x:v>0</x:v>
      </x:c>
      <x:c r="K1082" s="10" t="n">
        <x:f>$K$1079</x:f>
        <x:v>49.21035151094868</x:v>
      </x:c>
      <x:c r="L1082" s="10" t="str">
        <x:v>J programa offset para t+1; efecto sustituible y acotado, sin voto adicional.</x:v>
      </x:c>
    </x:row>
    <x:row r="1083" ht="34" customHeight="1">
      <x:c r="A1083" s="5" t="str">
        <x:v>S2_VIAL</x:v>
      </x:c>
      <x:c r="B1083" s="5" t="n">
        <x:v>8</x:v>
      </x:c>
      <x:c r="C1083" s="5" t="str">
        <x:v>pymes</x:v>
      </x:c>
      <x:c r="D1083" s="5" t="n">
        <x:f>$F$1065</x:f>
        <x:v>50.234592494094834</x:v>
      </x:c>
      <x:c r="E1083" s="5" t="n">
        <x:f>(ABS('03_Sensibilidades'!$C$22)*IF('03_Sensibilidades'!$C$22&lt;0,100-$K$310,$K$310)+ABS('03_Sensibilidades'!$C$23)*IF('03_Sensibilidades'!$C$23&lt;0,100-$K$308,$K$308)+ABS('03_Sensibilidades'!$C$24)*IF('03_Sensibilidades'!$C$24&lt;0,100-$K$313,$K$313)+ABS('03_Sensibilidades'!$C$25)*IF('03_Sensibilidades'!$C$25&lt;0,100-$K$307,$K$307))/(ABS('03_Sensibilidades'!$C$22)+ABS('03_Sensibilidades'!$C$23)+ABS('03_Sensibilidades'!$C$24)+ABS('03_Sensibilidades'!$C$25))</x:f>
        <x:v>50.564185956662065</x:v>
      </x:c>
      <x:c r="F1083" s="5" t="n">
        <x:f>(1-'00_Arquitectura'!$B$95)*D1083+'00_Arquitectura'!$B$95*E1083</x:f>
        <x:v>50.349950205993366</x:v>
      </x:c>
      <x:c r="G1083" s="5" t="n">
        <x:f>'02_Actores'!$I$10</x:f>
        <x:v>45</x:v>
      </x:c>
      <x:c r="H1083" s="5" t="n">
        <x:f>IF(OR(AND(F1083&lt;'00_Arquitectura'!$B$118,G1083&lt;'00_Arquitectura'!$B$119),F1083&lt;'00_Arquitectura'!$B$120),1,0)</x:f>
        <x:v>0</x:v>
      </x:c>
      <x:c r="I1083" s="5" t="n">
        <x:f>IF($I$1065=1,IF(OR(AND(F1083&lt;'00_Arquitectura'!$B$121,G1083&lt;'00_Arquitectura'!$B$122),F1083&lt;'00_Arquitectura'!$B$123),1,0),IF(AND(H1083=1,$H$1065=1),1,0))</x:f>
        <x:v>0</x:v>
      </x:c>
      <x:c r="J1083" s="5" t="n">
        <x:f>-I1083*2*'02_Actores'!$E$10/10</x:f>
        <x:v>0</x:v>
      </x:c>
      <x:c r="K1083" s="5" t="n">
        <x:f>$K$1079</x:f>
        <x:v>49.21035151094868</x:v>
      </x:c>
      <x:c r="L1083" s="5" t="str">
        <x:v>J programa offset para t+1; efecto sustituible y acotado, sin voto adicional.</x:v>
      </x:c>
    </x:row>
    <x:row r="1084" ht="34" customHeight="1">
      <x:c r="A1084" s="10" t="str">
        <x:v>S2_VIAL</x:v>
      </x:c>
      <x:c r="B1084" s="10" t="n">
        <x:v>8</x:v>
      </x:c>
      <x:c r="C1084" s="10" t="str">
        <x:v>clase_media</x:v>
      </x:c>
      <x:c r="D1084" s="10" t="n">
        <x:f>$F$1066</x:f>
        <x:v>48.371062837500006</x:v>
      </x:c>
      <x:c r="E1084" s="10" t="n">
        <x:f>(ABS('03_Sensibilidades'!$C$26)*IF('03_Sensibilidades'!$C$26&lt;0,100-$K$309,$K$309)+ABS('03_Sensibilidades'!$C$27)*IF('03_Sensibilidades'!$C$27&lt;0,100-$K$317,$K$317)+ABS('03_Sensibilidades'!$C$28)*IF('03_Sensibilidades'!$C$28&lt;0,100-$K$314,$K$314)+ABS('03_Sensibilidades'!$C$29)*IF('03_Sensibilidades'!$C$29&lt;0,100-$K$307,$K$307))/(ABS('03_Sensibilidades'!$C$26)+ABS('03_Sensibilidades'!$C$27)+ABS('03_Sensibilidades'!$C$28)+ABS('03_Sensibilidades'!$C$29))</x:f>
        <x:v>48.396997955555555</x:v>
      </x:c>
      <x:c r="F1084" s="10" t="n">
        <x:f>(1-'00_Arquitectura'!$B$95)*D1084+'00_Arquitectura'!$B$95*E1084</x:f>
        <x:v>48.38014012881945</x:v>
      </x:c>
      <x:c r="G1084" s="10" t="n">
        <x:f>'02_Actores'!$I$11</x:f>
        <x:v>45</x:v>
      </x:c>
      <x:c r="H1084" s="10" t="n">
        <x:f>IF(OR(AND(F1084&lt;'00_Arquitectura'!$B$118,G1084&lt;'00_Arquitectura'!$B$119),F1084&lt;'00_Arquitectura'!$B$120),1,0)</x:f>
        <x:v>0</x:v>
      </x:c>
      <x:c r="I1084" s="10" t="n">
        <x:f>IF($I$1066=1,IF(OR(AND(F1084&lt;'00_Arquitectura'!$B$121,G1084&lt;'00_Arquitectura'!$B$122),F1084&lt;'00_Arquitectura'!$B$123),1,0),IF(AND(H1084=1,$H$1066=1),1,0))</x:f>
        <x:v>0</x:v>
      </x:c>
      <x:c r="J1084" s="10" t="n">
        <x:f>0</x:f>
        <x:v>0</x:v>
      </x:c>
      <x:c r="K1084" s="10" t="n">
        <x:f>$K$1079</x:f>
        <x:v>49.21035151094868</x:v>
      </x:c>
      <x:c r="L1084" s="10" t="str">
        <x:v>Canal directo sólo al índice social; sin bono de popularidad.</x:v>
      </x:c>
    </x:row>
    <x:row r="1085" ht="34" customHeight="1">
      <x:c r="A1085" s="5" t="str">
        <x:v>S2_VIAL</x:v>
      </x:c>
      <x:c r="B1085" s="5" t="n">
        <x:v>8</x:v>
      </x:c>
      <x:c r="C1085" s="5" t="str">
        <x:v>cooperativas</x:v>
      </x:c>
      <x:c r="D1085" s="5" t="n">
        <x:f>$F$1067</x:f>
        <x:v>47.98520831493519</x:v>
      </x:c>
      <x:c r="E1085" s="5" t="n">
        <x:f>(ABS('03_Sensibilidades'!$C$30)*IF('03_Sensibilidades'!$C$30&lt;0,100-$K$310,$K$310)+ABS('03_Sensibilidades'!$C$31)*IF('03_Sensibilidades'!$C$31&lt;0,100-$K$308,$K$308)+ABS('03_Sensibilidades'!$C$32)*IF('03_Sensibilidades'!$C$32&lt;0,100-$K$316,$K$316)+ABS('03_Sensibilidades'!$C$33)*IF('03_Sensibilidades'!$C$33&lt;0,100-$K$319,$K$319))/(ABS('03_Sensibilidades'!$C$30)+ABS('03_Sensibilidades'!$C$31)+ABS('03_Sensibilidades'!$C$32)+ABS('03_Sensibilidades'!$C$33))</x:f>
        <x:v>48.10911770013334</x:v>
      </x:c>
      <x:c r="F1085" s="5" t="n">
        <x:f>(1-'00_Arquitectura'!$B$95)*D1085+'00_Arquitectura'!$B$95*E1085</x:f>
        <x:v>48.028576599754544</x:v>
      </x:c>
      <x:c r="G1085" s="5" t="n">
        <x:f>'02_Actores'!$I$12</x:f>
        <x:v>45</x:v>
      </x:c>
      <x:c r="H1085" s="5" t="n">
        <x:f>IF(OR(AND(F1085&lt;'00_Arquitectura'!$B$118,G1085&lt;'00_Arquitectura'!$B$119),F1085&lt;'00_Arquitectura'!$B$120),1,0)</x:f>
        <x:v>0</x:v>
      </x:c>
      <x:c r="I1085" s="5" t="n">
        <x:f>IF($I$1067=1,IF(OR(AND(F1085&lt;'00_Arquitectura'!$B$121,G1085&lt;'00_Arquitectura'!$B$122),F1085&lt;'00_Arquitectura'!$B$123),1,0),IF(AND(H1085=1,$H$1067=1),1,0))</x:f>
        <x:v>0</x:v>
      </x:c>
      <x:c r="J1085" s="5" t="n">
        <x:f>-I1085*1.5*'02_Actores'!$E$12/10</x:f>
        <x:v>0</x:v>
      </x:c>
      <x:c r="K1085" s="5" t="n">
        <x:f>$K$1079</x:f>
        <x:v>49.21035151094868</x:v>
      </x:c>
      <x:c r="L1085" s="5" t="str">
        <x:v>J programa offset para t+1; efecto sustituible y acotado, sin voto adicional.</x:v>
      </x:c>
    </x:row>
    <x:row r="1086" ht="42" customHeight="1">
      <x:c r="A1086" s="10" t="str">
        <x:v>S2_VIAL</x:v>
      </x:c>
      <x:c r="B1086" s="10" t="n">
        <x:v>8</x:v>
      </x:c>
      <x:c r="C1086" s="10" t="str">
        <x:v>estudiantes</x:v>
      </x:c>
      <x:c r="D1086" s="10" t="n">
        <x:f>$F$1068</x:f>
        <x:v>49.22037393225</x:v>
      </x:c>
      <x:c r="E1086" s="10" t="n">
        <x:f>(ABS('03_Sensibilidades'!$C$34)*IF('03_Sensibilidades'!$C$34&lt;0,100-$K$314,$K$314)+ABS('03_Sensibilidades'!$C$35)*IF('03_Sensibilidades'!$C$35&lt;0,100-$K$309,$K$309)+ABS('03_Sensibilidades'!$C$36)*IF('03_Sensibilidades'!$C$36&lt;0,100-$K$319,$K$319)+ABS('03_Sensibilidades'!$C$37)*IF('03_Sensibilidades'!$C$37&lt;0,100-$K$318,$K$318))/(ABS('03_Sensibilidades'!$C$34)+ABS('03_Sensibilidades'!$C$35)+ABS('03_Sensibilidades'!$C$36)+ABS('03_Sensibilidades'!$C$37))</x:f>
        <x:v>49.234378895999996</x:v>
      </x:c>
      <x:c r="F1086" s="10" t="n">
        <x:f>(1-'00_Arquitectura'!$B$95)*D1086+'00_Arquitectura'!$B$95*E1086</x:f>
        <x:v>49.2252756695625</x:v>
      </x:c>
      <x:c r="G1086" s="10" t="n">
        <x:f>'02_Actores'!$I$13</x:f>
        <x:v>45</x:v>
      </x:c>
      <x:c r="H1086" s="10" t="n">
        <x:f>IF(OR(AND(F1086&lt;'00_Arquitectura'!$B$118,G1086&lt;'00_Arquitectura'!$B$119),F1086&lt;'00_Arquitectura'!$B$120),1,0)</x:f>
        <x:v>0</x:v>
      </x:c>
      <x:c r="I1086" s="10" t="n">
        <x:f>IF($I$1068=1,IF(OR(AND(F1086&lt;'00_Arquitectura'!$B$121,G1086&lt;'00_Arquitectura'!$B$122),F1086&lt;'00_Arquitectura'!$B$123),1,0),IF(AND(H1086=1,$H$1068=1),1,0))</x:f>
        <x:v>0</x:v>
      </x:c>
      <x:c r="J1086" s="10" t="n">
        <x:f>0</x:f>
        <x:v>0</x:v>
      </x:c>
      <x:c r="K1086" s="10" t="n">
        <x:f>$K$1079</x:f>
        <x:v>49.21035151094868</x:v>
      </x:c>
      <x:c r="L1086" s="10" t="str">
        <x:v>Conflicto activo captura menor eficacia en políticas ejecutadas en t+1. Magnitud0 en J: no es un offset directo de indicador.</x:v>
      </x:c>
    </x:row>
    <x:row r="1087" ht="34" customHeight="1">
      <x:c r="A1087" s="5" t="str">
        <x:v>S2_VIAL</x:v>
      </x:c>
      <x:c r="B1087" s="5" t="n">
        <x:v>8</x:v>
      </x:c>
      <x:c r="C1087" s="5" t="str">
        <x:v>docentes</x:v>
      </x:c>
      <x:c r="D1087" s="5" t="n">
        <x:f>$F$1069</x:f>
        <x:v>48.95290551961956</x:v>
      </x:c>
      <x:c r="E1087" s="5" t="n">
        <x:f>(ABS('03_Sensibilidades'!$C$38)*IF('03_Sensibilidades'!$C$38&lt;0,100-$K$314,$K$314)+ABS('03_Sensibilidades'!$C$39)*IF('03_Sensibilidades'!$C$39&lt;0,100-$K$309,$K$309)+ABS('03_Sensibilidades'!$C$40)*IF('03_Sensibilidades'!$C$40&lt;0,100-$K$319,$K$319))/(ABS('03_Sensibilidades'!$C$38)+ABS('03_Sensibilidades'!$C$39)+ABS('03_Sensibilidades'!$C$40))</x:f>
        <x:v>48.98030653565217</x:v>
      </x:c>
      <x:c r="F1087" s="5" t="n">
        <x:f>(1-'00_Arquitectura'!$B$95)*D1087+'00_Arquitectura'!$B$95*E1087</x:f>
        <x:v>48.96249587523097</x:v>
      </x:c>
      <x:c r="G1087" s="5" t="n">
        <x:f>'02_Actores'!$I$14</x:f>
        <x:v>45</x:v>
      </x:c>
      <x:c r="H1087" s="5" t="n">
        <x:f>IF(OR(AND(F1087&lt;'00_Arquitectura'!$B$118,G1087&lt;'00_Arquitectura'!$B$119),F1087&lt;'00_Arquitectura'!$B$120),1,0)</x:f>
        <x:v>0</x:v>
      </x:c>
      <x:c r="I1087" s="5" t="n">
        <x:f>IF($I$1069=1,IF(OR(AND(F1087&lt;'00_Arquitectura'!$B$121,G1087&lt;'00_Arquitectura'!$B$122),F1087&lt;'00_Arquitectura'!$B$123),1,0),IF(AND(H1087=1,$H$1069=1),1,0))</x:f>
        <x:v>0</x:v>
      </x:c>
      <x:c r="J1087" s="5" t="n">
        <x:f>-I1087*1.5*'02_Actores'!$E$14/10</x:f>
        <x:v>0</x:v>
      </x:c>
      <x:c r="K1087" s="5" t="n">
        <x:f>$K$1079</x:f>
        <x:v>49.21035151094868</x:v>
      </x:c>
      <x:c r="L1087" s="5" t="str">
        <x:v>J programa offset para t+1; efecto sustituible y acotado, sin voto adicional.</x:v>
      </x:c>
    </x:row>
    <x:row r="1088" ht="34" customHeight="1">
      <x:c r="A1088" s="10" t="str">
        <x:v>S2_VIAL</x:v>
      </x:c>
      <x:c r="B1088" s="10" t="n">
        <x:v>8</x:v>
      </x:c>
      <x:c r="C1088" s="10" t="str">
        <x:v>cientificos</x:v>
      </x:c>
      <x:c r="D1088" s="10" t="n">
        <x:f>$F$1070</x:f>
        <x:v>46.59090909090909</x:v>
      </x:c>
      <x:c r="E1088" s="10" t="n">
        <x:f>(ABS('03_Sensibilidades'!$C$41)*IF('03_Sensibilidades'!$C$41&lt;0,100-$K$318,$K$318)+ABS('03_Sensibilidades'!$C$42)*IF('03_Sensibilidades'!$C$42&lt;0,100-$K$314,$K$314)+ABS('03_Sensibilidades'!$C$43)*IF('03_Sensibilidades'!$C$43&lt;0,100-$K$319,$K$319))/(ABS('03_Sensibilidades'!$C$41)+ABS('03_Sensibilidades'!$C$42)+ABS('03_Sensibilidades'!$C$43))</x:f>
        <x:v>46.59090909090909</x:v>
      </x:c>
      <x:c r="F1088" s="10" t="n">
        <x:f>(1-'00_Arquitectura'!$B$95)*D1088+'00_Arquitectura'!$B$95*E1088</x:f>
        <x:v>46.59090909090909</x:v>
      </x:c>
      <x:c r="G1088" s="10" t="n">
        <x:f>'02_Actores'!$I$15</x:f>
        <x:v>45</x:v>
      </x:c>
      <x:c r="H1088" s="10" t="n">
        <x:f>IF(OR(AND(F1088&lt;'00_Arquitectura'!$B$118,G1088&lt;'00_Arquitectura'!$B$119),F1088&lt;'00_Arquitectura'!$B$120),1,0)</x:f>
        <x:v>0</x:v>
      </x:c>
      <x:c r="I1088" s="10" t="n">
        <x:f>IF($I$1070=1,IF(OR(AND(F1088&lt;'00_Arquitectura'!$B$121,G1088&lt;'00_Arquitectura'!$B$122),F1088&lt;'00_Arquitectura'!$B$123),1,0),IF(AND(H1088=1,$H$1070=1),1,0))</x:f>
        <x:v>0</x:v>
      </x:c>
      <x:c r="J1088" s="10" t="n">
        <x:f>-I1088*1.5*'02_Actores'!$E$15/10</x:f>
        <x:v>0</x:v>
      </x:c>
      <x:c r="K1088" s="10" t="n">
        <x:f>$K$1079</x:f>
        <x:v>49.21035151094868</x:v>
      </x:c>
      <x:c r="L1088" s="10" t="str">
        <x:v>J programa offset para t+1; efecto sustituible y acotado, sin voto adicional.</x:v>
      </x:c>
    </x:row>
    <x:row r="1089" ht="34" customHeight="1">
      <x:c r="A1089" s="5" t="str">
        <x:v>S2_VIAL</x:v>
      </x:c>
      <x:c r="B1089" s="5" t="n">
        <x:v>8</x:v>
      </x:c>
      <x:c r="C1089" s="5" t="str">
        <x:v>organizaciones</x:v>
      </x:c>
      <x:c r="D1089" s="5" t="n">
        <x:f>$F$1071</x:f>
        <x:v>49.28768335401786</x:v>
      </x:c>
      <x:c r="E1089" s="5" t="n">
        <x:f>(ABS('03_Sensibilidades'!$C$44)*IF('03_Sensibilidades'!$C$44&lt;0,100-$K$316,$K$316)+ABS('03_Sensibilidades'!$C$45)*IF('03_Sensibilidades'!$C$45&lt;0,100-$K$315,$K$315)+ABS('03_Sensibilidades'!$C$46)*IF('03_Sensibilidades'!$C$46&lt;0,100-$K$308,$K$308)+ABS('03_Sensibilidades'!$C$47)*IF('03_Sensibilidades'!$C$47&lt;0,100-$K$319,$K$319))/(ABS('03_Sensibilidades'!$C$44)+ABS('03_Sensibilidades'!$C$45)+ABS('03_Sensibilidades'!$C$46)+ABS('03_Sensibilidades'!$C$47))</x:f>
        <x:v>49.41118458674286</x:v>
      </x:c>
      <x:c r="F1089" s="5" t="n">
        <x:f>(1-'00_Arquitectura'!$B$95)*D1089+'00_Arquitectura'!$B$95*E1089</x:f>
        <x:v>49.33090878547161</x:v>
      </x:c>
      <x:c r="G1089" s="5" t="n">
        <x:f>'02_Actores'!$I$16</x:f>
        <x:v>45</x:v>
      </x:c>
      <x:c r="H1089" s="5" t="n">
        <x:f>IF(OR(AND(F1089&lt;'00_Arquitectura'!$B$118,G1089&lt;'00_Arquitectura'!$B$119),F1089&lt;'00_Arquitectura'!$B$120),1,0)</x:f>
        <x:v>0</x:v>
      </x:c>
      <x:c r="I1089" s="5" t="n">
        <x:f>IF($I$1071=1,IF(OR(AND(F1089&lt;'00_Arquitectura'!$B$121,G1089&lt;'00_Arquitectura'!$B$122),F1089&lt;'00_Arquitectura'!$B$123),1,0),IF(AND(H1089=1,$H$1071=1),1,0))</x:f>
        <x:v>0</x:v>
      </x:c>
      <x:c r="J1089" s="5" t="n">
        <x:f>-I1089*1.5*'02_Actores'!$E$16/10</x:f>
        <x:v>0</x:v>
      </x:c>
      <x:c r="K1089" s="5" t="n">
        <x:f>$K$1079</x:f>
        <x:v>49.21035151094868</x:v>
      </x:c>
      <x:c r="L1089" s="5" t="str">
        <x:v>J programa offset para t+1; efecto sustituible y acotado, sin voto adicional.</x:v>
      </x:c>
    </x:row>
    <x:row r="1090" ht="42" customHeight="1">
      <x:c r="A1090" s="10" t="str">
        <x:v>S2_VIAL</x:v>
      </x:c>
      <x:c r="B1090" s="10" t="n">
        <x:v>8</x:v>
      </x:c>
      <x:c r="C1090" s="10" t="str">
        <x:v>ddhh</x:v>
      </x:c>
      <x:c r="D1090" s="10" t="n">
        <x:f>$F$1072</x:f>
        <x:v>50.88235294117648</x:v>
      </x:c>
      <x:c r="E1090" s="10" t="n">
        <x:f>(ABS('03_Sensibilidades'!$C$48)*IF('03_Sensibilidades'!$C$48&lt;0,100-$K$319,$K$319)+ABS('03_Sensibilidades'!$C$49)*IF('03_Sensibilidades'!$C$49&lt;0,100-$K$317,$K$317)+ABS('03_Sensibilidades'!$C$50)*IF('03_Sensibilidades'!$C$50&lt;0,100-$K$316,$K$316))/(ABS('03_Sensibilidades'!$C$48)+ABS('03_Sensibilidades'!$C$49)+ABS('03_Sensibilidades'!$C$50))</x:f>
        <x:v>50.88235294117647</x:v>
      </x:c>
      <x:c r="F1090" s="10" t="n">
        <x:f>(1-'00_Arquitectura'!$B$95)*D1090+'00_Arquitectura'!$B$95*E1090</x:f>
        <x:v>50.88235294117648</x:v>
      </x:c>
      <x:c r="G1090" s="10" t="n">
        <x:f>'02_Actores'!$I$17</x:f>
        <x:v>45</x:v>
      </x:c>
      <x:c r="H1090" s="10" t="n">
        <x:f>IF(OR(AND(F1090&lt;'00_Arquitectura'!$B$118,G1090&lt;'00_Arquitectura'!$B$119),F1090&lt;'00_Arquitectura'!$B$120),1,0)</x:f>
        <x:v>0</x:v>
      </x:c>
      <x:c r="I1090" s="10" t="n">
        <x:f>IF($I$1072=1,IF(OR(AND(F1090&lt;'00_Arquitectura'!$B$121,G1090&lt;'00_Arquitectura'!$B$122),F1090&lt;'00_Arquitectura'!$B$123),1,0),IF(AND(H1090=1,$H$1072=1),1,0))</x:f>
        <x:v>0</x:v>
      </x:c>
      <x:c r="J1090" s="10" t="n">
        <x:f>0</x:f>
        <x:v>0</x:v>
      </x:c>
      <x:c r="K1090" s="10" t="n">
        <x:f>$K$1079</x:f>
        <x:v>49.21035151094868</x:v>
      </x:c>
      <x:c r="L1090" s="10" t="str">
        <x:v>Conflicto activo captura menor eficacia en políticas ejecutadas en t+1. Magnitud0 en J: no es un offset directo de indicador.</x:v>
      </x:c>
    </x:row>
    <x:row r="1091" ht="42" customHeight="1">
      <x:c r="A1091" s="5" t="str">
        <x:v>S2_VIAL</x:v>
      </x:c>
      <x:c r="B1091" s="5" t="n">
        <x:v>8</x:v>
      </x:c>
      <x:c r="C1091" s="5" t="str">
        <x:v>ambientalistas</x:v>
      </x:c>
      <x:c r="D1091" s="5" t="n">
        <x:f>$F$1073</x:f>
        <x:v>50.47611805555555</x:v>
      </x:c>
      <x:c r="E1091" s="5" t="n">
        <x:f>(ABS('03_Sensibilidades'!$C$51)*IF('03_Sensibilidades'!$C$51&lt;0,100-$K$320,$K$320)+ABS('03_Sensibilidades'!$C$52)*IF('03_Sensibilidades'!$C$52&lt;0,100-$K$319,$K$319)+ABS('03_Sensibilidades'!$C$53)*IF('03_Sensibilidades'!$C$53&lt;0,100-$K$315,$K$315))/(ABS('03_Sensibilidades'!$C$51)+ABS('03_Sensibilidades'!$C$52)+ABS('03_Sensibilidades'!$C$53))</x:f>
        <x:v>50.27777777777778</x:v>
      </x:c>
      <x:c r="F1091" s="5" t="n">
        <x:f>(1-'00_Arquitectura'!$B$95)*D1091+'00_Arquitectura'!$B$95*E1091</x:f>
        <x:v>50.40669895833333</x:v>
      </x:c>
      <x:c r="G1091" s="5" t="n">
        <x:f>'02_Actores'!$I$18</x:f>
        <x:v>45</x:v>
      </x:c>
      <x:c r="H1091" s="5" t="n">
        <x:f>IF(OR(AND(F1091&lt;'00_Arquitectura'!$B$118,G1091&lt;'00_Arquitectura'!$B$119),F1091&lt;'00_Arquitectura'!$B$120),1,0)</x:f>
        <x:v>0</x:v>
      </x:c>
      <x:c r="I1091" s="5" t="n">
        <x:f>IF($I$1073=1,IF(OR(AND(F1091&lt;'00_Arquitectura'!$B$121,G1091&lt;'00_Arquitectura'!$B$122),F1091&lt;'00_Arquitectura'!$B$123),1,0),IF(AND(H1091=1,$H$1073=1),1,0))</x:f>
        <x:v>0</x:v>
      </x:c>
      <x:c r="J1091" s="5" t="n">
        <x:f>0</x:f>
        <x:v>0</x:v>
      </x:c>
      <x:c r="K1091" s="5" t="n">
        <x:f>$K$1079</x:f>
        <x:v>49.21035151094868</x:v>
      </x:c>
      <x:c r="L1091" s="5" t="str">
        <x:v>Conflicto activo captura menor eficacia en políticas ejecutadas en t+1. Magnitud0 en J: no es un offset directo de indicador.</x:v>
      </x:c>
    </x:row>
    <x:row r="1092" ht="34" customHeight="1">
      <x:c r="A1092" s="10" t="str">
        <x:v>S2_VIAL</x:v>
      </x:c>
      <x:c r="B1092" s="10" t="n">
        <x:v>8</x:v>
      </x:c>
      <x:c r="C1092" s="10" t="str">
        <x:v>cultura</x:v>
      </x:c>
      <x:c r="D1092" s="10" t="n">
        <x:f>$F$1074</x:f>
        <x:v>50.816281489802634</x:v>
      </x:c>
      <x:c r="E1092" s="10" t="n">
        <x:f>(ABS('03_Sensibilidades'!$C$54)*IF('03_Sensibilidades'!$C$54&lt;0,100-$K$319,$K$319)+ABS('03_Sensibilidades'!$C$55)*IF('03_Sensibilidades'!$C$55&lt;0,100-$K$314,$K$314)+ABS('03_Sensibilidades'!$C$56)*IF('03_Sensibilidades'!$C$56&lt;0,100-$K$309,$K$309))/(ABS('03_Sensibilidades'!$C$54)+ABS('03_Sensibilidades'!$C$55)+ABS('03_Sensibilidades'!$C$56))</x:f>
        <x:v>50.83470907368421</x:v>
      </x:c>
      <x:c r="F1092" s="10" t="n">
        <x:f>(1-'00_Arquitectura'!$B$95)*D1092+'00_Arquitectura'!$B$95*E1092</x:f>
        <x:v>50.82273114416118</x:v>
      </x:c>
      <x:c r="G1092" s="10" t="n">
        <x:f>'02_Actores'!$I$19</x:f>
        <x:v>45</x:v>
      </x:c>
      <x:c r="H1092" s="10" t="n">
        <x:f>IF(OR(AND(F1092&lt;'00_Arquitectura'!$B$118,G1092&lt;'00_Arquitectura'!$B$119),F1092&lt;'00_Arquitectura'!$B$120),1,0)</x:f>
        <x:v>0</x:v>
      </x:c>
      <x:c r="I1092" s="10" t="n">
        <x:f>IF($I$1074=1,IF(OR(AND(F1092&lt;'00_Arquitectura'!$B$121,G1092&lt;'00_Arquitectura'!$B$122),F1092&lt;'00_Arquitectura'!$B$123),1,0),IF(AND(H1092=1,$H$1074=1),1,0))</x:f>
        <x:v>0</x:v>
      </x:c>
      <x:c r="J1092" s="10" t="n">
        <x:f>0</x:f>
        <x:v>0</x:v>
      </x:c>
      <x:c r="K1092" s="10" t="n">
        <x:f>$K$1079</x:f>
        <x:v>49.21035151094868</x:v>
      </x:c>
      <x:c r="L1092" s="10" t="str">
        <x:v>Conflicto activo encarece agenda del turno siguiente; sin castigo electoral adicional.</x:v>
      </x:c>
    </x:row>
    <x:row r="1093" ht="34" customHeight="1">
      <x:c r="A1093" s="5" t="str">
        <x:v>S2_VIAL</x:v>
      </x:c>
      <x:c r="B1093" s="5" t="n">
        <x:v>8</x:v>
      </x:c>
      <x:c r="C1093" s="5" t="str">
        <x:v>oficialismo</x:v>
      </x:c>
      <x:c r="D1093" s="5" t="n">
        <x:f>$F$1075</x:f>
        <x:v>51.8999354336</x:v>
      </x:c>
      <x:c r="E1093" s="5" t="n">
        <x:f>(ABS('03_Sensibilidades'!$C$57)*IF('03_Sensibilidades'!$C$57&lt;0,100-$K$319,$K$319)+ABS('03_Sensibilidades'!$C$58)*IF('03_Sensibilidades'!$C$58&lt;0,100-$K$308,$K$308)+ABS('03_Sensibilidades'!$C$59)*IF('03_Sensibilidades'!$C$59&lt;0,100-$K$311,$K$311)+ABS('03_Sensibilidades'!$C$60)*IF('03_Sensibilidades'!$C$60&lt;0,100-$K$316,$K$316))/(ABS('03_Sensibilidades'!$C$57)+ABS('03_Sensibilidades'!$C$58)+ABS('03_Sensibilidades'!$C$59)+ABS('03_Sensibilidades'!$C$60))</x:f>
        <x:v>51.909041883136</x:v>
      </x:c>
      <x:c r="F1093" s="5" t="n">
        <x:f>(1-'00_Arquitectura'!$B$95)*D1093+'00_Arquitectura'!$B$95*E1093</x:f>
        <x:v>51.9031226909376</x:v>
      </x:c>
      <x:c r="G1093" s="5" t="n">
        <x:f>'02_Actores'!$I$20</x:f>
        <x:v>60</x:v>
      </x:c>
      <x:c r="H1093" s="5" t="n">
        <x:f>IF(OR(AND(F1093&lt;'00_Arquitectura'!$B$118,G1093&lt;'00_Arquitectura'!$B$119),F1093&lt;'00_Arquitectura'!$B$120),1,0)</x:f>
        <x:v>0</x:v>
      </x:c>
      <x:c r="I1093" s="5" t="n">
        <x:f>IF($I$1075=1,IF(OR(AND(F1093&lt;'00_Arquitectura'!$B$121,G1093&lt;'00_Arquitectura'!$B$122),F1093&lt;'00_Arquitectura'!$B$123),1,0),IF(AND(H1093=1,$H$1075=1),1,0))</x:f>
        <x:v>0</x:v>
      </x:c>
      <x:c r="J1093" s="5" t="n">
        <x:f>0</x:f>
        <x:v>0</x:v>
      </x:c>
      <x:c r="K1093" s="5" t="n">
        <x:f>$K$1079</x:f>
        <x:v>49.21035151094868</x:v>
      </x:c>
      <x:c r="L1093" s="5" t="str">
        <x:v>No aporta E_social; S y R alimentan disposición a leyes según07.</x:v>
      </x:c>
    </x:row>
    <x:row r="1094" ht="34" customHeight="1">
      <x:c r="A1094" s="10" t="str">
        <x:v>S2_VIAL</x:v>
      </x:c>
      <x:c r="B1094" s="10" t="n">
        <x:v>8</x:v>
      </x:c>
      <x:c r="C1094" s="10" t="str">
        <x:v>aliados</x:v>
      </x:c>
      <x:c r="D1094" s="10" t="n">
        <x:f>$F$1076</x:f>
        <x:v>53.871032547857155</x:v>
      </x:c>
      <x:c r="E1094" s="10" t="n">
        <x:f>(ABS('03_Sensibilidades'!$C$61)*IF('03_Sensibilidades'!$C$61&lt;0,100-$K$319,$K$319)+ABS('03_Sensibilidades'!$C$62)*IF('03_Sensibilidades'!$C$62&lt;0,100-$K$311,$K$311)+ABS('03_Sensibilidades'!$C$63)*IF('03_Sensibilidades'!$C$63&lt;0,100-$K$313,$K$313))/(ABS('03_Sensibilidades'!$C$61)+ABS('03_Sensibilidades'!$C$62)+ABS('03_Sensibilidades'!$C$63))</x:f>
        <x:v>53.93354040380952</x:v>
      </x:c>
      <x:c r="F1094" s="10" t="n">
        <x:f>(1-'00_Arquitectura'!$B$95)*D1094+'00_Arquitectura'!$B$95*E1094</x:f>
        <x:v>53.89291029744048</x:v>
      </x:c>
      <x:c r="G1094" s="10" t="n">
        <x:f>'02_Actores'!$I$21</x:f>
        <x:v>45</x:v>
      </x:c>
      <x:c r="H1094" s="10" t="n">
        <x:f>IF(OR(AND(F1094&lt;'00_Arquitectura'!$B$118,G1094&lt;'00_Arquitectura'!$B$119),F1094&lt;'00_Arquitectura'!$B$120),1,0)</x:f>
        <x:v>0</x:v>
      </x:c>
      <x:c r="I1094" s="10" t="n">
        <x:f>IF($I$1076=1,IF(OR(AND(F1094&lt;'00_Arquitectura'!$B$121,G1094&lt;'00_Arquitectura'!$B$122),F1094&lt;'00_Arquitectura'!$B$123),1,0),IF(AND(H1094=1,$H$1076=1),1,0))</x:f>
        <x:v>0</x:v>
      </x:c>
      <x:c r="J1094" s="10" t="n">
        <x:f>0</x:f>
        <x:v>0</x:v>
      </x:c>
      <x:c r="K1094" s="10" t="n">
        <x:f>$K$1079</x:f>
        <x:v>49.21035151094868</x:v>
      </x:c>
      <x:c r="L1094" s="10" t="str">
        <x:v>No aporta E_social; S y R alimentan disposición a leyes según07.</x:v>
      </x:c>
    </x:row>
    <x:row r="1095" ht="34" customHeight="1">
      <x:c r="A1095" s="5" t="str">
        <x:v>S2_VIAL</x:v>
      </x:c>
      <x:c r="B1095" s="5" t="n">
        <x:v>8</x:v>
      </x:c>
      <x:c r="C1095" s="5" t="str">
        <x:v>oposicion</x:v>
      </x:c>
      <x:c r="D1095" s="5" t="n">
        <x:f>$F$1077</x:f>
        <x:v>53.28791036450001</x:v>
      </x:c>
      <x:c r="E1095" s="5" t="n">
        <x:f>(ABS('03_Sensibilidades'!$C$64)*IF('03_Sensibilidades'!$C$64&lt;0,100-$K$319,$K$319)+ABS('03_Sensibilidades'!$C$65)*IF('03_Sensibilidades'!$C$65&lt;0,100-$K$311,$K$311)+ABS('03_Sensibilidades'!$C$66)*IF('03_Sensibilidades'!$C$66&lt;0,100-$K$317,$K$317))/(ABS('03_Sensibilidades'!$C$64)+ABS('03_Sensibilidades'!$C$65)+ABS('03_Sensibilidades'!$C$66))</x:f>
        <x:v>53.068757792</x:v>
      </x:c>
      <x:c r="F1095" s="5" t="n">
        <x:f>(1-'00_Arquitectura'!$B$95)*D1095+'00_Arquitectura'!$B$95*E1095</x:f>
        <x:v>53.211206964125</x:v>
      </x:c>
      <x:c r="G1095" s="5" t="n">
        <x:f>'02_Actores'!$I$22</x:f>
        <x:v>30</x:v>
      </x:c>
      <x:c r="H1095" s="5" t="n">
        <x:f>IF(OR(AND(F1095&lt;'00_Arquitectura'!$B$118,G1095&lt;'00_Arquitectura'!$B$119),F1095&lt;'00_Arquitectura'!$B$120),1,0)</x:f>
        <x:v>0</x:v>
      </x:c>
      <x:c r="I1095" s="5" t="n">
        <x:f>IF($I$1077=1,IF(OR(AND(F1095&lt;'00_Arquitectura'!$B$121,G1095&lt;'00_Arquitectura'!$B$122),F1095&lt;'00_Arquitectura'!$B$123),1,0),IF(AND(H1095=1,$H$1077=1),1,0))</x:f>
        <x:v>0</x:v>
      </x:c>
      <x:c r="J1095" s="5" t="n">
        <x:f>0</x:f>
        <x:v>0</x:v>
      </x:c>
      <x:c r="K1095" s="5" t="n">
        <x:f>$K$1079</x:f>
        <x:v>49.21035151094868</x:v>
      </x:c>
      <x:c r="L1095" s="5" t="str">
        <x:v>No aporta E_social; S y R alimentan disposición a leyes según07.</x:v>
      </x:c>
    </x:row>
    <x:row r="1096" ht="42" customHeight="1">
      <x:c r="A1096" s="10" t="str">
        <x:v>S2_VIAL</x:v>
      </x:c>
      <x:c r="B1096" s="10" t="n">
        <x:v>8</x:v>
      </x:c>
      <x:c r="C1096" s="10" t="str">
        <x:v>gobernadores</x:v>
      </x:c>
      <x:c r="D1096" s="10" t="n">
        <x:f>$F$1078</x:f>
        <x:v>51.210995510000004</x:v>
      </x:c>
      <x:c r="E1096" s="10" t="n">
        <x:f>(ABS('03_Sensibilidades'!$C$67)*IF('03_Sensibilidades'!$C$67&lt;0,100-$K$313,$K$313)+ABS('03_Sensibilidades'!$C$68)*IF('03_Sensibilidades'!$C$68&lt;0,100-$K$315,$K$315)+ABS('03_Sensibilidades'!$C$69)*IF('03_Sensibilidades'!$C$69&lt;0,100-$K$314,$K$314)+ABS('03_Sensibilidades'!$C$70)*IF('03_Sensibilidades'!$C$70&lt;0,100-$K$311,$K$311))/(ABS('03_Sensibilidades'!$C$67)+ABS('03_Sensibilidades'!$C$68)+ABS('03_Sensibilidades'!$C$69)+ABS('03_Sensibilidades'!$C$70))</x:f>
        <x:v>51.39224675310344</x:v>
      </x:c>
      <x:c r="F1096" s="10" t="n">
        <x:f>(1-'00_Arquitectura'!$B$95)*D1096+'00_Arquitectura'!$B$95*E1096</x:f>
        <x:v>51.2744334450862</x:v>
      </x:c>
      <x:c r="G1096" s="10" t="n">
        <x:f>'02_Actores'!$I$23</x:f>
        <x:v>45</x:v>
      </x:c>
      <x:c r="H1096" s="10" t="n">
        <x:f>IF(OR(AND(F1096&lt;'00_Arquitectura'!$B$118,G1096&lt;'00_Arquitectura'!$B$119),F1096&lt;'00_Arquitectura'!$B$120),1,0)</x:f>
        <x:v>0</x:v>
      </x:c>
      <x:c r="I1096" s="10" t="n">
        <x:f>IF($I$1078=1,IF(OR(AND(F1096&lt;'00_Arquitectura'!$B$121,G1096&lt;'00_Arquitectura'!$B$122),F1096&lt;'00_Arquitectura'!$B$123),1,0),IF(AND(H1096=1,$H$1078=1),1,0))</x:f>
        <x:v>0</x:v>
      </x:c>
      <x:c r="J1096" s="10" t="n">
        <x:f>0</x:f>
        <x:v>0</x:v>
      </x:c>
      <x:c r="K1096" s="10" t="n">
        <x:f>$K$1079</x:f>
        <x:v>49.21035151094868</x:v>
      </x:c>
      <x:c r="L1096" s="10" t="str">
        <x:v>Conflicto activo captura menor eficacia en políticas ejecutadas en t+1. Magnitud0 en J: no es un offset directo de indicador.</x:v>
      </x:c>
    </x:row>
    <x:row r="1097" ht="34" customHeight="1">
      <x:c r="A1097" s="5" t="str">
        <x:v>S2_VIAL</x:v>
      </x:c>
      <x:c r="B1097" s="5" t="n">
        <x:v>9</x:v>
      </x:c>
      <x:c r="C1097" s="5" t="str">
        <x:v>industria</x:v>
      </x:c>
      <x:c r="D1097" s="5" t="n">
        <x:f>$F$1079</x:f>
        <x:v>48.50828294270889</x:v>
      </x:c>
      <x:c r="E1097" s="5" t="n">
        <x:f>(ABS('03_Sensibilidades'!$C$6)*IF('03_Sensibilidades'!$C$6&lt;0,100-$K$324,$K$324)+ABS('03_Sensibilidades'!$C$7)*IF('03_Sensibilidades'!$C$7&lt;0,100-$K$322,$K$322)+ABS('03_Sensibilidades'!$C$8)*IF('03_Sensibilidades'!$C$8&lt;0,100-$K$327,$K$327)+ABS('03_Sensibilidades'!$C$9)*IF('03_Sensibilidades'!$C$9&lt;0,100-$K$326,$K$326))/(ABS('03_Sensibilidades'!$C$6)+ABS('03_Sensibilidades'!$C$7)+ABS('03_Sensibilidades'!$C$8)+ABS('03_Sensibilidades'!$C$9))</x:f>
        <x:v>48.913687557315555</x:v>
      </x:c>
      <x:c r="F1097" s="5" t="n">
        <x:f>(1-'00_Arquitectura'!$B$95)*D1097+'00_Arquitectura'!$B$95*E1097</x:f>
        <x:v>48.650174557821224</x:v>
      </x:c>
      <x:c r="G1097" s="5" t="n">
        <x:f>'02_Actores'!$I$6</x:f>
        <x:v>45</x:v>
      </x:c>
      <x:c r="H1097" s="5" t="n">
        <x:f>IF(OR(AND(F1097&lt;'00_Arquitectura'!$B$118,G1097&lt;'00_Arquitectura'!$B$119),F1097&lt;'00_Arquitectura'!$B$120),1,0)</x:f>
        <x:v>0</x:v>
      </x:c>
      <x:c r="I1097" s="5" t="n">
        <x:f>IF($I$1079=1,IF(OR(AND(F1097&lt;'00_Arquitectura'!$B$121,G1097&lt;'00_Arquitectura'!$B$122),F1097&lt;'00_Arquitectura'!$B$123),1,0),IF(AND(H1097=1,$H$1079=1),1,0))</x:f>
        <x:v>0</x:v>
      </x:c>
      <x:c r="J1097" s="5" t="n">
        <x:f>-I1097*2*'02_Actores'!$E$6/10</x:f>
        <x:v>0</x:v>
      </x:c>
      <x:c r="K1097" s="5" t="n">
        <x:f>($F$1097*'02_Actores'!$F$6+$F$1098*'02_Actores'!$F$7+$F$1099*'02_Actores'!$F$8+$F$1100*'02_Actores'!$F$9+$F$1101*'02_Actores'!$F$10+$F$1102*'02_Actores'!$F$11+$F$1103*'02_Actores'!$F$12+$F$1104*'02_Actores'!$F$13+$F$1105*'02_Actores'!$F$14+$F$1106*'02_Actores'!$F$15+$F$1107*'02_Actores'!$F$16+$F$1108*'02_Actores'!$F$17+$F$1109*'02_Actores'!$F$18+$F$1110*'02_Actores'!$F$19)/('02_Actores'!$F$6+'02_Actores'!$F$7+'02_Actores'!$F$8+'02_Actores'!$F$9+'02_Actores'!$F$10+'02_Actores'!$F$11+'02_Actores'!$F$12+'02_Actores'!$F$13+'02_Actores'!$F$14+'02_Actores'!$F$15+'02_Actores'!$F$16+'02_Actores'!$F$17+'02_Actores'!$F$18+'02_Actores'!$F$19)</x:f>
        <x:v>49.252552606705294</x:v>
      </x:c>
      <x:c r="L1097" s="5" t="str">
        <x:v>J programa offset para t+1; efecto sustituible y acotado, sin voto adicional.</x:v>
      </x:c>
    </x:row>
    <x:row r="1098" ht="34" customHeight="1">
      <x:c r="A1098" s="10" t="str">
        <x:v>S2_VIAL</x:v>
      </x:c>
      <x:c r="B1098" s="10" t="n">
        <x:v>9</x:v>
      </x:c>
      <x:c r="C1098" s="10" t="str">
        <x:v>agro</x:v>
      </x:c>
      <x:c r="D1098" s="10" t="n">
        <x:f>$F$1080</x:f>
        <x:v>47.958976341232145</x:v>
      </x:c>
      <x:c r="E1098" s="10" t="n">
        <x:f>(ABS('03_Sensibilidades'!$C$10)*IF('03_Sensibilidades'!$C$10&lt;0,100-$K$326,$K$326)+ABS('03_Sensibilidades'!$C$11)*IF('03_Sensibilidades'!$C$11&lt;0,100-$K$327,$K$327)+ABS('03_Sensibilidades'!$C$12)*IF('03_Sensibilidades'!$C$12&lt;0,100-$K$334,$K$334)+ABS('03_Sensibilidades'!$C$13)*IF('03_Sensibilidades'!$C$13&lt;0,100-$K$324,$K$324))/(ABS('03_Sensibilidades'!$C$10)+ABS('03_Sensibilidades'!$C$11)+ABS('03_Sensibilidades'!$C$12)+ABS('03_Sensibilidades'!$C$13))</x:f>
        <x:v>48.29015593951785</x:v>
      </x:c>
      <x:c r="F1098" s="10" t="n">
        <x:f>(1-'00_Arquitectura'!$B$95)*D1098+'00_Arquitectura'!$B$95*E1098</x:f>
        <x:v>48.07488920063214</x:v>
      </x:c>
      <x:c r="G1098" s="10" t="n">
        <x:f>'02_Actores'!$I$7</x:f>
        <x:v>45</x:v>
      </x:c>
      <x:c r="H1098" s="10" t="n">
        <x:f>IF(OR(AND(F1098&lt;'00_Arquitectura'!$B$118,G1098&lt;'00_Arquitectura'!$B$119),F1098&lt;'00_Arquitectura'!$B$120),1,0)</x:f>
        <x:v>0</x:v>
      </x:c>
      <x:c r="I1098" s="10" t="n">
        <x:f>IF($I$1080=1,IF(OR(AND(F1098&lt;'00_Arquitectura'!$B$121,G1098&lt;'00_Arquitectura'!$B$122),F1098&lt;'00_Arquitectura'!$B$123),1,0),IF(AND(H1098=1,$H$1080=1),1,0))</x:f>
        <x:v>0</x:v>
      </x:c>
      <x:c r="J1098" s="10" t="n">
        <x:f>-I1098*2*'02_Actores'!$E$7/10</x:f>
        <x:v>0</x:v>
      </x:c>
      <x:c r="K1098" s="10" t="n">
        <x:f>$K$1097</x:f>
        <x:v>49.252552606705294</x:v>
      </x:c>
      <x:c r="L1098" s="10" t="str">
        <x:v>J programa offset para t+1; efecto sustituible y acotado, sin voto adicional.</x:v>
      </x:c>
    </x:row>
    <x:row r="1099" ht="34" customHeight="1">
      <x:c r="A1099" s="5" t="str">
        <x:v>S2_VIAL</x:v>
      </x:c>
      <x:c r="B1099" s="5" t="n">
        <x:v>9</x:v>
      </x:c>
      <x:c r="C1099" s="5" t="str">
        <x:v>financiero</x:v>
      </x:c>
      <x:c r="D1099" s="5" t="n">
        <x:f>$F$1081</x:f>
        <x:v>54.18972804616553</x:v>
      </x:c>
      <x:c r="E1099" s="5" t="n">
        <x:f>(ABS('03_Sensibilidades'!$C$14)*IF('03_Sensibilidades'!$C$14&lt;0,100-$K$325,$K$325)+ABS('03_Sensibilidades'!$C$15)*IF('03_Sensibilidades'!$C$15&lt;0,100-$K$321,$K$321)+ABS('03_Sensibilidades'!$C$16)*IF('03_Sensibilidades'!$C$16&lt;0,100-$K$324,$K$324)+ABS('03_Sensibilidades'!$C$17)*IF('03_Sensibilidades'!$C$17&lt;0,100-$K$333,$K$333))/(ABS('03_Sensibilidades'!$C$14)+ABS('03_Sensibilidades'!$C$15)+ABS('03_Sensibilidades'!$C$16)+ABS('03_Sensibilidades'!$C$17))</x:f>
        <x:v>54.02109778064483</x:v>
      </x:c>
      <x:c r="F1099" s="5" t="n">
        <x:f>(1-'00_Arquitectura'!$B$95)*D1099+'00_Arquitectura'!$B$95*E1099</x:f>
        <x:v>54.130707453233285</x:v>
      </x:c>
      <x:c r="G1099" s="5" t="n">
        <x:f>'02_Actores'!$I$8</x:f>
        <x:v>45</x:v>
      </x:c>
      <x:c r="H1099" s="5" t="n">
        <x:f>IF(OR(AND(F1099&lt;'00_Arquitectura'!$B$118,G1099&lt;'00_Arquitectura'!$B$119),F1099&lt;'00_Arquitectura'!$B$120),1,0)</x:f>
        <x:v>0</x:v>
      </x:c>
      <x:c r="I1099" s="5" t="n">
        <x:f>IF($I$1081=1,IF(OR(AND(F1099&lt;'00_Arquitectura'!$B$121,G1099&lt;'00_Arquitectura'!$B$122),F1099&lt;'00_Arquitectura'!$B$123),1,0),IF(AND(H1099=1,$H$1081=1),1,0))</x:f>
        <x:v>0</x:v>
      </x:c>
      <x:c r="J1099" s="5" t="n">
        <x:f>-I1099*2*'02_Actores'!$E$8/10</x:f>
        <x:v>0</x:v>
      </x:c>
      <x:c r="K1099" s="5" t="n">
        <x:f>$K$1097</x:f>
        <x:v>49.252552606705294</x:v>
      </x:c>
      <x:c r="L1099" s="5" t="str">
        <x:v>J programa offset para t+1; efecto sustituible y acotado, sin voto adicional.</x:v>
      </x:c>
    </x:row>
    <x:row r="1100" ht="34" customHeight="1">
      <x:c r="A1100" s="10" t="str">
        <x:v>S2_VIAL</x:v>
      </x:c>
      <x:c r="B1100" s="10" t="n">
        <x:v>9</x:v>
      </x:c>
      <x:c r="C1100" s="10" t="str">
        <x:v>sindicatos</x:v>
      </x:c>
      <x:c r="D1100" s="10" t="n">
        <x:f>$F$1082</x:f>
        <x:v>48.2986880161356</x:v>
      </x:c>
      <x:c r="E1100" s="10" t="n">
        <x:f>(ABS('03_Sensibilidades'!$C$18)*IF('03_Sensibilidades'!$C$18&lt;0,100-$K$323,$K$323)+ABS('03_Sensibilidades'!$C$19)*IF('03_Sensibilidades'!$C$19&lt;0,100-$K$322,$K$322)+ABS('03_Sensibilidades'!$C$20)*IF('03_Sensibilidades'!$C$20&lt;0,100-$K$330,$K$330)+ABS('03_Sensibilidades'!$C$21)*IF('03_Sensibilidades'!$C$21&lt;0,100-$K$333,$K$333))/(ABS('03_Sensibilidades'!$C$18)+ABS('03_Sensibilidades'!$C$19)+ABS('03_Sensibilidades'!$C$20)+ABS('03_Sensibilidades'!$C$21))</x:f>
        <x:v>48.51147214858483</x:v>
      </x:c>
      <x:c r="F1100" s="10" t="n">
        <x:f>(1-'00_Arquitectura'!$B$95)*D1100+'00_Arquitectura'!$B$95*E1100</x:f>
        <x:v>48.37316246249283</x:v>
      </x:c>
      <x:c r="G1100" s="10" t="n">
        <x:f>'02_Actores'!$I$9</x:f>
        <x:v>45</x:v>
      </x:c>
      <x:c r="H1100" s="10" t="n">
        <x:f>IF(OR(AND(F1100&lt;'00_Arquitectura'!$B$118,G1100&lt;'00_Arquitectura'!$B$119),F1100&lt;'00_Arquitectura'!$B$120),1,0)</x:f>
        <x:v>0</x:v>
      </x:c>
      <x:c r="I1100" s="10" t="n">
        <x:f>IF($I$1082=1,IF(OR(AND(F1100&lt;'00_Arquitectura'!$B$121,G1100&lt;'00_Arquitectura'!$B$122),F1100&lt;'00_Arquitectura'!$B$123),1,0),IF(AND(H1100=1,$H$1082=1),1,0))</x:f>
        <x:v>0</x:v>
      </x:c>
      <x:c r="J1100" s="10" t="n">
        <x:f>-I1100*2*'02_Actores'!$E$9/10</x:f>
        <x:v>0</x:v>
      </x:c>
      <x:c r="K1100" s="10" t="n">
        <x:f>$K$1097</x:f>
        <x:v>49.252552606705294</x:v>
      </x:c>
      <x:c r="L1100" s="10" t="str">
        <x:v>J programa offset para t+1; efecto sustituible y acotado, sin voto adicional.</x:v>
      </x:c>
    </x:row>
    <x:row r="1101" ht="34" customHeight="1">
      <x:c r="A1101" s="5" t="str">
        <x:v>S2_VIAL</x:v>
      </x:c>
      <x:c r="B1101" s="5" t="n">
        <x:v>9</x:v>
      </x:c>
      <x:c r="C1101" s="5" t="str">
        <x:v>pymes</x:v>
      </x:c>
      <x:c r="D1101" s="5" t="n">
        <x:f>$F$1083</x:f>
        <x:v>50.349950205993366</x:v>
      </x:c>
      <x:c r="E1101" s="5" t="n">
        <x:f>(ABS('03_Sensibilidades'!$C$22)*IF('03_Sensibilidades'!$C$22&lt;0,100-$K$324,$K$324)+ABS('03_Sensibilidades'!$C$23)*IF('03_Sensibilidades'!$C$23&lt;0,100-$K$322,$K$322)+ABS('03_Sensibilidades'!$C$24)*IF('03_Sensibilidades'!$C$24&lt;0,100-$K$327,$K$327)+ABS('03_Sensibilidades'!$C$25)*IF('03_Sensibilidades'!$C$25&lt;0,100-$K$321,$K$321))/(ABS('03_Sensibilidades'!$C$22)+ABS('03_Sensibilidades'!$C$23)+ABS('03_Sensibilidades'!$C$24)+ABS('03_Sensibilidades'!$C$25))</x:f>
        <x:v>50.619073545336555</x:v>
      </x:c>
      <x:c r="F1101" s="5" t="n">
        <x:f>(1-'00_Arquitectura'!$B$95)*D1101+'00_Arquitectura'!$B$95*E1101</x:f>
        <x:v>50.444143374763485</x:v>
      </x:c>
      <x:c r="G1101" s="5" t="n">
        <x:f>'02_Actores'!$I$10</x:f>
        <x:v>45</x:v>
      </x:c>
      <x:c r="H1101" s="5" t="n">
        <x:f>IF(OR(AND(F1101&lt;'00_Arquitectura'!$B$118,G1101&lt;'00_Arquitectura'!$B$119),F1101&lt;'00_Arquitectura'!$B$120),1,0)</x:f>
        <x:v>0</x:v>
      </x:c>
      <x:c r="I1101" s="5" t="n">
        <x:f>IF($I$1083=1,IF(OR(AND(F1101&lt;'00_Arquitectura'!$B$121,G1101&lt;'00_Arquitectura'!$B$122),F1101&lt;'00_Arquitectura'!$B$123),1,0),IF(AND(H1101=1,$H$1083=1),1,0))</x:f>
        <x:v>0</x:v>
      </x:c>
      <x:c r="J1101" s="5" t="n">
        <x:f>-I1101*2*'02_Actores'!$E$10/10</x:f>
        <x:v>0</x:v>
      </x:c>
      <x:c r="K1101" s="5" t="n">
        <x:f>$K$1097</x:f>
        <x:v>49.252552606705294</x:v>
      </x:c>
      <x:c r="L1101" s="5" t="str">
        <x:v>J programa offset para t+1; efecto sustituible y acotado, sin voto adicional.</x:v>
      </x:c>
    </x:row>
    <x:row r="1102" ht="34" customHeight="1">
      <x:c r="A1102" s="10" t="str">
        <x:v>S2_VIAL</x:v>
      </x:c>
      <x:c r="B1102" s="10" t="n">
        <x:v>9</x:v>
      </x:c>
      <x:c r="C1102" s="10" t="str">
        <x:v>clase_media</x:v>
      </x:c>
      <x:c r="D1102" s="10" t="n">
        <x:f>$F$1084</x:f>
        <x:v>48.38014012881945</x:v>
      </x:c>
      <x:c r="E1102" s="10" t="n">
        <x:f>(ABS('03_Sensibilidades'!$C$26)*IF('03_Sensibilidades'!$C$26&lt;0,100-$K$323,$K$323)+ABS('03_Sensibilidades'!$C$27)*IF('03_Sensibilidades'!$C$27&lt;0,100-$K$331,$K$331)+ABS('03_Sensibilidades'!$C$28)*IF('03_Sensibilidades'!$C$28&lt;0,100-$K$328,$K$328)+ABS('03_Sensibilidades'!$C$29)*IF('03_Sensibilidades'!$C$29&lt;0,100-$K$321,$K$321))/(ABS('03_Sensibilidades'!$C$26)+ABS('03_Sensibilidades'!$C$27)+ABS('03_Sensibilidades'!$C$28)+ABS('03_Sensibilidades'!$C$29))</x:f>
        <x:v>48.41215896693333</x:v>
      </x:c>
      <x:c r="F1102" s="10" t="n">
        <x:f>(1-'00_Arquitectura'!$B$95)*D1102+'00_Arquitectura'!$B$95*E1102</x:f>
        <x:v>48.39134672215931</x:v>
      </x:c>
      <x:c r="G1102" s="10" t="n">
        <x:f>'02_Actores'!$I$11</x:f>
        <x:v>45</x:v>
      </x:c>
      <x:c r="H1102" s="10" t="n">
        <x:f>IF(OR(AND(F1102&lt;'00_Arquitectura'!$B$118,G1102&lt;'00_Arquitectura'!$B$119),F1102&lt;'00_Arquitectura'!$B$120),1,0)</x:f>
        <x:v>0</x:v>
      </x:c>
      <x:c r="I1102" s="10" t="n">
        <x:f>IF($I$1084=1,IF(OR(AND(F1102&lt;'00_Arquitectura'!$B$121,G1102&lt;'00_Arquitectura'!$B$122),F1102&lt;'00_Arquitectura'!$B$123),1,0),IF(AND(H1102=1,$H$1084=1),1,0))</x:f>
        <x:v>0</x:v>
      </x:c>
      <x:c r="J1102" s="10" t="n">
        <x:f>0</x:f>
        <x:v>0</x:v>
      </x:c>
      <x:c r="K1102" s="10" t="n">
        <x:f>$K$1097</x:f>
        <x:v>49.252552606705294</x:v>
      </x:c>
      <x:c r="L1102" s="10" t="str">
        <x:v>Canal directo sólo al índice social; sin bono de popularidad.</x:v>
      </x:c>
    </x:row>
    <x:row r="1103" ht="34" customHeight="1">
      <x:c r="A1103" s="5" t="str">
        <x:v>S2_VIAL</x:v>
      </x:c>
      <x:c r="B1103" s="5" t="n">
        <x:v>9</x:v>
      </x:c>
      <x:c r="C1103" s="5" t="str">
        <x:v>cooperativas</x:v>
      </x:c>
      <x:c r="D1103" s="5" t="n">
        <x:f>$F$1085</x:f>
        <x:v>48.028576599754544</x:v>
      </x:c>
      <x:c r="E1103" s="5" t="n">
        <x:f>(ABS('03_Sensibilidades'!$C$30)*IF('03_Sensibilidades'!$C$30&lt;0,100-$K$324,$K$324)+ABS('03_Sensibilidades'!$C$31)*IF('03_Sensibilidades'!$C$31&lt;0,100-$K$322,$K$322)+ABS('03_Sensibilidades'!$C$32)*IF('03_Sensibilidades'!$C$32&lt;0,100-$K$330,$K$330)+ABS('03_Sensibilidades'!$C$33)*IF('03_Sensibilidades'!$C$33&lt;0,100-$K$333,$K$333))/(ABS('03_Sensibilidades'!$C$30)+ABS('03_Sensibilidades'!$C$31)+ABS('03_Sensibilidades'!$C$32)+ABS('03_Sensibilidades'!$C$33))</x:f>
        <x:v>48.15595809413259</x:v>
      </x:c>
      <x:c r="F1103" s="5" t="n">
        <x:f>(1-'00_Arquitectura'!$B$95)*D1103+'00_Arquitectura'!$B$95*E1103</x:f>
        <x:v>48.07316012278686</x:v>
      </x:c>
      <x:c r="G1103" s="5" t="n">
        <x:f>'02_Actores'!$I$12</x:f>
        <x:v>45</x:v>
      </x:c>
      <x:c r="H1103" s="5" t="n">
        <x:f>IF(OR(AND(F1103&lt;'00_Arquitectura'!$B$118,G1103&lt;'00_Arquitectura'!$B$119),F1103&lt;'00_Arquitectura'!$B$120),1,0)</x:f>
        <x:v>0</x:v>
      </x:c>
      <x:c r="I1103" s="5" t="n">
        <x:f>IF($I$1085=1,IF(OR(AND(F1103&lt;'00_Arquitectura'!$B$121,G1103&lt;'00_Arquitectura'!$B$122),F1103&lt;'00_Arquitectura'!$B$123),1,0),IF(AND(H1103=1,$H$1085=1),1,0))</x:f>
        <x:v>0</x:v>
      </x:c>
      <x:c r="J1103" s="5" t="n">
        <x:f>-I1103*1.5*'02_Actores'!$E$12/10</x:f>
        <x:v>0</x:v>
      </x:c>
      <x:c r="K1103" s="5" t="n">
        <x:f>$K$1097</x:f>
        <x:v>49.252552606705294</x:v>
      </x:c>
      <x:c r="L1103" s="5" t="str">
        <x:v>J programa offset para t+1; efecto sustituible y acotado, sin voto adicional.</x:v>
      </x:c>
    </x:row>
    <x:row r="1104" ht="42" customHeight="1">
      <x:c r="A1104" s="10" t="str">
        <x:v>S2_VIAL</x:v>
      </x:c>
      <x:c r="B1104" s="10" t="n">
        <x:v>9</x:v>
      </x:c>
      <x:c r="C1104" s="10" t="str">
        <x:v>estudiantes</x:v>
      </x:c>
      <x:c r="D1104" s="10" t="n">
        <x:f>$F$1086</x:f>
        <x:v>49.2252756695625</x:v>
      </x:c>
      <x:c r="E1104" s="10" t="n">
        <x:f>(ABS('03_Sensibilidades'!$C$34)*IF('03_Sensibilidades'!$C$34&lt;0,100-$K$328,$K$328)+ABS('03_Sensibilidades'!$C$35)*IF('03_Sensibilidades'!$C$35&lt;0,100-$K$323,$K$323)+ABS('03_Sensibilidades'!$C$36)*IF('03_Sensibilidades'!$C$36&lt;0,100-$K$333,$K$333)+ABS('03_Sensibilidades'!$C$37)*IF('03_Sensibilidades'!$C$37&lt;0,100-$K$332,$K$332))/(ABS('03_Sensibilidades'!$C$34)+ABS('03_Sensibilidades'!$C$35)+ABS('03_Sensibilidades'!$C$36)+ABS('03_Sensibilidades'!$C$37))</x:f>
        <x:v>49.242565842143996</x:v>
      </x:c>
      <x:c r="F1104" s="10" t="n">
        <x:f>(1-'00_Arquitectura'!$B$95)*D1104+'00_Arquitectura'!$B$95*E1104</x:f>
        <x:v>49.23132722996603</x:v>
      </x:c>
      <x:c r="G1104" s="10" t="n">
        <x:f>'02_Actores'!$I$13</x:f>
        <x:v>45</x:v>
      </x:c>
      <x:c r="H1104" s="10" t="n">
        <x:f>IF(OR(AND(F1104&lt;'00_Arquitectura'!$B$118,G1104&lt;'00_Arquitectura'!$B$119),F1104&lt;'00_Arquitectura'!$B$120),1,0)</x:f>
        <x:v>0</x:v>
      </x:c>
      <x:c r="I1104" s="10" t="n">
        <x:f>IF($I$1086=1,IF(OR(AND(F1104&lt;'00_Arquitectura'!$B$121,G1104&lt;'00_Arquitectura'!$B$122),F1104&lt;'00_Arquitectura'!$B$123),1,0),IF(AND(H1104=1,$H$1086=1),1,0))</x:f>
        <x:v>0</x:v>
      </x:c>
      <x:c r="J1104" s="10" t="n">
        <x:f>0</x:f>
        <x:v>0</x:v>
      </x:c>
      <x:c r="K1104" s="10" t="n">
        <x:f>$K$1097</x:f>
        <x:v>49.252552606705294</x:v>
      </x:c>
      <x:c r="L1104" s="10" t="str">
        <x:v>Conflicto activo captura menor eficacia en políticas ejecutadas en t+1. Magnitud0 en J: no es un offset directo de indicador.</x:v>
      </x:c>
    </x:row>
    <x:row r="1105" ht="34" customHeight="1">
      <x:c r="A1105" s="5" t="str">
        <x:v>S2_VIAL</x:v>
      </x:c>
      <x:c r="B1105" s="5" t="n">
        <x:v>9</x:v>
      </x:c>
      <x:c r="C1105" s="5" t="str">
        <x:v>docentes</x:v>
      </x:c>
      <x:c r="D1105" s="5" t="n">
        <x:f>$F$1087</x:f>
        <x:v>48.96249587523097</x:v>
      </x:c>
      <x:c r="E1105" s="5" t="n">
        <x:f>(ABS('03_Sensibilidades'!$C$38)*IF('03_Sensibilidades'!$C$38&lt;0,100-$K$328,$K$328)+ABS('03_Sensibilidades'!$C$39)*IF('03_Sensibilidades'!$C$39&lt;0,100-$K$323,$K$323)+ABS('03_Sensibilidades'!$C$40)*IF('03_Sensibilidades'!$C$40&lt;0,100-$K$333,$K$333))/(ABS('03_Sensibilidades'!$C$38)+ABS('03_Sensibilidades'!$C$39)+ABS('03_Sensibilidades'!$C$40))</x:f>
        <x:v>48.99632447376</x:v>
      </x:c>
      <x:c r="F1105" s="5" t="n">
        <x:f>(1-'00_Arquitectura'!$B$95)*D1105+'00_Arquitectura'!$B$95*E1105</x:f>
        <x:v>48.97433588471613</x:v>
      </x:c>
      <x:c r="G1105" s="5" t="n">
        <x:f>'02_Actores'!$I$14</x:f>
        <x:v>45</x:v>
      </x:c>
      <x:c r="H1105" s="5" t="n">
        <x:f>IF(OR(AND(F1105&lt;'00_Arquitectura'!$B$118,G1105&lt;'00_Arquitectura'!$B$119),F1105&lt;'00_Arquitectura'!$B$120),1,0)</x:f>
        <x:v>0</x:v>
      </x:c>
      <x:c r="I1105" s="5" t="n">
        <x:f>IF($I$1087=1,IF(OR(AND(F1105&lt;'00_Arquitectura'!$B$121,G1105&lt;'00_Arquitectura'!$B$122),F1105&lt;'00_Arquitectura'!$B$123),1,0),IF(AND(H1105=1,$H$1087=1),1,0))</x:f>
        <x:v>0</x:v>
      </x:c>
      <x:c r="J1105" s="5" t="n">
        <x:f>-I1105*1.5*'02_Actores'!$E$14/10</x:f>
        <x:v>0</x:v>
      </x:c>
      <x:c r="K1105" s="5" t="n">
        <x:f>$K$1097</x:f>
        <x:v>49.252552606705294</x:v>
      </x:c>
      <x:c r="L1105" s="5" t="str">
        <x:v>J programa offset para t+1; efecto sustituible y acotado, sin voto adicional.</x:v>
      </x:c>
    </x:row>
    <x:row r="1106" ht="34" customHeight="1">
      <x:c r="A1106" s="10" t="str">
        <x:v>S2_VIAL</x:v>
      </x:c>
      <x:c r="B1106" s="10" t="n">
        <x:v>9</x:v>
      </x:c>
      <x:c r="C1106" s="10" t="str">
        <x:v>cientificos</x:v>
      </x:c>
      <x:c r="D1106" s="10" t="n">
        <x:f>$F$1088</x:f>
        <x:v>46.59090909090909</x:v>
      </x:c>
      <x:c r="E1106" s="10" t="n">
        <x:f>(ABS('03_Sensibilidades'!$C$41)*IF('03_Sensibilidades'!$C$41&lt;0,100-$K$332,$K$332)+ABS('03_Sensibilidades'!$C$42)*IF('03_Sensibilidades'!$C$42&lt;0,100-$K$328,$K$328)+ABS('03_Sensibilidades'!$C$43)*IF('03_Sensibilidades'!$C$43&lt;0,100-$K$333,$K$333))/(ABS('03_Sensibilidades'!$C$41)+ABS('03_Sensibilidades'!$C$42)+ABS('03_Sensibilidades'!$C$43))</x:f>
        <x:v>46.59090909090909</x:v>
      </x:c>
      <x:c r="F1106" s="10" t="n">
        <x:f>(1-'00_Arquitectura'!$B$95)*D1106+'00_Arquitectura'!$B$95*E1106</x:f>
        <x:v>46.59090909090909</x:v>
      </x:c>
      <x:c r="G1106" s="10" t="n">
        <x:f>'02_Actores'!$I$15</x:f>
        <x:v>45</x:v>
      </x:c>
      <x:c r="H1106" s="10" t="n">
        <x:f>IF(OR(AND(F1106&lt;'00_Arquitectura'!$B$118,G1106&lt;'00_Arquitectura'!$B$119),F1106&lt;'00_Arquitectura'!$B$120),1,0)</x:f>
        <x:v>0</x:v>
      </x:c>
      <x:c r="I1106" s="10" t="n">
        <x:f>IF($I$1088=1,IF(OR(AND(F1106&lt;'00_Arquitectura'!$B$121,G1106&lt;'00_Arquitectura'!$B$122),F1106&lt;'00_Arquitectura'!$B$123),1,0),IF(AND(H1106=1,$H$1088=1),1,0))</x:f>
        <x:v>0</x:v>
      </x:c>
      <x:c r="J1106" s="10" t="n">
        <x:f>-I1106*1.5*'02_Actores'!$E$15/10</x:f>
        <x:v>0</x:v>
      </x:c>
      <x:c r="K1106" s="10" t="n">
        <x:f>$K$1097</x:f>
        <x:v>49.252552606705294</x:v>
      </x:c>
      <x:c r="L1106" s="10" t="str">
        <x:v>J programa offset para t+1; efecto sustituible y acotado, sin voto adicional.</x:v>
      </x:c>
    </x:row>
    <x:row r="1107" ht="34" customHeight="1">
      <x:c r="A1107" s="5" t="str">
        <x:v>S2_VIAL</x:v>
      </x:c>
      <x:c r="B1107" s="5" t="n">
        <x:v>9</x:v>
      </x:c>
      <x:c r="C1107" s="5" t="str">
        <x:v>organizaciones</x:v>
      </x:c>
      <x:c r="D1107" s="5" t="n">
        <x:f>$F$1089</x:f>
        <x:v>49.33090878547161</x:v>
      </x:c>
      <x:c r="E1107" s="5" t="n">
        <x:f>(ABS('03_Sensibilidades'!$C$44)*IF('03_Sensibilidades'!$C$44&lt;0,100-$K$330,$K$330)+ABS('03_Sensibilidades'!$C$45)*IF('03_Sensibilidades'!$C$45&lt;0,100-$K$329,$K$329)+ABS('03_Sensibilidades'!$C$46)*IF('03_Sensibilidades'!$C$46&lt;0,100-$K$322,$K$322)+ABS('03_Sensibilidades'!$C$47)*IF('03_Sensibilidades'!$C$47&lt;0,100-$K$333,$K$333))/(ABS('03_Sensibilidades'!$C$44)+ABS('03_Sensibilidades'!$C$45)+ABS('03_Sensibilidades'!$C$46)+ABS('03_Sensibilidades'!$C$47))</x:f>
        <x:v>49.45724762385142</x:v>
      </x:c>
      <x:c r="F1107" s="5" t="n">
        <x:f>(1-'00_Arquitectura'!$B$95)*D1107+'00_Arquitectura'!$B$95*E1107</x:f>
        <x:v>49.375127378904544</x:v>
      </x:c>
      <x:c r="G1107" s="5" t="n">
        <x:f>'02_Actores'!$I$16</x:f>
        <x:v>45</x:v>
      </x:c>
      <x:c r="H1107" s="5" t="n">
        <x:f>IF(OR(AND(F1107&lt;'00_Arquitectura'!$B$118,G1107&lt;'00_Arquitectura'!$B$119),F1107&lt;'00_Arquitectura'!$B$120),1,0)</x:f>
        <x:v>0</x:v>
      </x:c>
      <x:c r="I1107" s="5" t="n">
        <x:f>IF($I$1089=1,IF(OR(AND(F1107&lt;'00_Arquitectura'!$B$121,G1107&lt;'00_Arquitectura'!$B$122),F1107&lt;'00_Arquitectura'!$B$123),1,0),IF(AND(H1107=1,$H$1089=1),1,0))</x:f>
        <x:v>0</x:v>
      </x:c>
      <x:c r="J1107" s="5" t="n">
        <x:f>-I1107*1.5*'02_Actores'!$E$16/10</x:f>
        <x:v>0</x:v>
      </x:c>
      <x:c r="K1107" s="5" t="n">
        <x:f>$K$1097</x:f>
        <x:v>49.252552606705294</x:v>
      </x:c>
      <x:c r="L1107" s="5" t="str">
        <x:v>J programa offset para t+1; efecto sustituible y acotado, sin voto adicional.</x:v>
      </x:c>
    </x:row>
    <x:row r="1108" ht="42" customHeight="1">
      <x:c r="A1108" s="10" t="str">
        <x:v>S2_VIAL</x:v>
      </x:c>
      <x:c r="B1108" s="10" t="n">
        <x:v>9</x:v>
      </x:c>
      <x:c r="C1108" s="10" t="str">
        <x:v>ddhh</x:v>
      </x:c>
      <x:c r="D1108" s="10" t="n">
        <x:f>$F$1090</x:f>
        <x:v>50.88235294117648</x:v>
      </x:c>
      <x:c r="E1108" s="10" t="n">
        <x:f>(ABS('03_Sensibilidades'!$C$48)*IF('03_Sensibilidades'!$C$48&lt;0,100-$K$333,$K$333)+ABS('03_Sensibilidades'!$C$49)*IF('03_Sensibilidades'!$C$49&lt;0,100-$K$331,$K$331)+ABS('03_Sensibilidades'!$C$50)*IF('03_Sensibilidades'!$C$50&lt;0,100-$K$330,$K$330))/(ABS('03_Sensibilidades'!$C$48)+ABS('03_Sensibilidades'!$C$49)+ABS('03_Sensibilidades'!$C$50))</x:f>
        <x:v>50.88235294117647</x:v>
      </x:c>
      <x:c r="F1108" s="10" t="n">
        <x:f>(1-'00_Arquitectura'!$B$95)*D1108+'00_Arquitectura'!$B$95*E1108</x:f>
        <x:v>50.88235294117648</x:v>
      </x:c>
      <x:c r="G1108" s="10" t="n">
        <x:f>'02_Actores'!$I$17</x:f>
        <x:v>45</x:v>
      </x:c>
      <x:c r="H1108" s="10" t="n">
        <x:f>IF(OR(AND(F1108&lt;'00_Arquitectura'!$B$118,G1108&lt;'00_Arquitectura'!$B$119),F1108&lt;'00_Arquitectura'!$B$120),1,0)</x:f>
        <x:v>0</x:v>
      </x:c>
      <x:c r="I1108" s="10" t="n">
        <x:f>IF($I$1090=1,IF(OR(AND(F1108&lt;'00_Arquitectura'!$B$121,G1108&lt;'00_Arquitectura'!$B$122),F1108&lt;'00_Arquitectura'!$B$123),1,0),IF(AND(H1108=1,$H$1090=1),1,0))</x:f>
        <x:v>0</x:v>
      </x:c>
      <x:c r="J1108" s="10" t="n">
        <x:f>0</x:f>
        <x:v>0</x:v>
      </x:c>
      <x:c r="K1108" s="10" t="n">
        <x:f>$K$1097</x:f>
        <x:v>49.252552606705294</x:v>
      </x:c>
      <x:c r="L1108" s="10" t="str">
        <x:v>Conflicto activo captura menor eficacia en políticas ejecutadas en t+1. Magnitud0 en J: no es un offset directo de indicador.</x:v>
      </x:c>
    </x:row>
    <x:row r="1109" ht="42" customHeight="1">
      <x:c r="A1109" s="5" t="str">
        <x:v>S2_VIAL</x:v>
      </x:c>
      <x:c r="B1109" s="5" t="n">
        <x:v>9</x:v>
      </x:c>
      <x:c r="C1109" s="5" t="str">
        <x:v>ambientalistas</x:v>
      </x:c>
      <x:c r="D1109" s="5" t="n">
        <x:f>$F$1091</x:f>
        <x:v>50.40669895833333</x:v>
      </x:c>
      <x:c r="E1109" s="5" t="n">
        <x:f>(ABS('03_Sensibilidades'!$C$51)*IF('03_Sensibilidades'!$C$51&lt;0,100-$K$334,$K$334)+ABS('03_Sensibilidades'!$C$52)*IF('03_Sensibilidades'!$C$52&lt;0,100-$K$333,$K$333)+ABS('03_Sensibilidades'!$C$53)*IF('03_Sensibilidades'!$C$53&lt;0,100-$K$329,$K$329))/(ABS('03_Sensibilidades'!$C$51)+ABS('03_Sensibilidades'!$C$52)+ABS('03_Sensibilidades'!$C$53))</x:f>
        <x:v>50.27777777777778</x:v>
      </x:c>
      <x:c r="F1109" s="5" t="n">
        <x:f>(1-'00_Arquitectura'!$B$95)*D1109+'00_Arquitectura'!$B$95*E1109</x:f>
        <x:v>50.36157654513889</x:v>
      </x:c>
      <x:c r="G1109" s="5" t="n">
        <x:f>'02_Actores'!$I$18</x:f>
        <x:v>45</x:v>
      </x:c>
      <x:c r="H1109" s="5" t="n">
        <x:f>IF(OR(AND(F1109&lt;'00_Arquitectura'!$B$118,G1109&lt;'00_Arquitectura'!$B$119),F1109&lt;'00_Arquitectura'!$B$120),1,0)</x:f>
        <x:v>0</x:v>
      </x:c>
      <x:c r="I1109" s="5" t="n">
        <x:f>IF($I$1091=1,IF(OR(AND(F1109&lt;'00_Arquitectura'!$B$121,G1109&lt;'00_Arquitectura'!$B$122),F1109&lt;'00_Arquitectura'!$B$123),1,0),IF(AND(H1109=1,$H$1091=1),1,0))</x:f>
        <x:v>0</x:v>
      </x:c>
      <x:c r="J1109" s="5" t="n">
        <x:f>0</x:f>
        <x:v>0</x:v>
      </x:c>
      <x:c r="K1109" s="5" t="n">
        <x:f>$K$1097</x:f>
        <x:v>49.252552606705294</x:v>
      </x:c>
      <x:c r="L1109" s="5" t="str">
        <x:v>Conflicto activo captura menor eficacia en políticas ejecutadas en t+1. Magnitud0 en J: no es un offset directo de indicador.</x:v>
      </x:c>
    </x:row>
    <x:row r="1110" ht="34" customHeight="1">
      <x:c r="A1110" s="10" t="str">
        <x:v>S2_VIAL</x:v>
      </x:c>
      <x:c r="B1110" s="10" t="n">
        <x:v>9</x:v>
      </x:c>
      <x:c r="C1110" s="10" t="str">
        <x:v>cultura</x:v>
      </x:c>
      <x:c r="D1110" s="10" t="n">
        <x:f>$F$1092</x:f>
        <x:v>50.82273114416118</x:v>
      </x:c>
      <x:c r="E1110" s="10" t="n">
        <x:f>(ABS('03_Sensibilidades'!$C$54)*IF('03_Sensibilidades'!$C$54&lt;0,100-$K$333,$K$333)+ABS('03_Sensibilidades'!$C$55)*IF('03_Sensibilidades'!$C$55&lt;0,100-$K$328,$K$328)+ABS('03_Sensibilidades'!$C$56)*IF('03_Sensibilidades'!$C$56&lt;0,100-$K$323,$K$323))/(ABS('03_Sensibilidades'!$C$54)+ABS('03_Sensibilidades'!$C$55)+ABS('03_Sensibilidades'!$C$56))</x:f>
        <x:v>50.8454813712421</x:v>
      </x:c>
      <x:c r="F1110" s="10" t="n">
        <x:f>(1-'00_Arquitectura'!$B$95)*D1110+'00_Arquitectura'!$B$95*E1110</x:f>
        <x:v>50.830693723639506</x:v>
      </x:c>
      <x:c r="G1110" s="10" t="n">
        <x:f>'02_Actores'!$I$19</x:f>
        <x:v>45</x:v>
      </x:c>
      <x:c r="H1110" s="10" t="n">
        <x:f>IF(OR(AND(F1110&lt;'00_Arquitectura'!$B$118,G1110&lt;'00_Arquitectura'!$B$119),F1110&lt;'00_Arquitectura'!$B$120),1,0)</x:f>
        <x:v>0</x:v>
      </x:c>
      <x:c r="I1110" s="10" t="n">
        <x:f>IF($I$1092=1,IF(OR(AND(F1110&lt;'00_Arquitectura'!$B$121,G1110&lt;'00_Arquitectura'!$B$122),F1110&lt;'00_Arquitectura'!$B$123),1,0),IF(AND(H1110=1,$H$1092=1),1,0))</x:f>
        <x:v>0</x:v>
      </x:c>
      <x:c r="J1110" s="10" t="n">
        <x:f>0</x:f>
        <x:v>0</x:v>
      </x:c>
      <x:c r="K1110" s="10" t="n">
        <x:f>$K$1097</x:f>
        <x:v>49.252552606705294</x:v>
      </x:c>
      <x:c r="L1110" s="10" t="str">
        <x:v>Conflicto activo encarece agenda del turno siguiente; sin castigo electoral adicional.</x:v>
      </x:c>
    </x:row>
    <x:row r="1111" ht="34" customHeight="1">
      <x:c r="A1111" s="5" t="str">
        <x:v>S2_VIAL</x:v>
      </x:c>
      <x:c r="B1111" s="5" t="n">
        <x:v>9</x:v>
      </x:c>
      <x:c r="C1111" s="5" t="str">
        <x:v>oficialismo</x:v>
      </x:c>
      <x:c r="D1111" s="5" t="n">
        <x:f>$F$1093</x:f>
        <x:v>51.9031226909376</x:v>
      </x:c>
      <x:c r="E1111" s="5" t="n">
        <x:f>(ABS('03_Sensibilidades'!$C$57)*IF('03_Sensibilidades'!$C$57&lt;0,100-$K$333,$K$333)+ABS('03_Sensibilidades'!$C$58)*IF('03_Sensibilidades'!$C$58&lt;0,100-$K$322,$K$322)+ABS('03_Sensibilidades'!$C$59)*IF('03_Sensibilidades'!$C$59&lt;0,100-$K$325,$K$325)+ABS('03_Sensibilidades'!$C$60)*IF('03_Sensibilidades'!$C$60&lt;0,100-$K$330,$K$330))/(ABS('03_Sensibilidades'!$C$57)+ABS('03_Sensibilidades'!$C$58)+ABS('03_Sensibilidades'!$C$59)+ABS('03_Sensibilidades'!$C$60))</x:f>
        <x:v>51.99092846571521</x:v>
      </x:c>
      <x:c r="F1111" s="5" t="n">
        <x:f>(1-'00_Arquitectura'!$B$95)*D1111+'00_Arquitectura'!$B$95*E1111</x:f>
        <x:v>51.93385471210976</x:v>
      </x:c>
      <x:c r="G1111" s="5" t="n">
        <x:f>'02_Actores'!$I$20</x:f>
        <x:v>60</x:v>
      </x:c>
      <x:c r="H1111" s="5" t="n">
        <x:f>IF(OR(AND(F1111&lt;'00_Arquitectura'!$B$118,G1111&lt;'00_Arquitectura'!$B$119),F1111&lt;'00_Arquitectura'!$B$120),1,0)</x:f>
        <x:v>0</x:v>
      </x:c>
      <x:c r="I1111" s="5" t="n">
        <x:f>IF($I$1093=1,IF(OR(AND(F1111&lt;'00_Arquitectura'!$B$121,G1111&lt;'00_Arquitectura'!$B$122),F1111&lt;'00_Arquitectura'!$B$123),1,0),IF(AND(H1111=1,$H$1093=1),1,0))</x:f>
        <x:v>0</x:v>
      </x:c>
      <x:c r="J1111" s="5" t="n">
        <x:f>0</x:f>
        <x:v>0</x:v>
      </x:c>
      <x:c r="K1111" s="5" t="n">
        <x:f>$K$1097</x:f>
        <x:v>49.252552606705294</x:v>
      </x:c>
      <x:c r="L1111" s="5" t="str">
        <x:v>No aporta E_social; S y R alimentan disposición a leyes según07.</x:v>
      </x:c>
    </x:row>
    <x:row r="1112" ht="34" customHeight="1">
      <x:c r="A1112" s="10" t="str">
        <x:v>S2_VIAL</x:v>
      </x:c>
      <x:c r="B1112" s="10" t="n">
        <x:v>9</x:v>
      </x:c>
      <x:c r="C1112" s="10" t="str">
        <x:v>aliados</x:v>
      </x:c>
      <x:c r="D1112" s="10" t="n">
        <x:f>$F$1094</x:f>
        <x:v>53.89291029744048</x:v>
      </x:c>
      <x:c r="E1112" s="10" t="n">
        <x:f>(ABS('03_Sensibilidades'!$C$61)*IF('03_Sensibilidades'!$C$61&lt;0,100-$K$333,$K$333)+ABS('03_Sensibilidades'!$C$62)*IF('03_Sensibilidades'!$C$62&lt;0,100-$K$325,$K$325)+ABS('03_Sensibilidades'!$C$63)*IF('03_Sensibilidades'!$C$63&lt;0,100-$K$327,$K$327))/(ABS('03_Sensibilidades'!$C$61)+ABS('03_Sensibilidades'!$C$62)+ABS('03_Sensibilidades'!$C$63))</x:f>
        <x:v>53.95173361746286</x:v>
      </x:c>
      <x:c r="F1112" s="10" t="n">
        <x:f>(1-'00_Arquitectura'!$B$95)*D1112+'00_Arquitectura'!$B$95*E1112</x:f>
        <x:v>53.91349845944831</x:v>
      </x:c>
      <x:c r="G1112" s="10" t="n">
        <x:f>'02_Actores'!$I$21</x:f>
        <x:v>45</x:v>
      </x:c>
      <x:c r="H1112" s="10" t="n">
        <x:f>IF(OR(AND(F1112&lt;'00_Arquitectura'!$B$118,G1112&lt;'00_Arquitectura'!$B$119),F1112&lt;'00_Arquitectura'!$B$120),1,0)</x:f>
        <x:v>0</x:v>
      </x:c>
      <x:c r="I1112" s="10" t="n">
        <x:f>IF($I$1094=1,IF(OR(AND(F1112&lt;'00_Arquitectura'!$B$121,G1112&lt;'00_Arquitectura'!$B$122),F1112&lt;'00_Arquitectura'!$B$123),1,0),IF(AND(H1112=1,$H$1094=1),1,0))</x:f>
        <x:v>0</x:v>
      </x:c>
      <x:c r="J1112" s="10" t="n">
        <x:f>0</x:f>
        <x:v>0</x:v>
      </x:c>
      <x:c r="K1112" s="10" t="n">
        <x:f>$K$1097</x:f>
        <x:v>49.252552606705294</x:v>
      </x:c>
      <x:c r="L1112" s="10" t="str">
        <x:v>No aporta E_social; S y R alimentan disposición a leyes según07.</x:v>
      </x:c>
    </x:row>
    <x:row r="1113" ht="34" customHeight="1">
      <x:c r="A1113" s="5" t="str">
        <x:v>S2_VIAL</x:v>
      </x:c>
      <x:c r="B1113" s="5" t="n">
        <x:v>9</x:v>
      </x:c>
      <x:c r="C1113" s="5" t="str">
        <x:v>oposicion</x:v>
      </x:c>
      <x:c r="D1113" s="5" t="n">
        <x:f>$F$1095</x:f>
        <x:v>53.211206964125</x:v>
      </x:c>
      <x:c r="E1113" s="5" t="n">
        <x:f>(ABS('03_Sensibilidades'!$C$64)*IF('03_Sensibilidades'!$C$64&lt;0,100-$K$333,$K$333)+ABS('03_Sensibilidades'!$C$65)*IF('03_Sensibilidades'!$C$65&lt;0,100-$K$325,$K$325)+ABS('03_Sensibilidades'!$C$66)*IF('03_Sensibilidades'!$C$66&lt;0,100-$K$331,$K$331))/(ABS('03_Sensibilidades'!$C$64)+ABS('03_Sensibilidades'!$C$65)+ABS('03_Sensibilidades'!$C$66))</x:f>
        <x:v>53.085131684288</x:v>
      </x:c>
      <x:c r="F1113" s="5" t="n">
        <x:f>(1-'00_Arquitectura'!$B$95)*D1113+'00_Arquitectura'!$B$95*E1113</x:f>
        <x:v>53.16708061618205</x:v>
      </x:c>
      <x:c r="G1113" s="5" t="n">
        <x:f>'02_Actores'!$I$22</x:f>
        <x:v>30</x:v>
      </x:c>
      <x:c r="H1113" s="5" t="n">
        <x:f>IF(OR(AND(F1113&lt;'00_Arquitectura'!$B$118,G1113&lt;'00_Arquitectura'!$B$119),F1113&lt;'00_Arquitectura'!$B$120),1,0)</x:f>
        <x:v>0</x:v>
      </x:c>
      <x:c r="I1113" s="5" t="n">
        <x:f>IF($I$1095=1,IF(OR(AND(F1113&lt;'00_Arquitectura'!$B$121,G1113&lt;'00_Arquitectura'!$B$122),F1113&lt;'00_Arquitectura'!$B$123),1,0),IF(AND(H1113=1,$H$1095=1),1,0))</x:f>
        <x:v>0</x:v>
      </x:c>
      <x:c r="J1113" s="5" t="n">
        <x:f>0</x:f>
        <x:v>0</x:v>
      </x:c>
      <x:c r="K1113" s="5" t="n">
        <x:f>$K$1097</x:f>
        <x:v>49.252552606705294</x:v>
      </x:c>
      <x:c r="L1113" s="5" t="str">
        <x:v>No aporta E_social; S y R alimentan disposición a leyes según07.</x:v>
      </x:c>
    </x:row>
    <x:row r="1114" ht="42" customHeight="1">
      <x:c r="A1114" s="10" t="str">
        <x:v>S2_VIAL</x:v>
      </x:c>
      <x:c r="B1114" s="10" t="n">
        <x:v>9</x:v>
      </x:c>
      <x:c r="C1114" s="10" t="str">
        <x:v>gobernadores</x:v>
      </x:c>
      <x:c r="D1114" s="10" t="n">
        <x:f>$F$1096</x:f>
        <x:v>51.2744334450862</x:v>
      </x:c>
      <x:c r="E1114" s="10" t="n">
        <x:f>(ABS('03_Sensibilidades'!$C$67)*IF('03_Sensibilidades'!$C$67&lt;0,100-$K$327,$K$327)+ABS('03_Sensibilidades'!$C$68)*IF('03_Sensibilidades'!$C$68&lt;0,100-$K$329,$K$329)+ABS('03_Sensibilidades'!$C$69)*IF('03_Sensibilidades'!$C$69&lt;0,100-$K$328,$K$328)+ABS('03_Sensibilidades'!$C$70)*IF('03_Sensibilidades'!$C$70&lt;0,100-$K$325,$K$325))/(ABS('03_Sensibilidades'!$C$67)+ABS('03_Sensibilidades'!$C$68)+ABS('03_Sensibilidades'!$C$69)+ABS('03_Sensibilidades'!$C$70))</x:f>
        <x:v>51.40353909261241</x:v>
      </x:c>
      <x:c r="F1114" s="10" t="n">
        <x:f>(1-'00_Arquitectura'!$B$95)*D1114+'00_Arquitectura'!$B$95*E1114</x:f>
        <x:v>51.31962042172037</x:v>
      </x:c>
      <x:c r="G1114" s="10" t="n">
        <x:f>'02_Actores'!$I$23</x:f>
        <x:v>45</x:v>
      </x:c>
      <x:c r="H1114" s="10" t="n">
        <x:f>IF(OR(AND(F1114&lt;'00_Arquitectura'!$B$118,G1114&lt;'00_Arquitectura'!$B$119),F1114&lt;'00_Arquitectura'!$B$120),1,0)</x:f>
        <x:v>0</x:v>
      </x:c>
      <x:c r="I1114" s="10" t="n">
        <x:f>IF($I$1096=1,IF(OR(AND(F1114&lt;'00_Arquitectura'!$B$121,G1114&lt;'00_Arquitectura'!$B$122),F1114&lt;'00_Arquitectura'!$B$123),1,0),IF(AND(H1114=1,$H$1096=1),1,0))</x:f>
        <x:v>0</x:v>
      </x:c>
      <x:c r="J1114" s="10" t="n">
        <x:f>0</x:f>
        <x:v>0</x:v>
      </x:c>
      <x:c r="K1114" s="10" t="n">
        <x:f>$K$1097</x:f>
        <x:v>49.252552606705294</x:v>
      </x:c>
      <x:c r="L1114" s="10" t="str">
        <x:v>Conflicto activo captura menor eficacia en políticas ejecutadas en t+1. Magnitud0 en J: no es un offset directo de indicador.</x:v>
      </x:c>
    </x:row>
    <x:row r="1115" ht="34" customHeight="1">
      <x:c r="A1115" s="5" t="str">
        <x:v>S2_VIAL</x:v>
      </x:c>
      <x:c r="B1115" s="5" t="n">
        <x:v>10</x:v>
      </x:c>
      <x:c r="C1115" s="5" t="str">
        <x:v>industria</x:v>
      </x:c>
      <x:c r="D1115" s="5" t="n">
        <x:f>$F$1097</x:f>
        <x:v>48.650174557821224</x:v>
      </x:c>
      <x:c r="E1115" s="5" t="n">
        <x:f>(ABS('03_Sensibilidades'!$C$6)*IF('03_Sensibilidades'!$C$6&lt;0,100-$K$338,$K$338)+ABS('03_Sensibilidades'!$C$7)*IF('03_Sensibilidades'!$C$7&lt;0,100-$K$336,$K$336)+ABS('03_Sensibilidades'!$C$8)*IF('03_Sensibilidades'!$C$8&lt;0,100-$K$341,$K$341)+ABS('03_Sensibilidades'!$C$9)*IF('03_Sensibilidades'!$C$9&lt;0,100-$K$340,$K$340))/(ABS('03_Sensibilidades'!$C$6)+ABS('03_Sensibilidades'!$C$7)+ABS('03_Sensibilidades'!$C$8)+ABS('03_Sensibilidades'!$C$9))</x:f>
        <x:v>48.95551566647117</x:v>
      </x:c>
      <x:c r="F1115" s="5" t="n">
        <x:f>(1-'00_Arquitectura'!$B$95)*D1115+'00_Arquitectura'!$B$95*E1115</x:f>
        <x:v>48.75704394584871</x:v>
      </x:c>
      <x:c r="G1115" s="5" t="n">
        <x:f>'02_Actores'!$I$6</x:f>
        <x:v>45</x:v>
      </x:c>
      <x:c r="H1115" s="5" t="n">
        <x:f>IF(OR(AND(F1115&lt;'00_Arquitectura'!$B$118,G1115&lt;'00_Arquitectura'!$B$119),F1115&lt;'00_Arquitectura'!$B$120),1,0)</x:f>
        <x:v>0</x:v>
      </x:c>
      <x:c r="I1115" s="5" t="n">
        <x:f>IF($I$1097=1,IF(OR(AND(F1115&lt;'00_Arquitectura'!$B$121,G1115&lt;'00_Arquitectura'!$B$122),F1115&lt;'00_Arquitectura'!$B$123),1,0),IF(AND(H1115=1,$H$1097=1),1,0))</x:f>
        <x:v>0</x:v>
      </x:c>
      <x:c r="J1115" s="5" t="n">
        <x:f>-I1115*2*'02_Actores'!$E$6/10</x:f>
        <x:v>0</x:v>
      </x:c>
      <x:c r="K1115" s="5" t="n">
        <x:f>($F$1115*'02_Actores'!$F$6+$F$1116*'02_Actores'!$F$7+$F$1117*'02_Actores'!$F$8+$F$1118*'02_Actores'!$F$9+$F$1119*'02_Actores'!$F$10+$F$1120*'02_Actores'!$F$11+$F$1121*'02_Actores'!$F$12+$F$1122*'02_Actores'!$F$13+$F$1123*'02_Actores'!$F$14+$F$1124*'02_Actores'!$F$15+$F$1125*'02_Actores'!$F$16+$F$1126*'02_Actores'!$F$17+$F$1127*'02_Actores'!$F$18+$F$1128*'02_Actores'!$F$19)/('02_Actores'!$F$6+'02_Actores'!$F$7+'02_Actores'!$F$8+'02_Actores'!$F$9+'02_Actores'!$F$10+'02_Actores'!$F$11+'02_Actores'!$F$12+'02_Actores'!$F$13+'02_Actores'!$F$14+'02_Actores'!$F$15+'02_Actores'!$F$16+'02_Actores'!$F$17+'02_Actores'!$F$18+'02_Actores'!$F$19)</x:f>
        <x:v>49.28781034611279</x:v>
      </x:c>
      <x:c r="L1115" s="5" t="str">
        <x:v>J programa offset para t+1; efecto sustituible y acotado, sin voto adicional.</x:v>
      </x:c>
    </x:row>
    <x:row r="1116" ht="34" customHeight="1">
      <x:c r="A1116" s="10" t="str">
        <x:v>S2_VIAL</x:v>
      </x:c>
      <x:c r="B1116" s="10" t="n">
        <x:v>10</x:v>
      </x:c>
      <x:c r="C1116" s="10" t="str">
        <x:v>agro</x:v>
      </x:c>
      <x:c r="D1116" s="10" t="n">
        <x:f>$F$1098</x:f>
        <x:v>48.07488920063214</x:v>
      </x:c>
      <x:c r="E1116" s="10" t="n">
        <x:f>(ABS('03_Sensibilidades'!$C$10)*IF('03_Sensibilidades'!$C$10&lt;0,100-$K$340,$K$340)+ABS('03_Sensibilidades'!$C$11)*IF('03_Sensibilidades'!$C$11&lt;0,100-$K$341,$K$341)+ABS('03_Sensibilidades'!$C$12)*IF('03_Sensibilidades'!$C$12&lt;0,100-$K$348,$K$348)+ABS('03_Sensibilidades'!$C$13)*IF('03_Sensibilidades'!$C$13&lt;0,100-$K$338,$K$338))/(ABS('03_Sensibilidades'!$C$10)+ABS('03_Sensibilidades'!$C$11)+ABS('03_Sensibilidades'!$C$12)+ABS('03_Sensibilidades'!$C$13))</x:f>
        <x:v>48.28514602102218</x:v>
      </x:c>
      <x:c r="F1116" s="10" t="n">
        <x:f>(1-'00_Arquitectura'!$B$95)*D1116+'00_Arquitectura'!$B$95*E1116</x:f>
        <x:v>48.14847908776865</x:v>
      </x:c>
      <x:c r="G1116" s="10" t="n">
        <x:f>'02_Actores'!$I$7</x:f>
        <x:v>45</x:v>
      </x:c>
      <x:c r="H1116" s="10" t="n">
        <x:f>IF(OR(AND(F1116&lt;'00_Arquitectura'!$B$118,G1116&lt;'00_Arquitectura'!$B$119),F1116&lt;'00_Arquitectura'!$B$120),1,0)</x:f>
        <x:v>0</x:v>
      </x:c>
      <x:c r="I1116" s="10" t="n">
        <x:f>IF($I$1098=1,IF(OR(AND(F1116&lt;'00_Arquitectura'!$B$121,G1116&lt;'00_Arquitectura'!$B$122),F1116&lt;'00_Arquitectura'!$B$123),1,0),IF(AND(H1116=1,$H$1098=1),1,0))</x:f>
        <x:v>0</x:v>
      </x:c>
      <x:c r="J1116" s="10" t="n">
        <x:f>-I1116*2*'02_Actores'!$E$7/10</x:f>
        <x:v>0</x:v>
      </x:c>
      <x:c r="K1116" s="10" t="n">
        <x:f>$K$1115</x:f>
        <x:v>49.28781034611279</x:v>
      </x:c>
      <x:c r="L1116" s="10" t="str">
        <x:v>J programa offset para t+1; efecto sustituible y acotado, sin voto adicional.</x:v>
      </x:c>
    </x:row>
    <x:row r="1117" ht="34" customHeight="1">
      <x:c r="A1117" s="5" t="str">
        <x:v>S2_VIAL</x:v>
      </x:c>
      <x:c r="B1117" s="5" t="n">
        <x:v>10</x:v>
      </x:c>
      <x:c r="C1117" s="5" t="str">
        <x:v>financiero</x:v>
      </x:c>
      <x:c r="D1117" s="5" t="n">
        <x:f>$F$1099</x:f>
        <x:v>54.130707453233285</x:v>
      </x:c>
      <x:c r="E1117" s="5" t="n">
        <x:f>(ABS('03_Sensibilidades'!$C$14)*IF('03_Sensibilidades'!$C$14&lt;0,100-$K$339,$K$339)+ABS('03_Sensibilidades'!$C$15)*IF('03_Sensibilidades'!$C$15&lt;0,100-$K$335,$K$335)+ABS('03_Sensibilidades'!$C$16)*IF('03_Sensibilidades'!$C$16&lt;0,100-$K$338,$K$338)+ABS('03_Sensibilidades'!$C$17)*IF('03_Sensibilidades'!$C$17&lt;0,100-$K$347,$K$347))/(ABS('03_Sensibilidades'!$C$14)+ABS('03_Sensibilidades'!$C$15)+ABS('03_Sensibilidades'!$C$16)+ABS('03_Sensibilidades'!$C$17))</x:f>
        <x:v>54.02915063839136</x:v>
      </x:c>
      <x:c r="F1117" s="5" t="n">
        <x:f>(1-'00_Arquitectura'!$B$95)*D1117+'00_Arquitectura'!$B$95*E1117</x:f>
        <x:v>54.09516256803861</x:v>
      </x:c>
      <x:c r="G1117" s="5" t="n">
        <x:f>'02_Actores'!$I$8</x:f>
        <x:v>45</x:v>
      </x:c>
      <x:c r="H1117" s="5" t="n">
        <x:f>IF(OR(AND(F1117&lt;'00_Arquitectura'!$B$118,G1117&lt;'00_Arquitectura'!$B$119),F1117&lt;'00_Arquitectura'!$B$120),1,0)</x:f>
        <x:v>0</x:v>
      </x:c>
      <x:c r="I1117" s="5" t="n">
        <x:f>IF($I$1099=1,IF(OR(AND(F1117&lt;'00_Arquitectura'!$B$121,G1117&lt;'00_Arquitectura'!$B$122),F1117&lt;'00_Arquitectura'!$B$123),1,0),IF(AND(H1117=1,$H$1099=1),1,0))</x:f>
        <x:v>0</x:v>
      </x:c>
      <x:c r="J1117" s="5" t="n">
        <x:f>-I1117*2*'02_Actores'!$E$8/10</x:f>
        <x:v>0</x:v>
      </x:c>
      <x:c r="K1117" s="5" t="n">
        <x:f>$K$1115</x:f>
        <x:v>49.28781034611279</x:v>
      </x:c>
      <x:c r="L1117" s="5" t="str">
        <x:v>J programa offset para t+1; efecto sustituible y acotado, sin voto adicional.</x:v>
      </x:c>
    </x:row>
    <x:row r="1118" ht="34" customHeight="1">
      <x:c r="A1118" s="10" t="str">
        <x:v>S2_VIAL</x:v>
      </x:c>
      <x:c r="B1118" s="10" t="n">
        <x:v>10</x:v>
      </x:c>
      <x:c r="C1118" s="10" t="str">
        <x:v>sindicatos</x:v>
      </x:c>
      <x:c r="D1118" s="10" t="n">
        <x:f>$F$1100</x:f>
        <x:v>48.37316246249283</x:v>
      </x:c>
      <x:c r="E1118" s="10" t="n">
        <x:f>(ABS('03_Sensibilidades'!$C$18)*IF('03_Sensibilidades'!$C$18&lt;0,100-$K$337,$K$337)+ABS('03_Sensibilidades'!$C$19)*IF('03_Sensibilidades'!$C$19&lt;0,100-$K$336,$K$336)+ABS('03_Sensibilidades'!$C$20)*IF('03_Sensibilidades'!$C$20&lt;0,100-$K$344,$K$344)+ABS('03_Sensibilidades'!$C$21)*IF('03_Sensibilidades'!$C$21&lt;0,100-$K$347,$K$347))/(ABS('03_Sensibilidades'!$C$18)+ABS('03_Sensibilidades'!$C$19)+ABS('03_Sensibilidades'!$C$20)+ABS('03_Sensibilidades'!$C$21))</x:f>
        <x:v>48.57510904401738</x:v>
      </x:c>
      <x:c r="F1118" s="10" t="n">
        <x:f>(1-'00_Arquitectura'!$B$95)*D1118+'00_Arquitectura'!$B$95*E1118</x:f>
        <x:v>48.44384376602642</x:v>
      </x:c>
      <x:c r="G1118" s="10" t="n">
        <x:f>'02_Actores'!$I$9</x:f>
        <x:v>45</x:v>
      </x:c>
      <x:c r="H1118" s="10" t="n">
        <x:f>IF(OR(AND(F1118&lt;'00_Arquitectura'!$B$118,G1118&lt;'00_Arquitectura'!$B$119),F1118&lt;'00_Arquitectura'!$B$120),1,0)</x:f>
        <x:v>0</x:v>
      </x:c>
      <x:c r="I1118" s="10" t="n">
        <x:f>IF($I$1100=1,IF(OR(AND(F1118&lt;'00_Arquitectura'!$B$121,G1118&lt;'00_Arquitectura'!$B$122),F1118&lt;'00_Arquitectura'!$B$123),1,0),IF(AND(H1118=1,$H$1100=1),1,0))</x:f>
        <x:v>0</x:v>
      </x:c>
      <x:c r="J1118" s="10" t="n">
        <x:f>-I1118*2*'02_Actores'!$E$9/10</x:f>
        <x:v>0</x:v>
      </x:c>
      <x:c r="K1118" s="10" t="n">
        <x:f>$K$1115</x:f>
        <x:v>49.28781034611279</x:v>
      </x:c>
      <x:c r="L1118" s="10" t="str">
        <x:v>J programa offset para t+1; efecto sustituible y acotado, sin voto adicional.</x:v>
      </x:c>
    </x:row>
    <x:row r="1119" ht="34" customHeight="1">
      <x:c r="A1119" s="5" t="str">
        <x:v>S2_VIAL</x:v>
      </x:c>
      <x:c r="B1119" s="5" t="n">
        <x:v>10</x:v>
      </x:c>
      <x:c r="C1119" s="5" t="str">
        <x:v>pymes</x:v>
      </x:c>
      <x:c r="D1119" s="5" t="n">
        <x:f>$F$1101</x:f>
        <x:v>50.444143374763485</x:v>
      </x:c>
      <x:c r="E1119" s="5" t="n">
        <x:f>(ABS('03_Sensibilidades'!$C$22)*IF('03_Sensibilidades'!$C$22&lt;0,100-$K$338,$K$338)+ABS('03_Sensibilidades'!$C$23)*IF('03_Sensibilidades'!$C$23&lt;0,100-$K$336,$K$336)+ABS('03_Sensibilidades'!$C$24)*IF('03_Sensibilidades'!$C$24&lt;0,100-$K$341,$K$341)+ABS('03_Sensibilidades'!$C$25)*IF('03_Sensibilidades'!$C$25&lt;0,100-$K$335,$K$335))/(ABS('03_Sensibilidades'!$C$22)+ABS('03_Sensibilidades'!$C$23)+ABS('03_Sensibilidades'!$C$24)+ABS('03_Sensibilidades'!$C$25))</x:f>
        <x:v>50.661917451268486</x:v>
      </x:c>
      <x:c r="F1119" s="5" t="n">
        <x:f>(1-'00_Arquitectura'!$B$95)*D1119+'00_Arquitectura'!$B$95*E1119</x:f>
        <x:v>50.52036430154024</x:v>
      </x:c>
      <x:c r="G1119" s="5" t="n">
        <x:f>'02_Actores'!$I$10</x:f>
        <x:v>45</x:v>
      </x:c>
      <x:c r="H1119" s="5" t="n">
        <x:f>IF(OR(AND(F1119&lt;'00_Arquitectura'!$B$118,G1119&lt;'00_Arquitectura'!$B$119),F1119&lt;'00_Arquitectura'!$B$120),1,0)</x:f>
        <x:v>0</x:v>
      </x:c>
      <x:c r="I1119" s="5" t="n">
        <x:f>IF($I$1101=1,IF(OR(AND(F1119&lt;'00_Arquitectura'!$B$121,G1119&lt;'00_Arquitectura'!$B$122),F1119&lt;'00_Arquitectura'!$B$123),1,0),IF(AND(H1119=1,$H$1101=1),1,0))</x:f>
        <x:v>0</x:v>
      </x:c>
      <x:c r="J1119" s="5" t="n">
        <x:f>-I1119*2*'02_Actores'!$E$10/10</x:f>
        <x:v>0</x:v>
      </x:c>
      <x:c r="K1119" s="5" t="n">
        <x:f>$K$1115</x:f>
        <x:v>49.28781034611279</x:v>
      </x:c>
      <x:c r="L1119" s="5" t="str">
        <x:v>J programa offset para t+1; efecto sustituible y acotado, sin voto adicional.</x:v>
      </x:c>
    </x:row>
    <x:row r="1120" ht="34" customHeight="1">
      <x:c r="A1120" s="10" t="str">
        <x:v>S2_VIAL</x:v>
      </x:c>
      <x:c r="B1120" s="10" t="n">
        <x:v>10</x:v>
      </x:c>
      <x:c r="C1120" s="10" t="str">
        <x:v>clase_media</x:v>
      </x:c>
      <x:c r="D1120" s="10" t="n">
        <x:f>$F$1102</x:f>
        <x:v>48.39134672215931</x:v>
      </x:c>
      <x:c r="E1120" s="10" t="n">
        <x:f>(ABS('03_Sensibilidades'!$C$26)*IF('03_Sensibilidades'!$C$26&lt;0,100-$K$337,$K$337)+ABS('03_Sensibilidades'!$C$27)*IF('03_Sensibilidades'!$C$27&lt;0,100-$K$345,$K$345)+ABS('03_Sensibilidades'!$C$28)*IF('03_Sensibilidades'!$C$28&lt;0,100-$K$342,$K$342)+ABS('03_Sensibilidades'!$C$29)*IF('03_Sensibilidades'!$C$29&lt;0,100-$K$335,$K$335))/(ABS('03_Sensibilidades'!$C$26)+ABS('03_Sensibilidades'!$C$27)+ABS('03_Sensibilidades'!$C$28)+ABS('03_Sensibilidades'!$C$29))</x:f>
        <x:v>48.42410123581334</x:v>
      </x:c>
      <x:c r="F1120" s="10" t="n">
        <x:f>(1-'00_Arquitectura'!$B$95)*D1120+'00_Arquitectura'!$B$95*E1120</x:f>
        <x:v>48.402810801938216</x:v>
      </x:c>
      <x:c r="G1120" s="10" t="n">
        <x:f>'02_Actores'!$I$11</x:f>
        <x:v>45</x:v>
      </x:c>
      <x:c r="H1120" s="10" t="n">
        <x:f>IF(OR(AND(F1120&lt;'00_Arquitectura'!$B$118,G1120&lt;'00_Arquitectura'!$B$119),F1120&lt;'00_Arquitectura'!$B$120),1,0)</x:f>
        <x:v>0</x:v>
      </x:c>
      <x:c r="I1120" s="10" t="n">
        <x:f>IF($I$1102=1,IF(OR(AND(F1120&lt;'00_Arquitectura'!$B$121,G1120&lt;'00_Arquitectura'!$B$122),F1120&lt;'00_Arquitectura'!$B$123),1,0),IF(AND(H1120=1,$H$1102=1),1,0))</x:f>
        <x:v>0</x:v>
      </x:c>
      <x:c r="J1120" s="10" t="n">
        <x:f>0</x:f>
        <x:v>0</x:v>
      </x:c>
      <x:c r="K1120" s="10" t="n">
        <x:f>$K$1115</x:f>
        <x:v>49.28781034611279</x:v>
      </x:c>
      <x:c r="L1120" s="10" t="str">
        <x:v>Canal directo sólo al índice social; sin bono de popularidad.</x:v>
      </x:c>
    </x:row>
    <x:row r="1121" ht="34" customHeight="1">
      <x:c r="A1121" s="5" t="str">
        <x:v>S2_VIAL</x:v>
      </x:c>
      <x:c r="B1121" s="5" t="n">
        <x:v>10</x:v>
      </x:c>
      <x:c r="C1121" s="5" t="str">
        <x:v>cooperativas</x:v>
      </x:c>
      <x:c r="D1121" s="5" t="n">
        <x:f>$F$1103</x:f>
        <x:v>48.07316012278686</x:v>
      </x:c>
      <x:c r="E1121" s="5" t="n">
        <x:f>(ABS('03_Sensibilidades'!$C$30)*IF('03_Sensibilidades'!$C$30&lt;0,100-$K$338,$K$338)+ABS('03_Sensibilidades'!$C$31)*IF('03_Sensibilidades'!$C$31&lt;0,100-$K$336,$K$336)+ABS('03_Sensibilidades'!$C$32)*IF('03_Sensibilidades'!$C$32&lt;0,100-$K$344,$K$344)+ABS('03_Sensibilidades'!$C$33)*IF('03_Sensibilidades'!$C$33&lt;0,100-$K$347,$K$347))/(ABS('03_Sensibilidades'!$C$30)+ABS('03_Sensibilidades'!$C$31)+ABS('03_Sensibilidades'!$C$32)+ABS('03_Sensibilidades'!$C$33))</x:f>
        <x:v>48.192557689643756</x:v>
      </x:c>
      <x:c r="F1121" s="5" t="n">
        <x:f>(1-'00_Arquitectura'!$B$95)*D1121+'00_Arquitectura'!$B$95*E1121</x:f>
        <x:v>48.114949271186774</x:v>
      </x:c>
      <x:c r="G1121" s="5" t="n">
        <x:f>'02_Actores'!$I$12</x:f>
        <x:v>45</x:v>
      </x:c>
      <x:c r="H1121" s="5" t="n">
        <x:f>IF(OR(AND(F1121&lt;'00_Arquitectura'!$B$118,G1121&lt;'00_Arquitectura'!$B$119),F1121&lt;'00_Arquitectura'!$B$120),1,0)</x:f>
        <x:v>0</x:v>
      </x:c>
      <x:c r="I1121" s="5" t="n">
        <x:f>IF($I$1103=1,IF(OR(AND(F1121&lt;'00_Arquitectura'!$B$121,G1121&lt;'00_Arquitectura'!$B$122),F1121&lt;'00_Arquitectura'!$B$123),1,0),IF(AND(H1121=1,$H$1103=1),1,0))</x:f>
        <x:v>0</x:v>
      </x:c>
      <x:c r="J1121" s="5" t="n">
        <x:f>-I1121*1.5*'02_Actores'!$E$12/10</x:f>
        <x:v>0</x:v>
      </x:c>
      <x:c r="K1121" s="5" t="n">
        <x:f>$K$1115</x:f>
        <x:v>49.28781034611279</x:v>
      </x:c>
      <x:c r="L1121" s="5" t="str">
        <x:v>J programa offset para t+1; efecto sustituible y acotado, sin voto adicional.</x:v>
      </x:c>
    </x:row>
    <x:row r="1122" ht="42" customHeight="1">
      <x:c r="A1122" s="10" t="str">
        <x:v>S2_VIAL</x:v>
      </x:c>
      <x:c r="B1122" s="10" t="n">
        <x:v>10</x:v>
      </x:c>
      <x:c r="C1122" s="10" t="str">
        <x:v>estudiantes</x:v>
      </x:c>
      <x:c r="D1122" s="10" t="n">
        <x:f>$F$1104</x:f>
        <x:v>49.23132722996603</x:v>
      </x:c>
      <x:c r="E1122" s="10" t="n">
        <x:f>(ABS('03_Sensibilidades'!$C$34)*IF('03_Sensibilidades'!$C$34&lt;0,100-$K$342,$K$342)+ABS('03_Sensibilidades'!$C$35)*IF('03_Sensibilidades'!$C$35&lt;0,100-$K$337,$K$337)+ABS('03_Sensibilidades'!$C$36)*IF('03_Sensibilidades'!$C$36&lt;0,100-$K$347,$K$347)+ABS('03_Sensibilidades'!$C$37)*IF('03_Sensibilidades'!$C$37&lt;0,100-$K$346,$K$346))/(ABS('03_Sensibilidades'!$C$34)+ABS('03_Sensibilidades'!$C$35)+ABS('03_Sensibilidades'!$C$36)+ABS('03_Sensibilidades'!$C$37))</x:f>
        <x:v>49.249014667339196</x:v>
      </x:c>
      <x:c r="F1122" s="10" t="n">
        <x:f>(1-'00_Arquitectura'!$B$95)*D1122+'00_Arquitectura'!$B$95*E1122</x:f>
        <x:v>49.23751783304664</x:v>
      </x:c>
      <x:c r="G1122" s="10" t="n">
        <x:f>'02_Actores'!$I$13</x:f>
        <x:v>45</x:v>
      </x:c>
      <x:c r="H1122" s="10" t="n">
        <x:f>IF(OR(AND(F1122&lt;'00_Arquitectura'!$B$118,G1122&lt;'00_Arquitectura'!$B$119),F1122&lt;'00_Arquitectura'!$B$120),1,0)</x:f>
        <x:v>0</x:v>
      </x:c>
      <x:c r="I1122" s="10" t="n">
        <x:f>IF($I$1104=1,IF(OR(AND(F1122&lt;'00_Arquitectura'!$B$121,G1122&lt;'00_Arquitectura'!$B$122),F1122&lt;'00_Arquitectura'!$B$123),1,0),IF(AND(H1122=1,$H$1104=1),1,0))</x:f>
        <x:v>0</x:v>
      </x:c>
      <x:c r="J1122" s="10" t="n">
        <x:f>0</x:f>
        <x:v>0</x:v>
      </x:c>
      <x:c r="K1122" s="10" t="n">
        <x:f>$K$1115</x:f>
        <x:v>49.28781034611279</x:v>
      </x:c>
      <x:c r="L1122" s="10" t="str">
        <x:v>Conflicto activo captura menor eficacia en políticas ejecutadas en t+1. Magnitud0 en J: no es un offset directo de indicador.</x:v>
      </x:c>
    </x:row>
    <x:row r="1123" ht="34" customHeight="1">
      <x:c r="A1123" s="5" t="str">
        <x:v>S2_VIAL</x:v>
      </x:c>
      <x:c r="B1123" s="5" t="n">
        <x:v>10</x:v>
      </x:c>
      <x:c r="C1123" s="5" t="str">
        <x:v>docentes</x:v>
      </x:c>
      <x:c r="D1123" s="5" t="n">
        <x:f>$F$1105</x:f>
        <x:v>48.97433588471613</x:v>
      </x:c>
      <x:c r="E1123" s="5" t="n">
        <x:f>(ABS('03_Sensibilidades'!$C$38)*IF('03_Sensibilidades'!$C$38&lt;0,100-$K$342,$K$342)+ABS('03_Sensibilidades'!$C$39)*IF('03_Sensibilidades'!$C$39&lt;0,100-$K$337,$K$337)+ABS('03_Sensibilidades'!$C$40)*IF('03_Sensibilidades'!$C$40&lt;0,100-$K$347,$K$347))/(ABS('03_Sensibilidades'!$C$38)+ABS('03_Sensibilidades'!$C$39)+ABS('03_Sensibilidades'!$C$40))</x:f>
        <x:v>49.00894174044626</x:v>
      </x:c>
      <x:c r="F1123" s="5" t="n">
        <x:f>(1-'00_Arquitectura'!$B$95)*D1123+'00_Arquitectura'!$B$95*E1123</x:f>
        <x:v>48.98644793422167</x:v>
      </x:c>
      <x:c r="G1123" s="5" t="n">
        <x:f>'02_Actores'!$I$14</x:f>
        <x:v>45</x:v>
      </x:c>
      <x:c r="H1123" s="5" t="n">
        <x:f>IF(OR(AND(F1123&lt;'00_Arquitectura'!$B$118,G1123&lt;'00_Arquitectura'!$B$119),F1123&lt;'00_Arquitectura'!$B$120),1,0)</x:f>
        <x:v>0</x:v>
      </x:c>
      <x:c r="I1123" s="5" t="n">
        <x:f>IF($I$1105=1,IF(OR(AND(F1123&lt;'00_Arquitectura'!$B$121,G1123&lt;'00_Arquitectura'!$B$122),F1123&lt;'00_Arquitectura'!$B$123),1,0),IF(AND(H1123=1,$H$1105=1),1,0))</x:f>
        <x:v>0</x:v>
      </x:c>
      <x:c r="J1123" s="5" t="n">
        <x:f>-I1123*1.5*'02_Actores'!$E$14/10</x:f>
        <x:v>0</x:v>
      </x:c>
      <x:c r="K1123" s="5" t="n">
        <x:f>$K$1115</x:f>
        <x:v>49.28781034611279</x:v>
      </x:c>
      <x:c r="L1123" s="5" t="str">
        <x:v>J programa offset para t+1; efecto sustituible y acotado, sin voto adicional.</x:v>
      </x:c>
    </x:row>
    <x:row r="1124" ht="34" customHeight="1">
      <x:c r="A1124" s="10" t="str">
        <x:v>S2_VIAL</x:v>
      </x:c>
      <x:c r="B1124" s="10" t="n">
        <x:v>10</x:v>
      </x:c>
      <x:c r="C1124" s="10" t="str">
        <x:v>cientificos</x:v>
      </x:c>
      <x:c r="D1124" s="10" t="n">
        <x:f>$F$1106</x:f>
        <x:v>46.59090909090909</x:v>
      </x:c>
      <x:c r="E1124" s="10" t="n">
        <x:f>(ABS('03_Sensibilidades'!$C$41)*IF('03_Sensibilidades'!$C$41&lt;0,100-$K$346,$K$346)+ABS('03_Sensibilidades'!$C$42)*IF('03_Sensibilidades'!$C$42&lt;0,100-$K$342,$K$342)+ABS('03_Sensibilidades'!$C$43)*IF('03_Sensibilidades'!$C$43&lt;0,100-$K$347,$K$347))/(ABS('03_Sensibilidades'!$C$41)+ABS('03_Sensibilidades'!$C$42)+ABS('03_Sensibilidades'!$C$43))</x:f>
        <x:v>46.59090909090909</x:v>
      </x:c>
      <x:c r="F1124" s="10" t="n">
        <x:f>(1-'00_Arquitectura'!$B$95)*D1124+'00_Arquitectura'!$B$95*E1124</x:f>
        <x:v>46.59090909090909</x:v>
      </x:c>
      <x:c r="G1124" s="10" t="n">
        <x:f>'02_Actores'!$I$15</x:f>
        <x:v>45</x:v>
      </x:c>
      <x:c r="H1124" s="10" t="n">
        <x:f>IF(OR(AND(F1124&lt;'00_Arquitectura'!$B$118,G1124&lt;'00_Arquitectura'!$B$119),F1124&lt;'00_Arquitectura'!$B$120),1,0)</x:f>
        <x:v>0</x:v>
      </x:c>
      <x:c r="I1124" s="10" t="n">
        <x:f>IF($I$1106=1,IF(OR(AND(F1124&lt;'00_Arquitectura'!$B$121,G1124&lt;'00_Arquitectura'!$B$122),F1124&lt;'00_Arquitectura'!$B$123),1,0),IF(AND(H1124=1,$H$1106=1),1,0))</x:f>
        <x:v>0</x:v>
      </x:c>
      <x:c r="J1124" s="10" t="n">
        <x:f>-I1124*1.5*'02_Actores'!$E$15/10</x:f>
        <x:v>0</x:v>
      </x:c>
      <x:c r="K1124" s="10" t="n">
        <x:f>$K$1115</x:f>
        <x:v>49.28781034611279</x:v>
      </x:c>
      <x:c r="L1124" s="10" t="str">
        <x:v>J programa offset para t+1; efecto sustituible y acotado, sin voto adicional.</x:v>
      </x:c>
    </x:row>
    <x:row r="1125" ht="34" customHeight="1">
      <x:c r="A1125" s="5" t="str">
        <x:v>S2_VIAL</x:v>
      </x:c>
      <x:c r="B1125" s="5" t="n">
        <x:v>10</x:v>
      </x:c>
      <x:c r="C1125" s="5" t="str">
        <x:v>organizaciones</x:v>
      </x:c>
      <x:c r="D1125" s="5" t="n">
        <x:f>$F$1107</x:f>
        <x:v>49.375127378904544</x:v>
      </x:c>
      <x:c r="E1125" s="5" t="n">
        <x:f>(ABS('03_Sensibilidades'!$C$44)*IF('03_Sensibilidades'!$C$44&lt;0,100-$K$344,$K$344)+ABS('03_Sensibilidades'!$C$45)*IF('03_Sensibilidades'!$C$45&lt;0,100-$K$343,$K$343)+ABS('03_Sensibilidades'!$C$46)*IF('03_Sensibilidades'!$C$46&lt;0,100-$K$336,$K$336)+ABS('03_Sensibilidades'!$C$47)*IF('03_Sensibilidades'!$C$47&lt;0,100-$K$347,$K$347))/(ABS('03_Sensibilidades'!$C$44)+ABS('03_Sensibilidades'!$C$45)+ABS('03_Sensibilidades'!$C$46)+ABS('03_Sensibilidades'!$C$47))</x:f>
        <x:v>49.493510212132</x:v>
      </x:c>
      <x:c r="F1125" s="5" t="n">
        <x:f>(1-'00_Arquitectura'!$B$95)*D1125+'00_Arquitectura'!$B$95*E1125</x:f>
        <x:v>49.416561370534154</x:v>
      </x:c>
      <x:c r="G1125" s="5" t="n">
        <x:f>'02_Actores'!$I$16</x:f>
        <x:v>45</x:v>
      </x:c>
      <x:c r="H1125" s="5" t="n">
        <x:f>IF(OR(AND(F1125&lt;'00_Arquitectura'!$B$118,G1125&lt;'00_Arquitectura'!$B$119),F1125&lt;'00_Arquitectura'!$B$120),1,0)</x:f>
        <x:v>0</x:v>
      </x:c>
      <x:c r="I1125" s="5" t="n">
        <x:f>IF($I$1107=1,IF(OR(AND(F1125&lt;'00_Arquitectura'!$B$121,G1125&lt;'00_Arquitectura'!$B$122),F1125&lt;'00_Arquitectura'!$B$123),1,0),IF(AND(H1125=1,$H$1107=1),1,0))</x:f>
        <x:v>0</x:v>
      </x:c>
      <x:c r="J1125" s="5" t="n">
        <x:f>-I1125*1.5*'02_Actores'!$E$16/10</x:f>
        <x:v>0</x:v>
      </x:c>
      <x:c r="K1125" s="5" t="n">
        <x:f>$K$1115</x:f>
        <x:v>49.28781034611279</x:v>
      </x:c>
      <x:c r="L1125" s="5" t="str">
        <x:v>J programa offset para t+1; efecto sustituible y acotado, sin voto adicional.</x:v>
      </x:c>
    </x:row>
    <x:row r="1126" ht="42" customHeight="1">
      <x:c r="A1126" s="10" t="str">
        <x:v>S2_VIAL</x:v>
      </x:c>
      <x:c r="B1126" s="10" t="n">
        <x:v>10</x:v>
      </x:c>
      <x:c r="C1126" s="10" t="str">
        <x:v>ddhh</x:v>
      </x:c>
      <x:c r="D1126" s="10" t="n">
        <x:f>$F$1108</x:f>
        <x:v>50.88235294117648</x:v>
      </x:c>
      <x:c r="E1126" s="10" t="n">
        <x:f>(ABS('03_Sensibilidades'!$C$48)*IF('03_Sensibilidades'!$C$48&lt;0,100-$K$347,$K$347)+ABS('03_Sensibilidades'!$C$49)*IF('03_Sensibilidades'!$C$49&lt;0,100-$K$345,$K$345)+ABS('03_Sensibilidades'!$C$50)*IF('03_Sensibilidades'!$C$50&lt;0,100-$K$344,$K$344))/(ABS('03_Sensibilidades'!$C$48)+ABS('03_Sensibilidades'!$C$49)+ABS('03_Sensibilidades'!$C$50))</x:f>
        <x:v>50.88235294117647</x:v>
      </x:c>
      <x:c r="F1126" s="10" t="n">
        <x:f>(1-'00_Arquitectura'!$B$95)*D1126+'00_Arquitectura'!$B$95*E1126</x:f>
        <x:v>50.88235294117648</x:v>
      </x:c>
      <x:c r="G1126" s="10" t="n">
        <x:f>'02_Actores'!$I$17</x:f>
        <x:v>45</x:v>
      </x:c>
      <x:c r="H1126" s="10" t="n">
        <x:f>IF(OR(AND(F1126&lt;'00_Arquitectura'!$B$118,G1126&lt;'00_Arquitectura'!$B$119),F1126&lt;'00_Arquitectura'!$B$120),1,0)</x:f>
        <x:v>0</x:v>
      </x:c>
      <x:c r="I1126" s="10" t="n">
        <x:f>IF($I$1108=1,IF(OR(AND(F1126&lt;'00_Arquitectura'!$B$121,G1126&lt;'00_Arquitectura'!$B$122),F1126&lt;'00_Arquitectura'!$B$123),1,0),IF(AND(H1126=1,$H$1108=1),1,0))</x:f>
        <x:v>0</x:v>
      </x:c>
      <x:c r="J1126" s="10" t="n">
        <x:f>0</x:f>
        <x:v>0</x:v>
      </x:c>
      <x:c r="K1126" s="10" t="n">
        <x:f>$K$1115</x:f>
        <x:v>49.28781034611279</x:v>
      </x:c>
      <x:c r="L1126" s="10" t="str">
        <x:v>Conflicto activo captura menor eficacia en políticas ejecutadas en t+1. Magnitud0 en J: no es un offset directo de indicador.</x:v>
      </x:c>
    </x:row>
    <x:row r="1127" ht="42" customHeight="1">
      <x:c r="A1127" s="5" t="str">
        <x:v>S2_VIAL</x:v>
      </x:c>
      <x:c r="B1127" s="5" t="n">
        <x:v>10</x:v>
      </x:c>
      <x:c r="C1127" s="5" t="str">
        <x:v>ambientalistas</x:v>
      </x:c>
      <x:c r="D1127" s="5" t="n">
        <x:f>$F$1109</x:f>
        <x:v>50.36157654513889</x:v>
      </x:c>
      <x:c r="E1127" s="5" t="n">
        <x:f>(ABS('03_Sensibilidades'!$C$51)*IF('03_Sensibilidades'!$C$51&lt;0,100-$K$348,$K$348)+ABS('03_Sensibilidades'!$C$52)*IF('03_Sensibilidades'!$C$52&lt;0,100-$K$347,$K$347)+ABS('03_Sensibilidades'!$C$53)*IF('03_Sensibilidades'!$C$53&lt;0,100-$K$343,$K$343))/(ABS('03_Sensibilidades'!$C$51)+ABS('03_Sensibilidades'!$C$52)+ABS('03_Sensibilidades'!$C$53))</x:f>
        <x:v>50.27777777777778</x:v>
      </x:c>
      <x:c r="F1127" s="5" t="n">
        <x:f>(1-'00_Arquitectura'!$B$95)*D1127+'00_Arquitectura'!$B$95*E1127</x:f>
        <x:v>50.3322469765625</x:v>
      </x:c>
      <x:c r="G1127" s="5" t="n">
        <x:f>'02_Actores'!$I$18</x:f>
        <x:v>45</x:v>
      </x:c>
      <x:c r="H1127" s="5" t="n">
        <x:f>IF(OR(AND(F1127&lt;'00_Arquitectura'!$B$118,G1127&lt;'00_Arquitectura'!$B$119),F1127&lt;'00_Arquitectura'!$B$120),1,0)</x:f>
        <x:v>0</x:v>
      </x:c>
      <x:c r="I1127" s="5" t="n">
        <x:f>IF($I$1109=1,IF(OR(AND(F1127&lt;'00_Arquitectura'!$B$121,G1127&lt;'00_Arquitectura'!$B$122),F1127&lt;'00_Arquitectura'!$B$123),1,0),IF(AND(H1127=1,$H$1109=1),1,0))</x:f>
        <x:v>0</x:v>
      </x:c>
      <x:c r="J1127" s="5" t="n">
        <x:f>0</x:f>
        <x:v>0</x:v>
      </x:c>
      <x:c r="K1127" s="5" t="n">
        <x:f>$K$1115</x:f>
        <x:v>49.28781034611279</x:v>
      </x:c>
      <x:c r="L1127" s="5" t="str">
        <x:v>Conflicto activo captura menor eficacia en políticas ejecutadas en t+1. Magnitud0 en J: no es un offset directo de indicador.</x:v>
      </x:c>
    </x:row>
    <x:row r="1128" ht="34" customHeight="1">
      <x:c r="A1128" s="10" t="str">
        <x:v>S2_VIAL</x:v>
      </x:c>
      <x:c r="B1128" s="10" t="n">
        <x:v>10</x:v>
      </x:c>
      <x:c r="C1128" s="10" t="str">
        <x:v>cultura</x:v>
      </x:c>
      <x:c r="D1128" s="10" t="n">
        <x:f>$F$1110</x:f>
        <x:v>50.830693723639506</x:v>
      </x:c>
      <x:c r="E1128" s="10" t="n">
        <x:f>(ABS('03_Sensibilidades'!$C$54)*IF('03_Sensibilidades'!$C$54&lt;0,100-$K$347,$K$347)+ABS('03_Sensibilidades'!$C$55)*IF('03_Sensibilidades'!$C$55&lt;0,100-$K$342,$K$342)+ABS('03_Sensibilidades'!$C$56)*IF('03_Sensibilidades'!$C$56&lt;0,100-$K$337,$K$337))/(ABS('03_Sensibilidades'!$C$54)+ABS('03_Sensibilidades'!$C$55)+ABS('03_Sensibilidades'!$C$56))</x:f>
        <x:v>50.85396666755158</x:v>
      </x:c>
      <x:c r="F1128" s="10" t="n">
        <x:f>(1-'00_Arquitectura'!$B$95)*D1128+'00_Arquitectura'!$B$95*E1128</x:f>
        <x:v>50.83883925400873</x:v>
      </x:c>
      <x:c r="G1128" s="10" t="n">
        <x:f>'02_Actores'!$I$19</x:f>
        <x:v>45</x:v>
      </x:c>
      <x:c r="H1128" s="10" t="n">
        <x:f>IF(OR(AND(F1128&lt;'00_Arquitectura'!$B$118,G1128&lt;'00_Arquitectura'!$B$119),F1128&lt;'00_Arquitectura'!$B$120),1,0)</x:f>
        <x:v>0</x:v>
      </x:c>
      <x:c r="I1128" s="10" t="n">
        <x:f>IF($I$1110=1,IF(OR(AND(F1128&lt;'00_Arquitectura'!$B$121,G1128&lt;'00_Arquitectura'!$B$122),F1128&lt;'00_Arquitectura'!$B$123),1,0),IF(AND(H1128=1,$H$1110=1),1,0))</x:f>
        <x:v>0</x:v>
      </x:c>
      <x:c r="J1128" s="10" t="n">
        <x:f>0</x:f>
        <x:v>0</x:v>
      </x:c>
      <x:c r="K1128" s="10" t="n">
        <x:f>$K$1115</x:f>
        <x:v>49.28781034611279</x:v>
      </x:c>
      <x:c r="L1128" s="10" t="str">
        <x:v>Conflicto activo encarece agenda del turno siguiente; sin castigo electoral adicional.</x:v>
      </x:c>
    </x:row>
    <x:row r="1129" ht="34" customHeight="1">
      <x:c r="A1129" s="5" t="str">
        <x:v>S2_VIAL</x:v>
      </x:c>
      <x:c r="B1129" s="5" t="n">
        <x:v>10</x:v>
      </x:c>
      <x:c r="C1129" s="5" t="str">
        <x:v>oficialismo</x:v>
      </x:c>
      <x:c r="D1129" s="5" t="n">
        <x:f>$F$1111</x:f>
        <x:v>51.93385471210976</x:v>
      </x:c>
      <x:c r="E1129" s="5" t="n">
        <x:f>(ABS('03_Sensibilidades'!$C$57)*IF('03_Sensibilidades'!$C$57&lt;0,100-$K$347,$K$347)+ABS('03_Sensibilidades'!$C$58)*IF('03_Sensibilidades'!$C$58&lt;0,100-$K$336,$K$336)+ABS('03_Sensibilidades'!$C$59)*IF('03_Sensibilidades'!$C$59&lt;0,100-$K$339,$K$339)+ABS('03_Sensibilidades'!$C$60)*IF('03_Sensibilidades'!$C$60&lt;0,100-$K$344,$K$344))/(ABS('03_Sensibilidades'!$C$57)+ABS('03_Sensibilidades'!$C$58)+ABS('03_Sensibilidades'!$C$59)+ABS('03_Sensibilidades'!$C$60))</x:f>
        <x:v>52.055398717859845</x:v>
      </x:c>
      <x:c r="F1129" s="5" t="n">
        <x:f>(1-'00_Arquitectura'!$B$95)*D1129+'00_Arquitectura'!$B$95*E1129</x:f>
        <x:v>51.9763951141223</x:v>
      </x:c>
      <x:c r="G1129" s="5" t="n">
        <x:f>'02_Actores'!$I$20</x:f>
        <x:v>60</x:v>
      </x:c>
      <x:c r="H1129" s="5" t="n">
        <x:f>IF(OR(AND(F1129&lt;'00_Arquitectura'!$B$118,G1129&lt;'00_Arquitectura'!$B$119),F1129&lt;'00_Arquitectura'!$B$120),1,0)</x:f>
        <x:v>0</x:v>
      </x:c>
      <x:c r="I1129" s="5" t="n">
        <x:f>IF($I$1111=1,IF(OR(AND(F1129&lt;'00_Arquitectura'!$B$121,G1129&lt;'00_Arquitectura'!$B$122),F1129&lt;'00_Arquitectura'!$B$123),1,0),IF(AND(H1129=1,$H$1111=1),1,0))</x:f>
        <x:v>0</x:v>
      </x:c>
      <x:c r="J1129" s="5" t="n">
        <x:f>0</x:f>
        <x:v>0</x:v>
      </x:c>
      <x:c r="K1129" s="5" t="n">
        <x:f>$K$1115</x:f>
        <x:v>49.28781034611279</x:v>
      </x:c>
      <x:c r="L1129" s="5" t="str">
        <x:v>No aporta E_social; S y R alimentan disposición a leyes según07.</x:v>
      </x:c>
    </x:row>
    <x:row r="1130" ht="34" customHeight="1">
      <x:c r="A1130" s="10" t="str">
        <x:v>S2_VIAL</x:v>
      </x:c>
      <x:c r="B1130" s="10" t="n">
        <x:v>10</x:v>
      </x:c>
      <x:c r="C1130" s="10" t="str">
        <x:v>aliados</x:v>
      </x:c>
      <x:c r="D1130" s="10" t="n">
        <x:f>$F$1112</x:f>
        <x:v>53.91349845944831</x:v>
      </x:c>
      <x:c r="E1130" s="10" t="n">
        <x:f>(ABS('03_Sensibilidades'!$C$61)*IF('03_Sensibilidades'!$C$61&lt;0,100-$K$347,$K$347)+ABS('03_Sensibilidades'!$C$62)*IF('03_Sensibilidades'!$C$62&lt;0,100-$K$339,$K$339)+ABS('03_Sensibilidades'!$C$63)*IF('03_Sensibilidades'!$C$63&lt;0,100-$K$341,$K$341))/(ABS('03_Sensibilidades'!$C$61)+ABS('03_Sensibilidades'!$C$62)+ABS('03_Sensibilidades'!$C$63))</x:f>
        <x:v>53.966064340118855</x:v>
      </x:c>
      <x:c r="F1130" s="10" t="n">
        <x:f>(1-'00_Arquitectura'!$B$95)*D1130+'00_Arquitectura'!$B$95*E1130</x:f>
        <x:v>53.931896517683</x:v>
      </x:c>
      <x:c r="G1130" s="10" t="n">
        <x:f>'02_Actores'!$I$21</x:f>
        <x:v>45</x:v>
      </x:c>
      <x:c r="H1130" s="10" t="n">
        <x:f>IF(OR(AND(F1130&lt;'00_Arquitectura'!$B$118,G1130&lt;'00_Arquitectura'!$B$119),F1130&lt;'00_Arquitectura'!$B$120),1,0)</x:f>
        <x:v>0</x:v>
      </x:c>
      <x:c r="I1130" s="10" t="n">
        <x:f>IF($I$1112=1,IF(OR(AND(F1130&lt;'00_Arquitectura'!$B$121,G1130&lt;'00_Arquitectura'!$B$122),F1130&lt;'00_Arquitectura'!$B$123),1,0),IF(AND(H1130=1,$H$1112=1),1,0))</x:f>
        <x:v>0</x:v>
      </x:c>
      <x:c r="J1130" s="10" t="n">
        <x:f>0</x:f>
        <x:v>0</x:v>
      </x:c>
      <x:c r="K1130" s="10" t="n">
        <x:f>$K$1115</x:f>
        <x:v>49.28781034611279</x:v>
      </x:c>
      <x:c r="L1130" s="10" t="str">
        <x:v>No aporta E_social; S y R alimentan disposición a leyes según07.</x:v>
      </x:c>
    </x:row>
    <x:row r="1131" ht="34" customHeight="1">
      <x:c r="A1131" s="5" t="str">
        <x:v>S2_VIAL</x:v>
      </x:c>
      <x:c r="B1131" s="5" t="n">
        <x:v>10</x:v>
      </x:c>
      <x:c r="C1131" s="5" t="str">
        <x:v>oposicion</x:v>
      </x:c>
      <x:c r="D1131" s="5" t="n">
        <x:f>$F$1113</x:f>
        <x:v>53.16708061618205</x:v>
      </x:c>
      <x:c r="E1131" s="5" t="n">
        <x:f>(ABS('03_Sensibilidades'!$C$64)*IF('03_Sensibilidades'!$C$64&lt;0,100-$K$347,$K$347)+ABS('03_Sensibilidades'!$C$65)*IF('03_Sensibilidades'!$C$65&lt;0,100-$K$339,$K$339)+ABS('03_Sensibilidades'!$C$66)*IF('03_Sensibilidades'!$C$66&lt;0,100-$K$345,$K$345))/(ABS('03_Sensibilidades'!$C$64)+ABS('03_Sensibilidades'!$C$65)+ABS('03_Sensibilidades'!$C$66))</x:f>
        <x:v>53.0980293346784</x:v>
      </x:c>
      <x:c r="F1131" s="5" t="n">
        <x:f>(1-'00_Arquitectura'!$B$95)*D1131+'00_Arquitectura'!$B$95*E1131</x:f>
        <x:v>53.14291266765577</x:v>
      </x:c>
      <x:c r="G1131" s="5" t="n">
        <x:f>'02_Actores'!$I$22</x:f>
        <x:v>30</x:v>
      </x:c>
      <x:c r="H1131" s="5" t="n">
        <x:f>IF(OR(AND(F1131&lt;'00_Arquitectura'!$B$118,G1131&lt;'00_Arquitectura'!$B$119),F1131&lt;'00_Arquitectura'!$B$120),1,0)</x:f>
        <x:v>0</x:v>
      </x:c>
      <x:c r="I1131" s="5" t="n">
        <x:f>IF($I$1113=1,IF(OR(AND(F1131&lt;'00_Arquitectura'!$B$121,G1131&lt;'00_Arquitectura'!$B$122),F1131&lt;'00_Arquitectura'!$B$123),1,0),IF(AND(H1131=1,$H$1113=1),1,0))</x:f>
        <x:v>0</x:v>
      </x:c>
      <x:c r="J1131" s="5" t="n">
        <x:f>0</x:f>
        <x:v>0</x:v>
      </x:c>
      <x:c r="K1131" s="5" t="n">
        <x:f>$K$1115</x:f>
        <x:v>49.28781034611279</x:v>
      </x:c>
      <x:c r="L1131" s="5" t="str">
        <x:v>No aporta E_social; S y R alimentan disposición a leyes según07.</x:v>
      </x:c>
    </x:row>
    <x:row r="1132" ht="42" customHeight="1">
      <x:c r="A1132" s="10" t="str">
        <x:v>S2_VIAL</x:v>
      </x:c>
      <x:c r="B1132" s="10" t="n">
        <x:v>10</x:v>
      </x:c>
      <x:c r="C1132" s="10" t="str">
        <x:v>gobernadores</x:v>
      </x:c>
      <x:c r="D1132" s="10" t="n">
        <x:f>$F$1114</x:f>
        <x:v>51.31962042172037</x:v>
      </x:c>
      <x:c r="E1132" s="10" t="n">
        <x:f>(ABS('03_Sensibilidades'!$C$67)*IF('03_Sensibilidades'!$C$67&lt;0,100-$K$341,$K$341)+ABS('03_Sensibilidades'!$C$68)*IF('03_Sensibilidades'!$C$68&lt;0,100-$K$343,$K$343)+ABS('03_Sensibilidades'!$C$69)*IF('03_Sensibilidades'!$C$69&lt;0,100-$K$342,$K$342)+ABS('03_Sensibilidades'!$C$70)*IF('03_Sensibilidades'!$C$70&lt;0,100-$K$339,$K$339))/(ABS('03_Sensibilidades'!$C$67)+ABS('03_Sensibilidades'!$C$68)+ABS('03_Sensibilidades'!$C$69)+ABS('03_Sensibilidades'!$C$70))</x:f>
        <x:v>51.41243402391614</x:v>
      </x:c>
      <x:c r="F1132" s="10" t="n">
        <x:f>(1-'00_Arquitectura'!$B$95)*D1132+'00_Arquitectura'!$B$95*E1132</x:f>
        <x:v>51.3521051824889</x:v>
      </x:c>
      <x:c r="G1132" s="10" t="n">
        <x:f>'02_Actores'!$I$23</x:f>
        <x:v>45</x:v>
      </x:c>
      <x:c r="H1132" s="10" t="n">
        <x:f>IF(OR(AND(F1132&lt;'00_Arquitectura'!$B$118,G1132&lt;'00_Arquitectura'!$B$119),F1132&lt;'00_Arquitectura'!$B$120),1,0)</x:f>
        <x:v>0</x:v>
      </x:c>
      <x:c r="I1132" s="10" t="n">
        <x:f>IF($I$1114=1,IF(OR(AND(F1132&lt;'00_Arquitectura'!$B$121,G1132&lt;'00_Arquitectura'!$B$122),F1132&lt;'00_Arquitectura'!$B$123),1,0),IF(AND(H1132=1,$H$1114=1),1,0))</x:f>
        <x:v>0</x:v>
      </x:c>
      <x:c r="J1132" s="10" t="n">
        <x:f>0</x:f>
        <x:v>0</x:v>
      </x:c>
      <x:c r="K1132" s="10" t="n">
        <x:f>$K$1115</x:f>
        <x:v>49.28781034611279</x:v>
      </x:c>
      <x:c r="L1132" s="10" t="str">
        <x:v>Conflicto activo captura menor eficacia en políticas ejecutadas en t+1. Magnitud0 en J: no es un offset directo de indicador.</x:v>
      </x:c>
    </x:row>
    <x:row r="1133" ht="34" customHeight="1">
      <x:c r="A1133" s="5" t="str">
        <x:v>S3_SALARIO</x:v>
      </x:c>
      <x:c r="B1133" s="5" t="n">
        <x:v>1</x:v>
      </x:c>
      <x:c r="C1133" s="5" t="str">
        <x:v>industria</x:v>
      </x:c>
      <x:c r="D1133" s="5"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E1133" s="5" t="n">
        <x:f>(ABS('03_Sensibilidades'!$C$6)*IF('03_Sensibilidades'!$C$6&lt;0,100-$K$352,$K$352)+ABS('03_Sensibilidades'!$C$7)*IF('03_Sensibilidades'!$C$7&lt;0,100-$K$350,$K$350)+ABS('03_Sensibilidades'!$C$8)*IF('03_Sensibilidades'!$C$8&lt;0,100-$K$355,$K$355)+ABS('03_Sensibilidades'!$C$9)*IF('03_Sensibilidades'!$C$9&lt;0,100-$K$354,$K$354))/(ABS('03_Sensibilidades'!$C$6)+ABS('03_Sensibilidades'!$C$7)+ABS('03_Sensibilidades'!$C$8)+ABS('03_Sensibilidades'!$C$9))</x:f>
        <x:v>46.48148148148148</x:v>
      </x:c>
      <x:c r="F1133" s="5" t="n">
        <x:f>(1-'00_Arquitectura'!$B$95)*D1133+'00_Arquitectura'!$B$95*E1133</x:f>
        <x:v>46.48148148148148</x:v>
      </x:c>
      <x:c r="G1133" s="5" t="n">
        <x:f>'02_Actores'!$I$6</x:f>
        <x:v>45</x:v>
      </x:c>
      <x:c r="H1133" s="5" t="n">
        <x:f>IF(OR(AND(F1133&lt;'00_Arquitectura'!$B$118,G1133&lt;'00_Arquitectura'!$B$119),F1133&lt;'00_Arquitectura'!$B$120),1,0)</x:f>
        <x:v>0</x:v>
      </x:c>
      <x:c r="I1133" s="5" t="n">
        <x:f>0</x:f>
        <x:v>0</x:v>
      </x:c>
      <x:c r="J1133" s="5" t="n">
        <x:f>-I1133*2*'02_Actores'!$E$6/10</x:f>
        <x:v>0</x:v>
      </x:c>
      <x:c r="K1133" s="5" t="n">
        <x:f>($F$1133*'02_Actores'!$F$6+$F$1134*'02_Actores'!$F$7+$F$1135*'02_Actores'!$F$8+$F$1136*'02_Actores'!$F$9+$F$1137*'02_Actores'!$F$10+$F$1138*'02_Actores'!$F$11+$F$1139*'02_Actores'!$F$12+$F$1140*'02_Actores'!$F$13+$F$1141*'02_Actores'!$F$14+$F$1142*'02_Actores'!$F$15+$F$1143*'02_Actores'!$F$16+$F$1144*'02_Actores'!$F$17+$F$1145*'02_Actores'!$F$18+$F$1146*'02_Actores'!$F$19)/('02_Actores'!$F$6+'02_Actores'!$F$7+'02_Actores'!$F$8+'02_Actores'!$F$9+'02_Actores'!$F$10+'02_Actores'!$F$11+'02_Actores'!$F$12+'02_Actores'!$F$13+'02_Actores'!$F$14+'02_Actores'!$F$15+'02_Actores'!$F$16+'02_Actores'!$F$17+'02_Actores'!$F$18+'02_Actores'!$F$19)</x:f>
        <x:v>48.759669086667884</x:v>
      </x:c>
      <x:c r="L1133" s="5" t="str">
        <x:v>J programa offset para t+1; efecto sustituible y acotado, sin voto adicional.</x:v>
      </x:c>
    </x:row>
    <x:row r="1134" ht="34" customHeight="1">
      <x:c r="A1134" s="10" t="str">
        <x:v>S3_SALARIO</x:v>
      </x:c>
      <x:c r="B1134" s="10" t="n">
        <x:v>1</x:v>
      </x:c>
      <x:c r="C1134" s="10" t="str">
        <x:v>agro</x:v>
      </x:c>
      <x:c r="D1134" s="10"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E1134" s="10" t="n">
        <x:f>(ABS('03_Sensibilidades'!$C$10)*IF('03_Sensibilidades'!$C$10&lt;0,100-$K$354,$K$354)+ABS('03_Sensibilidades'!$C$11)*IF('03_Sensibilidades'!$C$11&lt;0,100-$K$355,$K$355)+ABS('03_Sensibilidades'!$C$12)*IF('03_Sensibilidades'!$C$12&lt;0,100-$K$362,$K$362)+ABS('03_Sensibilidades'!$C$13)*IF('03_Sensibilidades'!$C$13&lt;0,100-$K$352,$K$352))/(ABS('03_Sensibilidades'!$C$10)+ABS('03_Sensibilidades'!$C$11)+ABS('03_Sensibilidades'!$C$12)+ABS('03_Sensibilidades'!$C$13))</x:f>
        <x:v>45.892857142857146</x:v>
      </x:c>
      <x:c r="F1134" s="10" t="n">
        <x:f>(1-'00_Arquitectura'!$B$95)*D1134+'00_Arquitectura'!$B$95*E1134</x:f>
        <x:v>45.892857142857146</x:v>
      </x:c>
      <x:c r="G1134" s="10" t="n">
        <x:f>'02_Actores'!$I$7</x:f>
        <x:v>45</x:v>
      </x:c>
      <x:c r="H1134" s="10" t="n">
        <x:f>IF(OR(AND(F1134&lt;'00_Arquitectura'!$B$118,G1134&lt;'00_Arquitectura'!$B$119),F1134&lt;'00_Arquitectura'!$B$120),1,0)</x:f>
        <x:v>0</x:v>
      </x:c>
      <x:c r="I1134" s="10" t="n">
        <x:f>0</x:f>
        <x:v>0</x:v>
      </x:c>
      <x:c r="J1134" s="10" t="n">
        <x:f>-I1134*2*'02_Actores'!$E$7/10</x:f>
        <x:v>0</x:v>
      </x:c>
      <x:c r="K1134" s="10" t="n">
        <x:f>$K$1133</x:f>
        <x:v>48.759669086667884</x:v>
      </x:c>
      <x:c r="L1134" s="10" t="str">
        <x:v>J programa offset para t+1; efecto sustituible y acotado, sin voto adicional.</x:v>
      </x:c>
    </x:row>
    <x:row r="1135" ht="34" customHeight="1">
      <x:c r="A1135" s="5" t="str">
        <x:v>S3_SALARIO</x:v>
      </x:c>
      <x:c r="B1135" s="5" t="n">
        <x:v>1</x:v>
      </x:c>
      <x:c r="C1135" s="5" t="str">
        <x:v>financiero</x:v>
      </x:c>
      <x:c r="D1135" s="5"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01_Indicadores'!$H$18,'01_Indicadores'!$H$18))/(ABS('03_Sensibilidades'!$C$14)+ABS('03_Sensibilidades'!$C$15)+ABS('03_Sensibilidades'!$C$16)+ABS('03_Sensibilidades'!$C$17))</x:f>
        <x:v>55</x:v>
      </x:c>
      <x:c r="E1135" s="5" t="n">
        <x:f>(ABS('03_Sensibilidades'!$C$14)*IF('03_Sensibilidades'!$C$14&lt;0,100-$K$353,$K$353)+ABS('03_Sensibilidades'!$C$15)*IF('03_Sensibilidades'!$C$15&lt;0,100-$K$349,$K$349)+ABS('03_Sensibilidades'!$C$16)*IF('03_Sensibilidades'!$C$16&lt;0,100-$K$352,$K$352)+ABS('03_Sensibilidades'!$C$17)*IF('03_Sensibilidades'!$C$17&lt;0,100-$K$361,$K$361))/(ABS('03_Sensibilidades'!$C$14)+ABS('03_Sensibilidades'!$C$15)+ABS('03_Sensibilidades'!$C$16)+ABS('03_Sensibilidades'!$C$17))</x:f>
        <x:v>55</x:v>
      </x:c>
      <x:c r="F1135" s="5" t="n">
        <x:f>(1-'00_Arquitectura'!$B$95)*D1135+'00_Arquitectura'!$B$95*E1135</x:f>
        <x:v>55</x:v>
      </x:c>
      <x:c r="G1135" s="5" t="n">
        <x:f>'02_Actores'!$I$8</x:f>
        <x:v>45</x:v>
      </x:c>
      <x:c r="H1135" s="5" t="n">
        <x:f>IF(OR(AND(F1135&lt;'00_Arquitectura'!$B$118,G1135&lt;'00_Arquitectura'!$B$119),F1135&lt;'00_Arquitectura'!$B$120),1,0)</x:f>
        <x:v>0</x:v>
      </x:c>
      <x:c r="I1135" s="5" t="n">
        <x:f>0</x:f>
        <x:v>0</x:v>
      </x:c>
      <x:c r="J1135" s="5" t="n">
        <x:f>-I1135*2*'02_Actores'!$E$8/10</x:f>
        <x:v>0</x:v>
      </x:c>
      <x:c r="K1135" s="5" t="n">
        <x:f>$K$1133</x:f>
        <x:v>48.759669086667884</x:v>
      </x:c>
      <x:c r="L1135" s="5" t="str">
        <x:v>J programa offset para t+1; efecto sustituible y acotado, sin voto adicional.</x:v>
      </x:c>
    </x:row>
    <x:row r="1136" ht="34" customHeight="1">
      <x:c r="A1136" s="10" t="str">
        <x:v>S3_SALARIO</x:v>
      </x:c>
      <x:c r="B1136" s="10" t="n">
        <x:v>1</x:v>
      </x:c>
      <x:c r="C1136" s="10" t="str">
        <x:v>sindicatos</x:v>
      </x:c>
      <x:c r="D1136" s="10"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01_Indicadores'!$H$18,'01_Indicadores'!$H$18))/(ABS('03_Sensibilidades'!$C$18)+ABS('03_Sensibilidades'!$C$19)+ABS('03_Sensibilidades'!$C$20)+ABS('03_Sensibilidades'!$C$21))</x:f>
        <x:v>47.93103448275862</x:v>
      </x:c>
      <x:c r="E1136" s="10" t="n">
        <x:f>(ABS('03_Sensibilidades'!$C$18)*IF('03_Sensibilidades'!$C$18&lt;0,100-$K$351,$K$351)+ABS('03_Sensibilidades'!$C$19)*IF('03_Sensibilidades'!$C$19&lt;0,100-$K$350,$K$350)+ABS('03_Sensibilidades'!$C$20)*IF('03_Sensibilidades'!$C$20&lt;0,100-$K$358,$K$358)+ABS('03_Sensibilidades'!$C$21)*IF('03_Sensibilidades'!$C$21&lt;0,100-$K$361,$K$361))/(ABS('03_Sensibilidades'!$C$18)+ABS('03_Sensibilidades'!$C$19)+ABS('03_Sensibilidades'!$C$20)+ABS('03_Sensibilidades'!$C$21))</x:f>
        <x:v>47.93103448275862</x:v>
      </x:c>
      <x:c r="F1136" s="10" t="n">
        <x:f>(1-'00_Arquitectura'!$B$95)*D1136+'00_Arquitectura'!$B$95*E1136</x:f>
        <x:v>47.93103448275862</x:v>
      </x:c>
      <x:c r="G1136" s="10" t="n">
        <x:f>'02_Actores'!$I$9</x:f>
        <x:v>45</x:v>
      </x:c>
      <x:c r="H1136" s="10" t="n">
        <x:f>IF(OR(AND(F1136&lt;'00_Arquitectura'!$B$118,G1136&lt;'00_Arquitectura'!$B$119),F1136&lt;'00_Arquitectura'!$B$120),1,0)</x:f>
        <x:v>0</x:v>
      </x:c>
      <x:c r="I1136" s="10" t="n">
        <x:f>0</x:f>
        <x:v>0</x:v>
      </x:c>
      <x:c r="J1136" s="10" t="n">
        <x:f>-I1136*2*'02_Actores'!$E$9/10</x:f>
        <x:v>0</x:v>
      </x:c>
      <x:c r="K1136" s="10" t="n">
        <x:f>$K$1133</x:f>
        <x:v>48.759669086667884</x:v>
      </x:c>
      <x:c r="L1136" s="10" t="str">
        <x:v>J programa offset para t+1; efecto sustituible y acotado, sin voto adicional.</x:v>
      </x:c>
    </x:row>
    <x:row r="1137" ht="34" customHeight="1">
      <x:c r="A1137" s="5" t="str">
        <x:v>S3_SALARIO</x:v>
      </x:c>
      <x:c r="B1137" s="5" t="n">
        <x:v>1</x:v>
      </x:c>
      <x:c r="C1137" s="5" t="str">
        <x:v>pymes</x:v>
      </x:c>
      <x:c r="D1137" s="5"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E1137" s="5" t="n">
        <x:f>(ABS('03_Sensibilidades'!$C$22)*IF('03_Sensibilidades'!$C$22&lt;0,100-$K$352,$K$352)+ABS('03_Sensibilidades'!$C$23)*IF('03_Sensibilidades'!$C$23&lt;0,100-$K$350,$K$350)+ABS('03_Sensibilidades'!$C$24)*IF('03_Sensibilidades'!$C$24&lt;0,100-$K$355,$K$355)+ABS('03_Sensibilidades'!$C$25)*IF('03_Sensibilidades'!$C$25&lt;0,100-$K$349,$K$349))/(ABS('03_Sensibilidades'!$C$22)+ABS('03_Sensibilidades'!$C$23)+ABS('03_Sensibilidades'!$C$24)+ABS('03_Sensibilidades'!$C$25))</x:f>
        <x:v>49.13793103448276</x:v>
      </x:c>
      <x:c r="F1137" s="5" t="n">
        <x:f>(1-'00_Arquitectura'!$B$95)*D1137+'00_Arquitectura'!$B$95*E1137</x:f>
        <x:v>49.13793103448276</x:v>
      </x:c>
      <x:c r="G1137" s="5" t="n">
        <x:f>'02_Actores'!$I$10</x:f>
        <x:v>45</x:v>
      </x:c>
      <x:c r="H1137" s="5" t="n">
        <x:f>IF(OR(AND(F1137&lt;'00_Arquitectura'!$B$118,G1137&lt;'00_Arquitectura'!$B$119),F1137&lt;'00_Arquitectura'!$B$120),1,0)</x:f>
        <x:v>0</x:v>
      </x:c>
      <x:c r="I1137" s="5" t="n">
        <x:f>0</x:f>
        <x:v>0</x:v>
      </x:c>
      <x:c r="J1137" s="5" t="n">
        <x:f>-I1137*2*'02_Actores'!$E$10/10</x:f>
        <x:v>0</x:v>
      </x:c>
      <x:c r="K1137" s="5" t="n">
        <x:f>$K$1133</x:f>
        <x:v>48.759669086667884</x:v>
      </x:c>
      <x:c r="L1137" s="5" t="str">
        <x:v>J programa offset para t+1; efecto sustituible y acotado, sin voto adicional.</x:v>
      </x:c>
    </x:row>
    <x:row r="1138" ht="34" customHeight="1">
      <x:c r="A1138" s="10" t="str">
        <x:v>S3_SALARIO</x:v>
      </x:c>
      <x:c r="B1138" s="10" t="n">
        <x:v>1</x:v>
      </x:c>
      <x:c r="C1138" s="10" t="str">
        <x:v>clase_media</x:v>
      </x:c>
      <x:c r="D1138" s="10"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E1138" s="10" t="n">
        <x:f>(ABS('03_Sensibilidades'!$C$26)*IF('03_Sensibilidades'!$C$26&lt;0,100-$K$351,$K$351)+ABS('03_Sensibilidades'!$C$27)*IF('03_Sensibilidades'!$C$27&lt;0,100-$K$359,$K$359)+ABS('03_Sensibilidades'!$C$28)*IF('03_Sensibilidades'!$C$28&lt;0,100-$K$356,$K$356)+ABS('03_Sensibilidades'!$C$29)*IF('03_Sensibilidades'!$C$29&lt;0,100-$K$349,$K$349))/(ABS('03_Sensibilidades'!$C$26)+ABS('03_Sensibilidades'!$C$27)+ABS('03_Sensibilidades'!$C$28)+ABS('03_Sensibilidades'!$C$29))</x:f>
        <x:v>48.333333333333336</x:v>
      </x:c>
      <x:c r="F1138" s="10" t="n">
        <x:f>(1-'00_Arquitectura'!$B$95)*D1138+'00_Arquitectura'!$B$95*E1138</x:f>
        <x:v>48.333333333333336</x:v>
      </x:c>
      <x:c r="G1138" s="10" t="n">
        <x:f>'02_Actores'!$I$11</x:f>
        <x:v>45</x:v>
      </x:c>
      <x:c r="H1138" s="10" t="n">
        <x:f>IF(OR(AND(F1138&lt;'00_Arquitectura'!$B$118,G1138&lt;'00_Arquitectura'!$B$119),F1138&lt;'00_Arquitectura'!$B$120),1,0)</x:f>
        <x:v>0</x:v>
      </x:c>
      <x:c r="I1138" s="10" t="n">
        <x:f>0</x:f>
        <x:v>0</x:v>
      </x:c>
      <x:c r="J1138" s="10" t="n">
        <x:f>0</x:f>
        <x:v>0</x:v>
      </x:c>
      <x:c r="K1138" s="10" t="n">
        <x:f>$K$1133</x:f>
        <x:v>48.759669086667884</x:v>
      </x:c>
      <x:c r="L1138" s="10" t="str">
        <x:v>Canal directo sólo al índice social; sin bono de popularidad.</x:v>
      </x:c>
    </x:row>
    <x:row r="1139" ht="34" customHeight="1">
      <x:c r="A1139" s="5" t="str">
        <x:v>S3_SALARIO</x:v>
      </x:c>
      <x:c r="B1139" s="5" t="n">
        <x:v>1</x:v>
      </x:c>
      <x:c r="C1139" s="5" t="str">
        <x:v>cooperativas</x:v>
      </x:c>
      <x:c r="D1139" s="5"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01_Indicadores'!$H$18,'01_Indicadores'!$H$18))/(ABS('03_Sensibilidades'!$C$30)+ABS('03_Sensibilidades'!$C$31)+ABS('03_Sensibilidades'!$C$32)+ABS('03_Sensibilidades'!$C$33))</x:f>
        <x:v>47.77777777777778</x:v>
      </x:c>
      <x:c r="E1139" s="5" t="n">
        <x:f>(ABS('03_Sensibilidades'!$C$30)*IF('03_Sensibilidades'!$C$30&lt;0,100-$K$352,$K$352)+ABS('03_Sensibilidades'!$C$31)*IF('03_Sensibilidades'!$C$31&lt;0,100-$K$350,$K$350)+ABS('03_Sensibilidades'!$C$32)*IF('03_Sensibilidades'!$C$32&lt;0,100-$K$358,$K$358)+ABS('03_Sensibilidades'!$C$33)*IF('03_Sensibilidades'!$C$33&lt;0,100-$K$361,$K$361))/(ABS('03_Sensibilidades'!$C$30)+ABS('03_Sensibilidades'!$C$31)+ABS('03_Sensibilidades'!$C$32)+ABS('03_Sensibilidades'!$C$33))</x:f>
        <x:v>47.77777777777778</x:v>
      </x:c>
      <x:c r="F1139" s="5" t="n">
        <x:f>(1-'00_Arquitectura'!$B$95)*D1139+'00_Arquitectura'!$B$95*E1139</x:f>
        <x:v>47.77777777777778</x:v>
      </x:c>
      <x:c r="G1139" s="5" t="n">
        <x:f>'02_Actores'!$I$12</x:f>
        <x:v>45</x:v>
      </x:c>
      <x:c r="H1139" s="5" t="n">
        <x:f>IF(OR(AND(F1139&lt;'00_Arquitectura'!$B$118,G1139&lt;'00_Arquitectura'!$B$119),F1139&lt;'00_Arquitectura'!$B$120),1,0)</x:f>
        <x:v>0</x:v>
      </x:c>
      <x:c r="I1139" s="5" t="n">
        <x:f>0</x:f>
        <x:v>0</x:v>
      </x:c>
      <x:c r="J1139" s="5" t="n">
        <x:f>-I1139*1.5*'02_Actores'!$E$12/10</x:f>
        <x:v>0</x:v>
      </x:c>
      <x:c r="K1139" s="5" t="n">
        <x:f>$K$1133</x:f>
        <x:v>48.759669086667884</x:v>
      </x:c>
      <x:c r="L1139" s="5" t="str">
        <x:v>J programa offset para t+1; efecto sustituible y acotado, sin voto adicional.</x:v>
      </x:c>
    </x:row>
    <x:row r="1140" ht="42" customHeight="1">
      <x:c r="A1140" s="10" t="str">
        <x:v>S3_SALARIO</x:v>
      </x:c>
      <x:c r="B1140" s="10" t="n">
        <x:v>1</x:v>
      </x:c>
      <x:c r="C1140" s="10" t="str">
        <x:v>estudiantes</x:v>
      </x:c>
      <x:c r="D1140" s="10" t="n">
        <x:f>(ABS('03_Sensibilidades'!$C$34)*IF('03_Sensibilidades'!$C$34&lt;0,100-'01_Indicadores'!$H$13,'01_Indicadores'!$H$13)+ABS('03_Sensibilidades'!$C$35)*IF('03_Sensibilidades'!$C$35&lt;0,100-'01_Indicadores'!$H$8,'01_Indicadores'!$H$8)+ABS('03_Sensibilidades'!$C$36)*IF('03_Sensibilidades'!$C$36&lt;0,100-'01_Indicadores'!$H$18,'01_Indicadores'!$H$18)+ABS('03_Sensibilidades'!$C$37)*IF('03_Sensibilidades'!$C$37&lt;0,100-'01_Indicadores'!$H$17,'01_Indicadores'!$H$17))/(ABS('03_Sensibilidades'!$C$34)+ABS('03_Sensibilidades'!$C$35)+ABS('03_Sensibilidades'!$C$36)+ABS('03_Sensibilidades'!$C$37))</x:f>
        <x:v>49.2</x:v>
      </x:c>
      <x:c r="E1140" s="10" t="n">
        <x:f>(ABS('03_Sensibilidades'!$C$34)*IF('03_Sensibilidades'!$C$34&lt;0,100-$K$356,$K$356)+ABS('03_Sensibilidades'!$C$35)*IF('03_Sensibilidades'!$C$35&lt;0,100-$K$351,$K$351)+ABS('03_Sensibilidades'!$C$36)*IF('03_Sensibilidades'!$C$36&lt;0,100-$K$361,$K$361)+ABS('03_Sensibilidades'!$C$37)*IF('03_Sensibilidades'!$C$37&lt;0,100-$K$360,$K$360))/(ABS('03_Sensibilidades'!$C$34)+ABS('03_Sensibilidades'!$C$35)+ABS('03_Sensibilidades'!$C$36)+ABS('03_Sensibilidades'!$C$37))</x:f>
        <x:v>49.2</x:v>
      </x:c>
      <x:c r="F1140" s="10" t="n">
        <x:f>(1-'00_Arquitectura'!$B$95)*D1140+'00_Arquitectura'!$B$95*E1140</x:f>
        <x:v>49.2</x:v>
      </x:c>
      <x:c r="G1140" s="10" t="n">
        <x:f>'02_Actores'!$I$13</x:f>
        <x:v>45</x:v>
      </x:c>
      <x:c r="H1140" s="10" t="n">
        <x:f>IF(OR(AND(F1140&lt;'00_Arquitectura'!$B$118,G1140&lt;'00_Arquitectura'!$B$119),F1140&lt;'00_Arquitectura'!$B$120),1,0)</x:f>
        <x:v>0</x:v>
      </x:c>
      <x:c r="I1140" s="10" t="n">
        <x:f>0</x:f>
        <x:v>0</x:v>
      </x:c>
      <x:c r="J1140" s="10" t="n">
        <x:f>0</x:f>
        <x:v>0</x:v>
      </x:c>
      <x:c r="K1140" s="10" t="n">
        <x:f>$K$1133</x:f>
        <x:v>48.759669086667884</x:v>
      </x:c>
      <x:c r="L1140" s="10" t="str">
        <x:v>Conflicto activo captura menor eficacia en políticas ejecutadas en t+1. Magnitud0 en J: no es un offset directo de indicador.</x:v>
      </x:c>
    </x:row>
    <x:row r="1141" ht="34" customHeight="1">
      <x:c r="A1141" s="5" t="str">
        <x:v>S3_SALARIO</x:v>
      </x:c>
      <x:c r="B1141" s="5" t="n">
        <x:v>1</x:v>
      </x:c>
      <x:c r="C1141" s="5" t="str">
        <x:v>docentes</x:v>
      </x:c>
      <x:c r="D1141" s="5" t="n">
        <x:f>(ABS('03_Sensibilidades'!$C$38)*IF('03_Sensibilidades'!$C$38&lt;0,100-'01_Indicadores'!$H$13,'01_Indicadores'!$H$13)+ABS('03_Sensibilidades'!$C$39)*IF('03_Sensibilidades'!$C$39&lt;0,100-'01_Indicadores'!$H$8,'01_Indicadores'!$H$8)+ABS('03_Sensibilidades'!$C$40)*IF('03_Sensibilidades'!$C$40&lt;0,100-'01_Indicadores'!$H$18,'01_Indicadores'!$H$18))/(ABS('03_Sensibilidades'!$C$38)+ABS('03_Sensibilidades'!$C$39)+ABS('03_Sensibilidades'!$C$40))</x:f>
        <x:v>48.91304347826087</x:v>
      </x:c>
      <x:c r="E1141" s="5" t="n">
        <x:f>(ABS('03_Sensibilidades'!$C$38)*IF('03_Sensibilidades'!$C$38&lt;0,100-$K$356,$K$356)+ABS('03_Sensibilidades'!$C$39)*IF('03_Sensibilidades'!$C$39&lt;0,100-$K$351,$K$351)+ABS('03_Sensibilidades'!$C$40)*IF('03_Sensibilidades'!$C$40&lt;0,100-$K$361,$K$361))/(ABS('03_Sensibilidades'!$C$38)+ABS('03_Sensibilidades'!$C$39)+ABS('03_Sensibilidades'!$C$40))</x:f>
        <x:v>48.91304347826087</x:v>
      </x:c>
      <x:c r="F1141" s="5" t="n">
        <x:f>(1-'00_Arquitectura'!$B$95)*D1141+'00_Arquitectura'!$B$95*E1141</x:f>
        <x:v>48.91304347826087</x:v>
      </x:c>
      <x:c r="G1141" s="5" t="n">
        <x:f>'02_Actores'!$I$14</x:f>
        <x:v>45</x:v>
      </x:c>
      <x:c r="H1141" s="5" t="n">
        <x:f>IF(OR(AND(F1141&lt;'00_Arquitectura'!$B$118,G1141&lt;'00_Arquitectura'!$B$119),F1141&lt;'00_Arquitectura'!$B$120),1,0)</x:f>
        <x:v>0</x:v>
      </x:c>
      <x:c r="I1141" s="5" t="n">
        <x:f>0</x:f>
        <x:v>0</x:v>
      </x:c>
      <x:c r="J1141" s="5" t="n">
        <x:f>-I1141*1.5*'02_Actores'!$E$14/10</x:f>
        <x:v>0</x:v>
      </x:c>
      <x:c r="K1141" s="5" t="n">
        <x:f>$K$1133</x:f>
        <x:v>48.759669086667884</x:v>
      </x:c>
      <x:c r="L1141" s="5" t="str">
        <x:v>J programa offset para t+1; efecto sustituible y acotado, sin voto adicional.</x:v>
      </x:c>
    </x:row>
    <x:row r="1142" ht="34" customHeight="1">
      <x:c r="A1142" s="10" t="str">
        <x:v>S3_SALARIO</x:v>
      </x:c>
      <x:c r="B1142" s="10" t="n">
        <x:v>1</x:v>
      </x:c>
      <x:c r="C1142" s="10" t="str">
        <x:v>cientificos</x:v>
      </x:c>
      <x:c r="D1142" s="10" t="n">
        <x:f>(ABS('03_Sensibilidades'!$C$41)*IF('03_Sensibilidades'!$C$41&lt;0,100-'01_Indicadores'!$H$17,'01_Indicadores'!$H$17)+ABS('03_Sensibilidades'!$C$42)*IF('03_Sensibilidades'!$C$42&lt;0,100-'01_Indicadores'!$H$13,'01_Indicadores'!$H$13)+ABS('03_Sensibilidades'!$C$43)*IF('03_Sensibilidades'!$C$43&lt;0,100-'01_Indicadores'!$H$18,'01_Indicadores'!$H$18))/(ABS('03_Sensibilidades'!$C$41)+ABS('03_Sensibilidades'!$C$42)+ABS('03_Sensibilidades'!$C$43))</x:f>
        <x:v>46.59090909090909</x:v>
      </x:c>
      <x:c r="E1142" s="10" t="n">
        <x:f>(ABS('03_Sensibilidades'!$C$41)*IF('03_Sensibilidades'!$C$41&lt;0,100-$K$360,$K$360)+ABS('03_Sensibilidades'!$C$42)*IF('03_Sensibilidades'!$C$42&lt;0,100-$K$356,$K$356)+ABS('03_Sensibilidades'!$C$43)*IF('03_Sensibilidades'!$C$43&lt;0,100-$K$361,$K$361))/(ABS('03_Sensibilidades'!$C$41)+ABS('03_Sensibilidades'!$C$42)+ABS('03_Sensibilidades'!$C$43))</x:f>
        <x:v>46.59090909090909</x:v>
      </x:c>
      <x:c r="F1142" s="10" t="n">
        <x:f>(1-'00_Arquitectura'!$B$95)*D1142+'00_Arquitectura'!$B$95*E1142</x:f>
        <x:v>46.59090909090909</x:v>
      </x:c>
      <x:c r="G1142" s="10" t="n">
        <x:f>'02_Actores'!$I$15</x:f>
        <x:v>45</x:v>
      </x:c>
      <x:c r="H1142" s="10" t="n">
        <x:f>IF(OR(AND(F1142&lt;'00_Arquitectura'!$B$118,G1142&lt;'00_Arquitectura'!$B$119),F1142&lt;'00_Arquitectura'!$B$120),1,0)</x:f>
        <x:v>0</x:v>
      </x:c>
      <x:c r="I1142" s="10" t="n">
        <x:f>0</x:f>
        <x:v>0</x:v>
      </x:c>
      <x:c r="J1142" s="10" t="n">
        <x:f>-I1142*1.5*'02_Actores'!$E$15/10</x:f>
        <x:v>0</x:v>
      </x:c>
      <x:c r="K1142" s="10" t="n">
        <x:f>$K$1133</x:f>
        <x:v>48.759669086667884</x:v>
      </x:c>
      <x:c r="L1142" s="10" t="str">
        <x:v>J programa offset para t+1; efecto sustituible y acotado, sin voto adicional.</x:v>
      </x:c>
    </x:row>
    <x:row r="1143" ht="34" customHeight="1">
      <x:c r="A1143" s="5" t="str">
        <x:v>S3_SALARIO</x:v>
      </x:c>
      <x:c r="B1143" s="5" t="n">
        <x:v>1</x:v>
      </x:c>
      <x:c r="C1143" s="5" t="str">
        <x:v>organizaciones</x:v>
      </x:c>
      <x:c r="D1143" s="5"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01_Indicadores'!$H$18,'01_Indicadores'!$H$18))/(ABS('03_Sensibilidades'!$C$44)+ABS('03_Sensibilidades'!$C$45)+ABS('03_Sensibilidades'!$C$46)+ABS('03_Sensibilidades'!$C$47))</x:f>
        <x:v>49.107142857142854</x:v>
      </x:c>
      <x:c r="E1143" s="5" t="n">
        <x:f>(ABS('03_Sensibilidades'!$C$44)*IF('03_Sensibilidades'!$C$44&lt;0,100-$K$358,$K$358)+ABS('03_Sensibilidades'!$C$45)*IF('03_Sensibilidades'!$C$45&lt;0,100-$K$357,$K$357)+ABS('03_Sensibilidades'!$C$46)*IF('03_Sensibilidades'!$C$46&lt;0,100-$K$350,$K$350)+ABS('03_Sensibilidades'!$C$47)*IF('03_Sensibilidades'!$C$47&lt;0,100-$K$361,$K$361))/(ABS('03_Sensibilidades'!$C$44)+ABS('03_Sensibilidades'!$C$45)+ABS('03_Sensibilidades'!$C$46)+ABS('03_Sensibilidades'!$C$47))</x:f>
        <x:v>49.107142857142854</x:v>
      </x:c>
      <x:c r="F1143" s="5" t="n">
        <x:f>(1-'00_Arquitectura'!$B$95)*D1143+'00_Arquitectura'!$B$95*E1143</x:f>
        <x:v>49.107142857142854</x:v>
      </x:c>
      <x:c r="G1143" s="5" t="n">
        <x:f>'02_Actores'!$I$16</x:f>
        <x:v>45</x:v>
      </x:c>
      <x:c r="H1143" s="5" t="n">
        <x:f>IF(OR(AND(F1143&lt;'00_Arquitectura'!$B$118,G1143&lt;'00_Arquitectura'!$B$119),F1143&lt;'00_Arquitectura'!$B$120),1,0)</x:f>
        <x:v>0</x:v>
      </x:c>
      <x:c r="I1143" s="5" t="n">
        <x:f>0</x:f>
        <x:v>0</x:v>
      </x:c>
      <x:c r="J1143" s="5" t="n">
        <x:f>-I1143*1.5*'02_Actores'!$E$16/10</x:f>
        <x:v>0</x:v>
      </x:c>
      <x:c r="K1143" s="5" t="n">
        <x:f>$K$1133</x:f>
        <x:v>48.759669086667884</x:v>
      </x:c>
      <x:c r="L1143" s="5" t="str">
        <x:v>J programa offset para t+1; efecto sustituible y acotado, sin voto adicional.</x:v>
      </x:c>
    </x:row>
    <x:row r="1144" ht="42" customHeight="1">
      <x:c r="A1144" s="10" t="str">
        <x:v>S3_SALARIO</x:v>
      </x:c>
      <x:c r="B1144" s="10" t="n">
        <x:v>1</x:v>
      </x:c>
      <x:c r="C1144" s="10" t="str">
        <x:v>ddhh</x:v>
      </x:c>
      <x:c r="D1144" s="10" t="n">
        <x:f>(ABS('03_Sensibilidades'!$C$48)*IF('03_Sensibilidades'!$C$48&lt;0,100-'01_Indicadores'!$H$18,'01_Indicadores'!$H$18)+ABS('03_Sensibilidades'!$C$49)*IF('03_Sensibilidades'!$C$49&lt;0,100-'01_Indicadores'!$H$16,'01_Indicadores'!$H$16)+ABS('03_Sensibilidades'!$C$50)*IF('03_Sensibilidades'!$C$50&lt;0,100-'01_Indicadores'!$H$15,'01_Indicadores'!$H$15))/(ABS('03_Sensibilidades'!$C$48)+ABS('03_Sensibilidades'!$C$49)+ABS('03_Sensibilidades'!$C$50))</x:f>
        <x:v>50.88235294117647</x:v>
      </x:c>
      <x:c r="E1144" s="10" t="n">
        <x:f>(ABS('03_Sensibilidades'!$C$48)*IF('03_Sensibilidades'!$C$48&lt;0,100-$K$361,$K$361)+ABS('03_Sensibilidades'!$C$49)*IF('03_Sensibilidades'!$C$49&lt;0,100-$K$359,$K$359)+ABS('03_Sensibilidades'!$C$50)*IF('03_Sensibilidades'!$C$50&lt;0,100-$K$358,$K$358))/(ABS('03_Sensibilidades'!$C$48)+ABS('03_Sensibilidades'!$C$49)+ABS('03_Sensibilidades'!$C$50))</x:f>
        <x:v>50.88235294117647</x:v>
      </x:c>
      <x:c r="F1144" s="10" t="n">
        <x:f>(1-'00_Arquitectura'!$B$95)*D1144+'00_Arquitectura'!$B$95*E1144</x:f>
        <x:v>50.88235294117648</x:v>
      </x:c>
      <x:c r="G1144" s="10" t="n">
        <x:f>'02_Actores'!$I$17</x:f>
        <x:v>45</x:v>
      </x:c>
      <x:c r="H1144" s="10" t="n">
        <x:f>IF(OR(AND(F1144&lt;'00_Arquitectura'!$B$118,G1144&lt;'00_Arquitectura'!$B$119),F1144&lt;'00_Arquitectura'!$B$120),1,0)</x:f>
        <x:v>0</x:v>
      </x:c>
      <x:c r="I1144" s="10" t="n">
        <x:f>0</x:f>
        <x:v>0</x:v>
      </x:c>
      <x:c r="J1144" s="10" t="n">
        <x:f>0</x:f>
        <x:v>0</x:v>
      </x:c>
      <x:c r="K1144" s="10" t="n">
        <x:f>$K$1133</x:f>
        <x:v>48.759669086667884</x:v>
      </x:c>
      <x:c r="L1144" s="10" t="str">
        <x:v>Conflicto activo captura menor eficacia en políticas ejecutadas en t+1. Magnitud0 en J: no es un offset directo de indicador.</x:v>
      </x:c>
    </x:row>
    <x:row r="1145" ht="42" customHeight="1">
      <x:c r="A1145" s="5" t="str">
        <x:v>S3_SALARIO</x:v>
      </x:c>
      <x:c r="B1145" s="5" t="n">
        <x:v>1</x:v>
      </x:c>
      <x:c r="C1145" s="5" t="str">
        <x:v>ambientalistas</x:v>
      </x:c>
      <x:c r="D1145" s="5" t="n">
        <x:f>(ABS('03_Sensibilidades'!$C$51)*IF('03_Sensibilidades'!$C$51&lt;0,100-'01_Indicadores'!$H$19,'01_Indicadores'!$H$19)+ABS('03_Sensibilidades'!$C$52)*IF('03_Sensibilidades'!$C$52&lt;0,100-'01_Indicadores'!$H$18,'01_Indicadores'!$H$18)+ABS('03_Sensibilidades'!$C$53)*IF('03_Sensibilidades'!$C$53&lt;0,100-'01_Indicadores'!$H$14,'01_Indicadores'!$H$14))/(ABS('03_Sensibilidades'!$C$51)+ABS('03_Sensibilidades'!$C$52)+ABS('03_Sensibilidades'!$C$53))</x:f>
        <x:v>51.388888888888886</x:v>
      </x:c>
      <x:c r="E1145" s="5" t="n">
        <x:f>(ABS('03_Sensibilidades'!$C$51)*IF('03_Sensibilidades'!$C$51&lt;0,100-$K$362,$K$362)+ABS('03_Sensibilidades'!$C$52)*IF('03_Sensibilidades'!$C$52&lt;0,100-$K$361,$K$361)+ABS('03_Sensibilidades'!$C$53)*IF('03_Sensibilidades'!$C$53&lt;0,100-$K$357,$K$357))/(ABS('03_Sensibilidades'!$C$51)+ABS('03_Sensibilidades'!$C$52)+ABS('03_Sensibilidades'!$C$53))</x:f>
        <x:v>51.388888888888886</x:v>
      </x:c>
      <x:c r="F1145" s="5" t="n">
        <x:f>(1-'00_Arquitectura'!$B$95)*D1145+'00_Arquitectura'!$B$95*E1145</x:f>
        <x:v>51.388888888888886</x:v>
      </x:c>
      <x:c r="G1145" s="5" t="n">
        <x:f>'02_Actores'!$I$18</x:f>
        <x:v>45</x:v>
      </x:c>
      <x:c r="H1145" s="5" t="n">
        <x:f>IF(OR(AND(F1145&lt;'00_Arquitectura'!$B$118,G1145&lt;'00_Arquitectura'!$B$119),F1145&lt;'00_Arquitectura'!$B$120),1,0)</x:f>
        <x:v>0</x:v>
      </x:c>
      <x:c r="I1145" s="5" t="n">
        <x:f>0</x:f>
        <x:v>0</x:v>
      </x:c>
      <x:c r="J1145" s="5" t="n">
        <x:f>0</x:f>
        <x:v>0</x:v>
      </x:c>
      <x:c r="K1145" s="5" t="n">
        <x:f>$K$1133</x:f>
        <x:v>48.759669086667884</x:v>
      </x:c>
      <x:c r="L1145" s="5" t="str">
        <x:v>Conflicto activo captura menor eficacia en políticas ejecutadas en t+1. Magnitud0 en J: no es un offset directo de indicador.</x:v>
      </x:c>
    </x:row>
    <x:row r="1146" ht="34" customHeight="1">
      <x:c r="A1146" s="10" t="str">
        <x:v>S3_SALARIO</x:v>
      </x:c>
      <x:c r="B1146" s="10" t="n">
        <x:v>1</x:v>
      </x:c>
      <x:c r="C1146" s="10" t="str">
        <x:v>cultura</x:v>
      </x:c>
      <x:c r="D1146" s="10" t="n">
        <x:f>(ABS('03_Sensibilidades'!$C$54)*IF('03_Sensibilidades'!$C$54&lt;0,100-'01_Indicadores'!$H$18,'01_Indicadores'!$H$18)+ABS('03_Sensibilidades'!$C$55)*IF('03_Sensibilidades'!$C$55&lt;0,100-'01_Indicadores'!$H$13,'01_Indicadores'!$H$13)+ABS('03_Sensibilidades'!$C$56)*IF('03_Sensibilidades'!$C$56&lt;0,100-'01_Indicadores'!$H$8,'01_Indicadores'!$H$8))/(ABS('03_Sensibilidades'!$C$54)+ABS('03_Sensibilidades'!$C$55)+ABS('03_Sensibilidades'!$C$56))</x:f>
        <x:v>50.78947368421053</x:v>
      </x:c>
      <x:c r="E1146" s="10" t="n">
        <x:f>(ABS('03_Sensibilidades'!$C$54)*IF('03_Sensibilidades'!$C$54&lt;0,100-$K$361,$K$361)+ABS('03_Sensibilidades'!$C$55)*IF('03_Sensibilidades'!$C$55&lt;0,100-$K$356,$K$356)+ABS('03_Sensibilidades'!$C$56)*IF('03_Sensibilidades'!$C$56&lt;0,100-$K$351,$K$351))/(ABS('03_Sensibilidades'!$C$54)+ABS('03_Sensibilidades'!$C$55)+ABS('03_Sensibilidades'!$C$56))</x:f>
        <x:v>50.78947368421053</x:v>
      </x:c>
      <x:c r="F1146" s="10" t="n">
        <x:f>(1-'00_Arquitectura'!$B$95)*D1146+'00_Arquitectura'!$B$95*E1146</x:f>
        <x:v>50.78947368421053</x:v>
      </x:c>
      <x:c r="G1146" s="10" t="n">
        <x:f>'02_Actores'!$I$19</x:f>
        <x:v>45</x:v>
      </x:c>
      <x:c r="H1146" s="10" t="n">
        <x:f>IF(OR(AND(F1146&lt;'00_Arquitectura'!$B$118,G1146&lt;'00_Arquitectura'!$B$119),F1146&lt;'00_Arquitectura'!$B$120),1,0)</x:f>
        <x:v>0</x:v>
      </x:c>
      <x:c r="I1146" s="10" t="n">
        <x:f>0</x:f>
        <x:v>0</x:v>
      </x:c>
      <x:c r="J1146" s="10" t="n">
        <x:f>0</x:f>
        <x:v>0</x:v>
      </x:c>
      <x:c r="K1146" s="10" t="n">
        <x:f>$K$1133</x:f>
        <x:v>48.759669086667884</x:v>
      </x:c>
      <x:c r="L1146" s="10" t="str">
        <x:v>Conflicto activo encarece agenda del turno siguiente; sin castigo electoral adicional.</x:v>
      </x:c>
    </x:row>
    <x:row r="1147" ht="34" customHeight="1">
      <x:c r="A1147" s="5" t="str">
        <x:v>S3_SALARIO</x:v>
      </x:c>
      <x:c r="B1147" s="5" t="n">
        <x:v>1</x:v>
      </x:c>
      <x:c r="C1147" s="5" t="str">
        <x:v>oficialismo</x:v>
      </x:c>
      <x:c r="D1147" s="5" t="n">
        <x:f>(ABS('03_Sensibilidades'!$C$57)*IF('03_Sensibilidades'!$C$57&lt;0,100-'01_Indicadores'!$H$18,'01_Indicadores'!$H$18)+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52.12</x:v>
      </x:c>
      <x:c r="E1147" s="5" t="n">
        <x:f>(ABS('03_Sensibilidades'!$C$57)*IF('03_Sensibilidades'!$C$57&lt;0,100-$K$361,$K$361)+ABS('03_Sensibilidades'!$C$58)*IF('03_Sensibilidades'!$C$58&lt;0,100-$K$350,$K$350)+ABS('03_Sensibilidades'!$C$59)*IF('03_Sensibilidades'!$C$59&lt;0,100-$K$353,$K$353)+ABS('03_Sensibilidades'!$C$60)*IF('03_Sensibilidades'!$C$60&lt;0,100-$K$358,$K$358))/(ABS('03_Sensibilidades'!$C$57)+ABS('03_Sensibilidades'!$C$58)+ABS('03_Sensibilidades'!$C$59)+ABS('03_Sensibilidades'!$C$60))</x:f>
        <x:v>52.12</x:v>
      </x:c>
      <x:c r="F1147" s="5" t="n">
        <x:f>(1-'00_Arquitectura'!$B$95)*D1147+'00_Arquitectura'!$B$95*E1147</x:f>
        <x:v>52.12</x:v>
      </x:c>
      <x:c r="G1147" s="5" t="n">
        <x:f>'02_Actores'!$I$20</x:f>
        <x:v>60</x:v>
      </x:c>
      <x:c r="H1147" s="5" t="n">
        <x:f>IF(OR(AND(F1147&lt;'00_Arquitectura'!$B$118,G1147&lt;'00_Arquitectura'!$B$119),F1147&lt;'00_Arquitectura'!$B$120),1,0)</x:f>
        <x:v>0</x:v>
      </x:c>
      <x:c r="I1147" s="5" t="n">
        <x:f>0</x:f>
        <x:v>0</x:v>
      </x:c>
      <x:c r="J1147" s="5" t="n">
        <x:f>0</x:f>
        <x:v>0</x:v>
      </x:c>
      <x:c r="K1147" s="5" t="n">
        <x:f>$K$1133</x:f>
        <x:v>48.759669086667884</x:v>
      </x:c>
      <x:c r="L1147" s="5" t="str">
        <x:v>No aporta E_social; S y R alimentan disposición a leyes según07.</x:v>
      </x:c>
    </x:row>
    <x:row r="1148" ht="34" customHeight="1">
      <x:c r="A1148" s="10" t="str">
        <x:v>S3_SALARIO</x:v>
      </x:c>
      <x:c r="B1148" s="10" t="n">
        <x:v>1</x:v>
      </x:c>
      <x:c r="C1148" s="10" t="str">
        <x:v>aliados</x:v>
      </x:c>
      <x:c r="D1148" s="10" t="n">
        <x:f>(ABS('03_Sensibilidades'!$C$61)*IF('03_Sensibilidades'!$C$61&lt;0,100-'01_Indicadores'!$H$18,'01_Indicadores'!$H$18)+ABS('03_Sensibilidades'!$C$62)*IF('03_Sensibilidades'!$C$62&lt;0,100-'01_Indicadores'!$H$10,'01_Indicadores'!$H$10)+ABS('03_Sensibilidades'!$C$63)*IF('03_Sensibilidades'!$C$63&lt;0,100-'01_Indicadores'!$H$12,'01_Indicadores'!$H$12))/(ABS('03_Sensibilidades'!$C$61)+ABS('03_Sensibilidades'!$C$62)+ABS('03_Sensibilidades'!$C$63))</x:f>
        <x:v>53.142857142857146</x:v>
      </x:c>
      <x:c r="E1148" s="10" t="n">
        <x:f>(ABS('03_Sensibilidades'!$C$61)*IF('03_Sensibilidades'!$C$61&lt;0,100-$K$361,$K$361)+ABS('03_Sensibilidades'!$C$62)*IF('03_Sensibilidades'!$C$62&lt;0,100-$K$353,$K$353)+ABS('03_Sensibilidades'!$C$63)*IF('03_Sensibilidades'!$C$63&lt;0,100-$K$355,$K$355))/(ABS('03_Sensibilidades'!$C$61)+ABS('03_Sensibilidades'!$C$62)+ABS('03_Sensibilidades'!$C$63))</x:f>
        <x:v>53.142857142857146</x:v>
      </x:c>
      <x:c r="F1148" s="10" t="n">
        <x:f>(1-'00_Arquitectura'!$B$95)*D1148+'00_Arquitectura'!$B$95*E1148</x:f>
        <x:v>53.142857142857146</x:v>
      </x:c>
      <x:c r="G1148" s="10" t="n">
        <x:f>'02_Actores'!$I$21</x:f>
        <x:v>45</x:v>
      </x:c>
      <x:c r="H1148" s="10" t="n">
        <x:f>IF(OR(AND(F1148&lt;'00_Arquitectura'!$B$118,G1148&lt;'00_Arquitectura'!$B$119),F1148&lt;'00_Arquitectura'!$B$120),1,0)</x:f>
        <x:v>0</x:v>
      </x:c>
      <x:c r="I1148" s="10" t="n">
        <x:f>0</x:f>
        <x:v>0</x:v>
      </x:c>
      <x:c r="J1148" s="10" t="n">
        <x:f>0</x:f>
        <x:v>0</x:v>
      </x:c>
      <x:c r="K1148" s="10" t="n">
        <x:f>$K$1133</x:f>
        <x:v>48.759669086667884</x:v>
      </x:c>
      <x:c r="L1148" s="10" t="str">
        <x:v>No aporta E_social; S y R alimentan disposición a leyes según07.</x:v>
      </x:c>
    </x:row>
    <x:row r="1149" ht="34" customHeight="1">
      <x:c r="A1149" s="5" t="str">
        <x:v>S3_SALARIO</x:v>
      </x:c>
      <x:c r="B1149" s="5" t="n">
        <x:v>1</x:v>
      </x:c>
      <x:c r="C1149" s="5" t="str">
        <x:v>oposicion</x:v>
      </x:c>
      <x:c r="D1149" s="5" t="n">
        <x:f>(ABS('03_Sensibilidades'!$C$64)*IF('03_Sensibilidades'!$C$64&lt;0,100-'01_Indicadores'!$H$18,'01_Indicadores'!$H$18)+ABS('03_Sensibilidades'!$C$65)*IF('03_Sensibilidades'!$C$65&lt;0,100-'01_Indicadores'!$H$10,'01_Indicadores'!$H$10)+ABS('03_Sensibilidades'!$C$66)*IF('03_Sensibilidades'!$C$66&lt;0,100-'01_Indicadores'!$H$16,'01_Indicadores'!$H$16))/(ABS('03_Sensibilidades'!$C$64)+ABS('03_Sensibilidades'!$C$65)+ABS('03_Sensibilidades'!$C$66))</x:f>
        <x:v>53.9</x:v>
      </x:c>
      <x:c r="E1149" s="5" t="n">
        <x:f>(ABS('03_Sensibilidades'!$C$64)*IF('03_Sensibilidades'!$C$64&lt;0,100-$K$361,$K$361)+ABS('03_Sensibilidades'!$C$65)*IF('03_Sensibilidades'!$C$65&lt;0,100-$K$353,$K$353)+ABS('03_Sensibilidades'!$C$66)*IF('03_Sensibilidades'!$C$66&lt;0,100-$K$359,$K$359))/(ABS('03_Sensibilidades'!$C$64)+ABS('03_Sensibilidades'!$C$65)+ABS('03_Sensibilidades'!$C$66))</x:f>
        <x:v>53.9</x:v>
      </x:c>
      <x:c r="F1149" s="5" t="n">
        <x:f>(1-'00_Arquitectura'!$B$95)*D1149+'00_Arquitectura'!$B$95*E1149</x:f>
        <x:v>53.900000000000006</x:v>
      </x:c>
      <x:c r="G1149" s="5" t="n">
        <x:f>'02_Actores'!$I$22</x:f>
        <x:v>30</x:v>
      </x:c>
      <x:c r="H1149" s="5" t="n">
        <x:f>IF(OR(AND(F1149&lt;'00_Arquitectura'!$B$118,G1149&lt;'00_Arquitectura'!$B$119),F1149&lt;'00_Arquitectura'!$B$120),1,0)</x:f>
        <x:v>0</x:v>
      </x:c>
      <x:c r="I1149" s="5" t="n">
        <x:f>0</x:f>
        <x:v>0</x:v>
      </x:c>
      <x:c r="J1149" s="5" t="n">
        <x:f>0</x:f>
        <x:v>0</x:v>
      </x:c>
      <x:c r="K1149" s="5" t="n">
        <x:f>$K$1133</x:f>
        <x:v>48.759669086667884</x:v>
      </x:c>
      <x:c r="L1149" s="5" t="str">
        <x:v>No aporta E_social; S y R alimentan disposición a leyes según07.</x:v>
      </x:c>
    </x:row>
    <x:row r="1150" ht="42" customHeight="1">
      <x:c r="A1150" s="10" t="str">
        <x:v>S3_SALARIO</x:v>
      </x:c>
      <x:c r="B1150" s="10" t="n">
        <x:v>1</x:v>
      </x:c>
      <x:c r="C1150" s="10" t="str">
        <x:v>gobernadores</x:v>
      </x:c>
      <x:c r="D1150" s="10"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E1150" s="10" t="n">
        <x:f>(ABS('03_Sensibilidades'!$C$67)*IF('03_Sensibilidades'!$C$67&lt;0,100-$K$355,$K$355)+ABS('03_Sensibilidades'!$C$68)*IF('03_Sensibilidades'!$C$68&lt;0,100-$K$357,$K$357)+ABS('03_Sensibilidades'!$C$69)*IF('03_Sensibilidades'!$C$69&lt;0,100-$K$356,$K$356)+ABS('03_Sensibilidades'!$C$70)*IF('03_Sensibilidades'!$C$70&lt;0,100-$K$353,$K$353))/(ABS('03_Sensibilidades'!$C$67)+ABS('03_Sensibilidades'!$C$68)+ABS('03_Sensibilidades'!$C$69)+ABS('03_Sensibilidades'!$C$70))</x:f>
        <x:v>50.10344827586207</x:v>
      </x:c>
      <x:c r="F1150" s="10" t="n">
        <x:f>(1-'00_Arquitectura'!$B$95)*D1150+'00_Arquitectura'!$B$95*E1150</x:f>
        <x:v>50.10344827586207</x:v>
      </x:c>
      <x:c r="G1150" s="10" t="n">
        <x:f>'02_Actores'!$I$23</x:f>
        <x:v>45</x:v>
      </x:c>
      <x:c r="H1150" s="10" t="n">
        <x:f>IF(OR(AND(F1150&lt;'00_Arquitectura'!$B$118,G1150&lt;'00_Arquitectura'!$B$119),F1150&lt;'00_Arquitectura'!$B$120),1,0)</x:f>
        <x:v>0</x:v>
      </x:c>
      <x:c r="I1150" s="10" t="n">
        <x:f>0</x:f>
        <x:v>0</x:v>
      </x:c>
      <x:c r="J1150" s="10" t="n">
        <x:f>0</x:f>
        <x:v>0</x:v>
      </x:c>
      <x:c r="K1150" s="10" t="n">
        <x:f>$K$1133</x:f>
        <x:v>48.759669086667884</x:v>
      </x:c>
      <x:c r="L1150" s="10" t="str">
        <x:v>Conflicto activo captura menor eficacia en políticas ejecutadas en t+1. Magnitud0 en J: no es un offset directo de indicador.</x:v>
      </x:c>
    </x:row>
    <x:row r="1151" ht="34" customHeight="1">
      <x:c r="A1151" s="5" t="str">
        <x:v>S3_SALARIO</x:v>
      </x:c>
      <x:c r="B1151" s="5" t="n">
        <x:v>2</x:v>
      </x:c>
      <x:c r="C1151" s="5" t="str">
        <x:v>industria</x:v>
      </x:c>
      <x:c r="D1151" s="5" t="n">
        <x:f>$F$1133</x:f>
        <x:v>46.48148148148148</x:v>
      </x:c>
      <x:c r="E1151" s="5" t="n">
        <x:f>(ABS('03_Sensibilidades'!$C$6)*IF('03_Sensibilidades'!$C$6&lt;0,100-$K$366,$K$366)+ABS('03_Sensibilidades'!$C$7)*IF('03_Sensibilidades'!$C$7&lt;0,100-$K$364,$K$364)+ABS('03_Sensibilidades'!$C$8)*IF('03_Sensibilidades'!$C$8&lt;0,100-$K$369,$K$369)+ABS('03_Sensibilidades'!$C$9)*IF('03_Sensibilidades'!$C$9&lt;0,100-$K$368,$K$368))/(ABS('03_Sensibilidades'!$C$6)+ABS('03_Sensibilidades'!$C$7)+ABS('03_Sensibilidades'!$C$8)+ABS('03_Sensibilidades'!$C$9))</x:f>
        <x:v>46.48148148148148</x:v>
      </x:c>
      <x:c r="F1151" s="5" t="n">
        <x:f>(1-'00_Arquitectura'!$B$95)*D1151+'00_Arquitectura'!$B$95*E1151</x:f>
        <x:v>46.48148148148148</x:v>
      </x:c>
      <x:c r="G1151" s="5" t="n">
        <x:f>'02_Actores'!$I$6</x:f>
        <x:v>45</x:v>
      </x:c>
      <x:c r="H1151" s="5" t="n">
        <x:f>IF(OR(AND(F1151&lt;'00_Arquitectura'!$B$118,G1151&lt;'00_Arquitectura'!$B$119),F1151&lt;'00_Arquitectura'!$B$120),1,0)</x:f>
        <x:v>0</x:v>
      </x:c>
      <x:c r="I1151" s="5" t="n">
        <x:f>IF($I$1133=1,IF(OR(AND(F1151&lt;'00_Arquitectura'!$B$121,G1151&lt;'00_Arquitectura'!$B$122),F1151&lt;'00_Arquitectura'!$B$123),1,0),IF(AND(H1151=1,$H$1133=1),1,0))</x:f>
        <x:v>0</x:v>
      </x:c>
      <x:c r="J1151" s="5" t="n">
        <x:f>-I1151*2*'02_Actores'!$E$6/10</x:f>
        <x:v>0</x:v>
      </x:c>
      <x:c r="K1151" s="5" t="n">
        <x:f>($F$1151*'02_Actores'!$F$6+$F$1152*'02_Actores'!$F$7+$F$1153*'02_Actores'!$F$8+$F$1154*'02_Actores'!$F$9+$F$1155*'02_Actores'!$F$10+$F$1156*'02_Actores'!$F$11+$F$1157*'02_Actores'!$F$12+$F$1158*'02_Actores'!$F$13+$F$1159*'02_Actores'!$F$14+$F$1160*'02_Actores'!$F$15+$F$1161*'02_Actores'!$F$16+$F$1162*'02_Actores'!$F$17+$F$1163*'02_Actores'!$F$18+$F$1164*'02_Actores'!$F$19)/('02_Actores'!$F$6+'02_Actores'!$F$7+'02_Actores'!$F$8+'02_Actores'!$F$9+'02_Actores'!$F$10+'02_Actores'!$F$11+'02_Actores'!$F$12+'02_Actores'!$F$13+'02_Actores'!$F$14+'02_Actores'!$F$15+'02_Actores'!$F$16+'02_Actores'!$F$17+'02_Actores'!$F$18+'02_Actores'!$F$19)</x:f>
        <x:v>49.01603900112586</x:v>
      </x:c>
      <x:c r="L1151" s="5" t="str">
        <x:v>J programa offset para t+1; efecto sustituible y acotado, sin voto adicional.</x:v>
      </x:c>
    </x:row>
    <x:row r="1152" ht="34" customHeight="1">
      <x:c r="A1152" s="10" t="str">
        <x:v>S3_SALARIO</x:v>
      </x:c>
      <x:c r="B1152" s="10" t="n">
        <x:v>2</x:v>
      </x:c>
      <x:c r="C1152" s="10" t="str">
        <x:v>agro</x:v>
      </x:c>
      <x:c r="D1152" s="10" t="n">
        <x:f>$F$1134</x:f>
        <x:v>45.892857142857146</x:v>
      </x:c>
      <x:c r="E1152" s="10" t="n">
        <x:f>(ABS('03_Sensibilidades'!$C$10)*IF('03_Sensibilidades'!$C$10&lt;0,100-$K$368,$K$368)+ABS('03_Sensibilidades'!$C$11)*IF('03_Sensibilidades'!$C$11&lt;0,100-$K$369,$K$369)+ABS('03_Sensibilidades'!$C$12)*IF('03_Sensibilidades'!$C$12&lt;0,100-$K$376,$K$376)+ABS('03_Sensibilidades'!$C$13)*IF('03_Sensibilidades'!$C$13&lt;0,100-$K$366,$K$366))/(ABS('03_Sensibilidades'!$C$10)+ABS('03_Sensibilidades'!$C$11)+ABS('03_Sensibilidades'!$C$12)+ABS('03_Sensibilidades'!$C$13))</x:f>
        <x:v>45.892857142857146</x:v>
      </x:c>
      <x:c r="F1152" s="10" t="n">
        <x:f>(1-'00_Arquitectura'!$B$95)*D1152+'00_Arquitectura'!$B$95*E1152</x:f>
        <x:v>45.892857142857146</x:v>
      </x:c>
      <x:c r="G1152" s="10" t="n">
        <x:f>'02_Actores'!$I$7</x:f>
        <x:v>45</x:v>
      </x:c>
      <x:c r="H1152" s="10" t="n">
        <x:f>IF(OR(AND(F1152&lt;'00_Arquitectura'!$B$118,G1152&lt;'00_Arquitectura'!$B$119),F1152&lt;'00_Arquitectura'!$B$120),1,0)</x:f>
        <x:v>0</x:v>
      </x:c>
      <x:c r="I1152" s="10" t="n">
        <x:f>IF($I$1134=1,IF(OR(AND(F1152&lt;'00_Arquitectura'!$B$121,G1152&lt;'00_Arquitectura'!$B$122),F1152&lt;'00_Arquitectura'!$B$123),1,0),IF(AND(H1152=1,$H$1134=1),1,0))</x:f>
        <x:v>0</x:v>
      </x:c>
      <x:c r="J1152" s="10" t="n">
        <x:f>-I1152*2*'02_Actores'!$E$7/10</x:f>
        <x:v>0</x:v>
      </x:c>
      <x:c r="K1152" s="10" t="n">
        <x:f>$K$1151</x:f>
        <x:v>49.01603900112586</x:v>
      </x:c>
      <x:c r="L1152" s="10" t="str">
        <x:v>J programa offset para t+1; efecto sustituible y acotado, sin voto adicional.</x:v>
      </x:c>
    </x:row>
    <x:row r="1153" ht="34" customHeight="1">
      <x:c r="A1153" s="5" t="str">
        <x:v>S3_SALARIO</x:v>
      </x:c>
      <x:c r="B1153" s="5" t="n">
        <x:v>2</x:v>
      </x:c>
      <x:c r="C1153" s="5" t="str">
        <x:v>financiero</x:v>
      </x:c>
      <x:c r="D1153" s="5" t="n">
        <x:f>$F$1135</x:f>
        <x:v>55</x:v>
      </x:c>
      <x:c r="E1153" s="5" t="n">
        <x:f>(ABS('03_Sensibilidades'!$C$14)*IF('03_Sensibilidades'!$C$14&lt;0,100-$K$367,$K$367)+ABS('03_Sensibilidades'!$C$15)*IF('03_Sensibilidades'!$C$15&lt;0,100-$K$363,$K$363)+ABS('03_Sensibilidades'!$C$16)*IF('03_Sensibilidades'!$C$16&lt;0,100-$K$366,$K$366)+ABS('03_Sensibilidades'!$C$17)*IF('03_Sensibilidades'!$C$17&lt;0,100-$K$375,$K$375))/(ABS('03_Sensibilidades'!$C$14)+ABS('03_Sensibilidades'!$C$15)+ABS('03_Sensibilidades'!$C$16)+ABS('03_Sensibilidades'!$C$17))</x:f>
        <x:v>55</x:v>
      </x:c>
      <x:c r="F1153" s="5" t="n">
        <x:f>(1-'00_Arquitectura'!$B$95)*D1153+'00_Arquitectura'!$B$95*E1153</x:f>
        <x:v>55</x:v>
      </x:c>
      <x:c r="G1153" s="5" t="n">
        <x:f>'02_Actores'!$I$8</x:f>
        <x:v>45</x:v>
      </x:c>
      <x:c r="H1153" s="5" t="n">
        <x:f>IF(OR(AND(F1153&lt;'00_Arquitectura'!$B$118,G1153&lt;'00_Arquitectura'!$B$119),F1153&lt;'00_Arquitectura'!$B$120),1,0)</x:f>
        <x:v>0</x:v>
      </x:c>
      <x:c r="I1153" s="5" t="n">
        <x:f>IF($I$1135=1,IF(OR(AND(F1153&lt;'00_Arquitectura'!$B$121,G1153&lt;'00_Arquitectura'!$B$122),F1153&lt;'00_Arquitectura'!$B$123),1,0),IF(AND(H1153=1,$H$1135=1),1,0))</x:f>
        <x:v>0</x:v>
      </x:c>
      <x:c r="J1153" s="5" t="n">
        <x:f>-I1153*2*'02_Actores'!$E$8/10</x:f>
        <x:v>0</x:v>
      </x:c>
      <x:c r="K1153" s="5" t="n">
        <x:f>$K$1151</x:f>
        <x:v>49.01603900112586</x:v>
      </x:c>
      <x:c r="L1153" s="5" t="str">
        <x:v>J programa offset para t+1; efecto sustituible y acotado, sin voto adicional.</x:v>
      </x:c>
    </x:row>
    <x:row r="1154" ht="34" customHeight="1">
      <x:c r="A1154" s="10" t="str">
        <x:v>S3_SALARIO</x:v>
      </x:c>
      <x:c r="B1154" s="10" t="n">
        <x:v>2</x:v>
      </x:c>
      <x:c r="C1154" s="10" t="str">
        <x:v>sindicatos</x:v>
      </x:c>
      <x:c r="D1154" s="10" t="n">
        <x:f>$F$1136</x:f>
        <x:v>47.93103448275862</x:v>
      </x:c>
      <x:c r="E1154" s="10" t="n">
        <x:f>(ABS('03_Sensibilidades'!$C$18)*IF('03_Sensibilidades'!$C$18&lt;0,100-$K$365,$K$365)+ABS('03_Sensibilidades'!$C$19)*IF('03_Sensibilidades'!$C$19&lt;0,100-$K$364,$K$364)+ABS('03_Sensibilidades'!$C$20)*IF('03_Sensibilidades'!$C$20&lt;0,100-$K$372,$K$372)+ABS('03_Sensibilidades'!$C$21)*IF('03_Sensibilidades'!$C$21&lt;0,100-$K$375,$K$375))/(ABS('03_Sensibilidades'!$C$18)+ABS('03_Sensibilidades'!$C$19)+ABS('03_Sensibilidades'!$C$20)+ABS('03_Sensibilidades'!$C$21))</x:f>
        <x:v>49.6551724137931</x:v>
      </x:c>
      <x:c r="F1154" s="10" t="n">
        <x:f>(1-'00_Arquitectura'!$B$95)*D1154+'00_Arquitectura'!$B$95*E1154</x:f>
        <x:v>48.53448275862068</x:v>
      </x:c>
      <x:c r="G1154" s="10" t="n">
        <x:f>'02_Actores'!$I$9</x:f>
        <x:v>45</x:v>
      </x:c>
      <x:c r="H1154" s="10" t="n">
        <x:f>IF(OR(AND(F1154&lt;'00_Arquitectura'!$B$118,G1154&lt;'00_Arquitectura'!$B$119),F1154&lt;'00_Arquitectura'!$B$120),1,0)</x:f>
        <x:v>0</x:v>
      </x:c>
      <x:c r="I1154" s="10" t="n">
        <x:f>IF($I$1136=1,IF(OR(AND(F1154&lt;'00_Arquitectura'!$B$121,G1154&lt;'00_Arquitectura'!$B$122),F1154&lt;'00_Arquitectura'!$B$123),1,0),IF(AND(H1154=1,$H$1136=1),1,0))</x:f>
        <x:v>0</x:v>
      </x:c>
      <x:c r="J1154" s="10" t="n">
        <x:f>-I1154*2*'02_Actores'!$E$9/10</x:f>
        <x:v>0</x:v>
      </x:c>
      <x:c r="K1154" s="10" t="n">
        <x:f>$K$1151</x:f>
        <x:v>49.01603900112586</x:v>
      </x:c>
      <x:c r="L1154" s="10" t="str">
        <x:v>J programa offset para t+1; efecto sustituible y acotado, sin voto adicional.</x:v>
      </x:c>
    </x:row>
    <x:row r="1155" ht="34" customHeight="1">
      <x:c r="A1155" s="5" t="str">
        <x:v>S3_SALARIO</x:v>
      </x:c>
      <x:c r="B1155" s="5" t="n">
        <x:v>2</x:v>
      </x:c>
      <x:c r="C1155" s="5" t="str">
        <x:v>pymes</x:v>
      </x:c>
      <x:c r="D1155" s="5" t="n">
        <x:f>$F$1137</x:f>
        <x:v>49.13793103448276</x:v>
      </x:c>
      <x:c r="E1155" s="5" t="n">
        <x:f>(ABS('03_Sensibilidades'!$C$22)*IF('03_Sensibilidades'!$C$22&lt;0,100-$K$366,$K$366)+ABS('03_Sensibilidades'!$C$23)*IF('03_Sensibilidades'!$C$23&lt;0,100-$K$364,$K$364)+ABS('03_Sensibilidades'!$C$24)*IF('03_Sensibilidades'!$C$24&lt;0,100-$K$369,$K$369)+ABS('03_Sensibilidades'!$C$25)*IF('03_Sensibilidades'!$C$25&lt;0,100-$K$363,$K$363))/(ABS('03_Sensibilidades'!$C$22)+ABS('03_Sensibilidades'!$C$23)+ABS('03_Sensibilidades'!$C$24)+ABS('03_Sensibilidades'!$C$25))</x:f>
        <x:v>49.13793103448276</x:v>
      </x:c>
      <x:c r="F1155" s="5" t="n">
        <x:f>(1-'00_Arquitectura'!$B$95)*D1155+'00_Arquitectura'!$B$95*E1155</x:f>
        <x:v>49.13793103448276</x:v>
      </x:c>
      <x:c r="G1155" s="5" t="n">
        <x:f>'02_Actores'!$I$10</x:f>
        <x:v>45</x:v>
      </x:c>
      <x:c r="H1155" s="5" t="n">
        <x:f>IF(OR(AND(F1155&lt;'00_Arquitectura'!$B$118,G1155&lt;'00_Arquitectura'!$B$119),F1155&lt;'00_Arquitectura'!$B$120),1,0)</x:f>
        <x:v>0</x:v>
      </x:c>
      <x:c r="I1155" s="5" t="n">
        <x:f>IF($I$1137=1,IF(OR(AND(F1155&lt;'00_Arquitectura'!$B$121,G1155&lt;'00_Arquitectura'!$B$122),F1155&lt;'00_Arquitectura'!$B$123),1,0),IF(AND(H1155=1,$H$1137=1),1,0))</x:f>
        <x:v>0</x:v>
      </x:c>
      <x:c r="J1155" s="5" t="n">
        <x:f>-I1155*2*'02_Actores'!$E$10/10</x:f>
        <x:v>0</x:v>
      </x:c>
      <x:c r="K1155" s="5" t="n">
        <x:f>$K$1151</x:f>
        <x:v>49.01603900112586</x:v>
      </x:c>
      <x:c r="L1155" s="5" t="str">
        <x:v>J programa offset para t+1; efecto sustituible y acotado, sin voto adicional.</x:v>
      </x:c>
    </x:row>
    <x:row r="1156" ht="34" customHeight="1">
      <x:c r="A1156" s="10" t="str">
        <x:v>S3_SALARIO</x:v>
      </x:c>
      <x:c r="B1156" s="10" t="n">
        <x:v>2</x:v>
      </x:c>
      <x:c r="C1156" s="10" t="str">
        <x:v>clase_media</x:v>
      </x:c>
      <x:c r="D1156" s="10" t="n">
        <x:f>$F$1138</x:f>
        <x:v>48.333333333333336</x:v>
      </x:c>
      <x:c r="E1156" s="10" t="n">
        <x:f>(ABS('03_Sensibilidades'!$C$26)*IF('03_Sensibilidades'!$C$26&lt;0,100-$K$365,$K$365)+ABS('03_Sensibilidades'!$C$27)*IF('03_Sensibilidades'!$C$27&lt;0,100-$K$373,$K$373)+ABS('03_Sensibilidades'!$C$28)*IF('03_Sensibilidades'!$C$28&lt;0,100-$K$370,$K$370)+ABS('03_Sensibilidades'!$C$29)*IF('03_Sensibilidades'!$C$29&lt;0,100-$K$363,$K$363))/(ABS('03_Sensibilidades'!$C$26)+ABS('03_Sensibilidades'!$C$27)+ABS('03_Sensibilidades'!$C$28)+ABS('03_Sensibilidades'!$C$29))</x:f>
        <x:v>50.18518518518518</x:v>
      </x:c>
      <x:c r="F1156" s="10" t="n">
        <x:f>(1-'00_Arquitectura'!$B$95)*D1156+'00_Arquitectura'!$B$95*E1156</x:f>
        <x:v>48.98148148148148</x:v>
      </x:c>
      <x:c r="G1156" s="10" t="n">
        <x:f>'02_Actores'!$I$11</x:f>
        <x:v>45</x:v>
      </x:c>
      <x:c r="H1156" s="10" t="n">
        <x:f>IF(OR(AND(F1156&lt;'00_Arquitectura'!$B$118,G1156&lt;'00_Arquitectura'!$B$119),F1156&lt;'00_Arquitectura'!$B$120),1,0)</x:f>
        <x:v>0</x:v>
      </x:c>
      <x:c r="I1156" s="10" t="n">
        <x:f>IF($I$1138=1,IF(OR(AND(F1156&lt;'00_Arquitectura'!$B$121,G1156&lt;'00_Arquitectura'!$B$122),F1156&lt;'00_Arquitectura'!$B$123),1,0),IF(AND(H1156=1,$H$1138=1),1,0))</x:f>
        <x:v>0</x:v>
      </x:c>
      <x:c r="J1156" s="10" t="n">
        <x:f>0</x:f>
        <x:v>0</x:v>
      </x:c>
      <x:c r="K1156" s="10" t="n">
        <x:f>$K$1151</x:f>
        <x:v>49.01603900112586</x:v>
      </x:c>
      <x:c r="L1156" s="10" t="str">
        <x:v>Canal directo sólo al índice social; sin bono de popularidad.</x:v>
      </x:c>
    </x:row>
    <x:row r="1157" ht="34" customHeight="1">
      <x:c r="A1157" s="5" t="str">
        <x:v>S3_SALARIO</x:v>
      </x:c>
      <x:c r="B1157" s="5" t="n">
        <x:v>2</x:v>
      </x:c>
      <x:c r="C1157" s="5" t="str">
        <x:v>cooperativas</x:v>
      </x:c>
      <x:c r="D1157" s="5" t="n">
        <x:f>$F$1139</x:f>
        <x:v>47.77777777777778</x:v>
      </x:c>
      <x:c r="E1157" s="5" t="n">
        <x:f>(ABS('03_Sensibilidades'!$C$30)*IF('03_Sensibilidades'!$C$30&lt;0,100-$K$366,$K$366)+ABS('03_Sensibilidades'!$C$31)*IF('03_Sensibilidades'!$C$31&lt;0,100-$K$364,$K$364)+ABS('03_Sensibilidades'!$C$32)*IF('03_Sensibilidades'!$C$32&lt;0,100-$K$372,$K$372)+ABS('03_Sensibilidades'!$C$33)*IF('03_Sensibilidades'!$C$33&lt;0,100-$K$375,$K$375))/(ABS('03_Sensibilidades'!$C$30)+ABS('03_Sensibilidades'!$C$31)+ABS('03_Sensibilidades'!$C$32)+ABS('03_Sensibilidades'!$C$33))</x:f>
        <x:v>47.77777777777778</x:v>
      </x:c>
      <x:c r="F1157" s="5" t="n">
        <x:f>(1-'00_Arquitectura'!$B$95)*D1157+'00_Arquitectura'!$B$95*E1157</x:f>
        <x:v>47.77777777777778</x:v>
      </x:c>
      <x:c r="G1157" s="5" t="n">
        <x:f>'02_Actores'!$I$12</x:f>
        <x:v>45</x:v>
      </x:c>
      <x:c r="H1157" s="5" t="n">
        <x:f>IF(OR(AND(F1157&lt;'00_Arquitectura'!$B$118,G1157&lt;'00_Arquitectura'!$B$119),F1157&lt;'00_Arquitectura'!$B$120),1,0)</x:f>
        <x:v>0</x:v>
      </x:c>
      <x:c r="I1157" s="5" t="n">
        <x:f>IF($I$1139=1,IF(OR(AND(F1157&lt;'00_Arquitectura'!$B$121,G1157&lt;'00_Arquitectura'!$B$122),F1157&lt;'00_Arquitectura'!$B$123),1,0),IF(AND(H1157=1,$H$1139=1),1,0))</x:f>
        <x:v>0</x:v>
      </x:c>
      <x:c r="J1157" s="5" t="n">
        <x:f>-I1157*1.5*'02_Actores'!$E$12/10</x:f>
        <x:v>0</x:v>
      </x:c>
      <x:c r="K1157" s="5" t="n">
        <x:f>$K$1151</x:f>
        <x:v>49.01603900112586</x:v>
      </x:c>
      <x:c r="L1157" s="5" t="str">
        <x:v>J programa offset para t+1; efecto sustituible y acotado, sin voto adicional.</x:v>
      </x:c>
    </x:row>
    <x:row r="1158" ht="42" customHeight="1">
      <x:c r="A1158" s="10" t="str">
        <x:v>S3_SALARIO</x:v>
      </x:c>
      <x:c r="B1158" s="10" t="n">
        <x:v>2</x:v>
      </x:c>
      <x:c r="C1158" s="10" t="str">
        <x:v>estudiantes</x:v>
      </x:c>
      <x:c r="D1158" s="10" t="n">
        <x:f>$F$1140</x:f>
        <x:v>49.2</x:v>
      </x:c>
      <x:c r="E1158" s="10" t="n">
        <x:f>(ABS('03_Sensibilidades'!$C$34)*IF('03_Sensibilidades'!$C$34&lt;0,100-$K$370,$K$370)+ABS('03_Sensibilidades'!$C$35)*IF('03_Sensibilidades'!$C$35&lt;0,100-$K$365,$K$365)+ABS('03_Sensibilidades'!$C$36)*IF('03_Sensibilidades'!$C$36&lt;0,100-$K$375,$K$375)+ABS('03_Sensibilidades'!$C$37)*IF('03_Sensibilidades'!$C$37&lt;0,100-$K$374,$K$374))/(ABS('03_Sensibilidades'!$C$34)+ABS('03_Sensibilidades'!$C$35)+ABS('03_Sensibilidades'!$C$36)+ABS('03_Sensibilidades'!$C$37))</x:f>
        <x:v>50.2</x:v>
      </x:c>
      <x:c r="F1158" s="10" t="n">
        <x:f>(1-'00_Arquitectura'!$B$95)*D1158+'00_Arquitectura'!$B$95*E1158</x:f>
        <x:v>49.550000000000004</x:v>
      </x:c>
      <x:c r="G1158" s="10" t="n">
        <x:f>'02_Actores'!$I$13</x:f>
        <x:v>45</x:v>
      </x:c>
      <x:c r="H1158" s="10" t="n">
        <x:f>IF(OR(AND(F1158&lt;'00_Arquitectura'!$B$118,G1158&lt;'00_Arquitectura'!$B$119),F1158&lt;'00_Arquitectura'!$B$120),1,0)</x:f>
        <x:v>0</x:v>
      </x:c>
      <x:c r="I1158" s="10" t="n">
        <x:f>IF($I$1140=1,IF(OR(AND(F1158&lt;'00_Arquitectura'!$B$121,G1158&lt;'00_Arquitectura'!$B$122),F1158&lt;'00_Arquitectura'!$B$123),1,0),IF(AND(H1158=1,$H$1140=1),1,0))</x:f>
        <x:v>0</x:v>
      </x:c>
      <x:c r="J1158" s="10" t="n">
        <x:f>0</x:f>
        <x:v>0</x:v>
      </x:c>
      <x:c r="K1158" s="10" t="n">
        <x:f>$K$1151</x:f>
        <x:v>49.01603900112586</x:v>
      </x:c>
      <x:c r="L1158" s="10" t="str">
        <x:v>Conflicto activo captura menor eficacia en políticas ejecutadas en t+1. Magnitud0 en J: no es un offset directo de indicador.</x:v>
      </x:c>
    </x:row>
    <x:row r="1159" ht="34" customHeight="1">
      <x:c r="A1159" s="5" t="str">
        <x:v>S3_SALARIO</x:v>
      </x:c>
      <x:c r="B1159" s="5" t="n">
        <x:v>2</x:v>
      </x:c>
      <x:c r="C1159" s="5" t="str">
        <x:v>docentes</x:v>
      </x:c>
      <x:c r="D1159" s="5" t="n">
        <x:f>$F$1141</x:f>
        <x:v>48.91304347826087</x:v>
      </x:c>
      <x:c r="E1159" s="5" t="n">
        <x:f>(ABS('03_Sensibilidades'!$C$38)*IF('03_Sensibilidades'!$C$38&lt;0,100-$K$370,$K$370)+ABS('03_Sensibilidades'!$C$39)*IF('03_Sensibilidades'!$C$39&lt;0,100-$K$365,$K$365)+ABS('03_Sensibilidades'!$C$40)*IF('03_Sensibilidades'!$C$40&lt;0,100-$K$375,$K$375))/(ABS('03_Sensibilidades'!$C$38)+ABS('03_Sensibilidades'!$C$39)+ABS('03_Sensibilidades'!$C$40))</x:f>
        <x:v>50.869565217391305</x:v>
      </x:c>
      <x:c r="F1159" s="5" t="n">
        <x:f>(1-'00_Arquitectura'!$B$95)*D1159+'00_Arquitectura'!$B$95*E1159</x:f>
        <x:v>49.59782608695652</x:v>
      </x:c>
      <x:c r="G1159" s="5" t="n">
        <x:f>'02_Actores'!$I$14</x:f>
        <x:v>45</x:v>
      </x:c>
      <x:c r="H1159" s="5" t="n">
        <x:f>IF(OR(AND(F1159&lt;'00_Arquitectura'!$B$118,G1159&lt;'00_Arquitectura'!$B$119),F1159&lt;'00_Arquitectura'!$B$120),1,0)</x:f>
        <x:v>0</x:v>
      </x:c>
      <x:c r="I1159" s="5" t="n">
        <x:f>IF($I$1141=1,IF(OR(AND(F1159&lt;'00_Arquitectura'!$B$121,G1159&lt;'00_Arquitectura'!$B$122),F1159&lt;'00_Arquitectura'!$B$123),1,0),IF(AND(H1159=1,$H$1141=1),1,0))</x:f>
        <x:v>0</x:v>
      </x:c>
      <x:c r="J1159" s="5" t="n">
        <x:f>-I1159*1.5*'02_Actores'!$E$14/10</x:f>
        <x:v>0</x:v>
      </x:c>
      <x:c r="K1159" s="5" t="n">
        <x:f>$K$1151</x:f>
        <x:v>49.01603900112586</x:v>
      </x:c>
      <x:c r="L1159" s="5" t="str">
        <x:v>J programa offset para t+1; efecto sustituible y acotado, sin voto adicional.</x:v>
      </x:c>
    </x:row>
    <x:row r="1160" ht="34" customHeight="1">
      <x:c r="A1160" s="10" t="str">
        <x:v>S3_SALARIO</x:v>
      </x:c>
      <x:c r="B1160" s="10" t="n">
        <x:v>2</x:v>
      </x:c>
      <x:c r="C1160" s="10" t="str">
        <x:v>cientificos</x:v>
      </x:c>
      <x:c r="D1160" s="10" t="n">
        <x:f>$F$1142</x:f>
        <x:v>46.59090909090909</x:v>
      </x:c>
      <x:c r="E1160" s="10" t="n">
        <x:f>(ABS('03_Sensibilidades'!$C$41)*IF('03_Sensibilidades'!$C$41&lt;0,100-$K$374,$K$374)+ABS('03_Sensibilidades'!$C$42)*IF('03_Sensibilidades'!$C$42&lt;0,100-$K$370,$K$370)+ABS('03_Sensibilidades'!$C$43)*IF('03_Sensibilidades'!$C$43&lt;0,100-$K$375,$K$375))/(ABS('03_Sensibilidades'!$C$41)+ABS('03_Sensibilidades'!$C$42)+ABS('03_Sensibilidades'!$C$43))</x:f>
        <x:v>46.59090909090909</x:v>
      </x:c>
      <x:c r="F1160" s="10" t="n">
        <x:f>(1-'00_Arquitectura'!$B$95)*D1160+'00_Arquitectura'!$B$95*E1160</x:f>
        <x:v>46.59090909090909</x:v>
      </x:c>
      <x:c r="G1160" s="10" t="n">
        <x:f>'02_Actores'!$I$15</x:f>
        <x:v>45</x:v>
      </x:c>
      <x:c r="H1160" s="10" t="n">
        <x:f>IF(OR(AND(F1160&lt;'00_Arquitectura'!$B$118,G1160&lt;'00_Arquitectura'!$B$119),F1160&lt;'00_Arquitectura'!$B$120),1,0)</x:f>
        <x:v>0</x:v>
      </x:c>
      <x:c r="I1160" s="10" t="n">
        <x:f>IF($I$1142=1,IF(OR(AND(F1160&lt;'00_Arquitectura'!$B$121,G1160&lt;'00_Arquitectura'!$B$122),F1160&lt;'00_Arquitectura'!$B$123),1,0),IF(AND(H1160=1,$H$1142=1),1,0))</x:f>
        <x:v>0</x:v>
      </x:c>
      <x:c r="J1160" s="10" t="n">
        <x:f>-I1160*1.5*'02_Actores'!$E$15/10</x:f>
        <x:v>0</x:v>
      </x:c>
      <x:c r="K1160" s="10" t="n">
        <x:f>$K$1151</x:f>
        <x:v>49.01603900112586</x:v>
      </x:c>
      <x:c r="L1160" s="10" t="str">
        <x:v>J programa offset para t+1; efecto sustituible y acotado, sin voto adicional.</x:v>
      </x:c>
    </x:row>
    <x:row r="1161" ht="34" customHeight="1">
      <x:c r="A1161" s="5" t="str">
        <x:v>S3_SALARIO</x:v>
      </x:c>
      <x:c r="B1161" s="5" t="n">
        <x:v>2</x:v>
      </x:c>
      <x:c r="C1161" s="5" t="str">
        <x:v>organizaciones</x:v>
      </x:c>
      <x:c r="D1161" s="5" t="n">
        <x:f>$F$1143</x:f>
        <x:v>49.107142857142854</x:v>
      </x:c>
      <x:c r="E1161" s="5" t="n">
        <x:f>(ABS('03_Sensibilidades'!$C$44)*IF('03_Sensibilidades'!$C$44&lt;0,100-$K$372,$K$372)+ABS('03_Sensibilidades'!$C$45)*IF('03_Sensibilidades'!$C$45&lt;0,100-$K$371,$K$371)+ABS('03_Sensibilidades'!$C$46)*IF('03_Sensibilidades'!$C$46&lt;0,100-$K$364,$K$364)+ABS('03_Sensibilidades'!$C$47)*IF('03_Sensibilidades'!$C$47&lt;0,100-$K$375,$K$375))/(ABS('03_Sensibilidades'!$C$44)+ABS('03_Sensibilidades'!$C$45)+ABS('03_Sensibilidades'!$C$46)+ABS('03_Sensibilidades'!$C$47))</x:f>
        <x:v>49.107142857142854</x:v>
      </x:c>
      <x:c r="F1161" s="5" t="n">
        <x:f>(1-'00_Arquitectura'!$B$95)*D1161+'00_Arquitectura'!$B$95*E1161</x:f>
        <x:v>49.107142857142854</x:v>
      </x:c>
      <x:c r="G1161" s="5" t="n">
        <x:f>'02_Actores'!$I$16</x:f>
        <x:v>45</x:v>
      </x:c>
      <x:c r="H1161" s="5" t="n">
        <x:f>IF(OR(AND(F1161&lt;'00_Arquitectura'!$B$118,G1161&lt;'00_Arquitectura'!$B$119),F1161&lt;'00_Arquitectura'!$B$120),1,0)</x:f>
        <x:v>0</x:v>
      </x:c>
      <x:c r="I1161" s="5" t="n">
        <x:f>IF($I$1143=1,IF(OR(AND(F1161&lt;'00_Arquitectura'!$B$121,G1161&lt;'00_Arquitectura'!$B$122),F1161&lt;'00_Arquitectura'!$B$123),1,0),IF(AND(H1161=1,$H$1143=1),1,0))</x:f>
        <x:v>0</x:v>
      </x:c>
      <x:c r="J1161" s="5" t="n">
        <x:f>-I1161*1.5*'02_Actores'!$E$16/10</x:f>
        <x:v>0</x:v>
      </x:c>
      <x:c r="K1161" s="5" t="n">
        <x:f>$K$1151</x:f>
        <x:v>49.01603900112586</x:v>
      </x:c>
      <x:c r="L1161" s="5" t="str">
        <x:v>J programa offset para t+1; efecto sustituible y acotado, sin voto adicional.</x:v>
      </x:c>
    </x:row>
    <x:row r="1162" ht="42" customHeight="1">
      <x:c r="A1162" s="10" t="str">
        <x:v>S3_SALARIO</x:v>
      </x:c>
      <x:c r="B1162" s="10" t="n">
        <x:v>2</x:v>
      </x:c>
      <x:c r="C1162" s="10" t="str">
        <x:v>ddhh</x:v>
      </x:c>
      <x:c r="D1162" s="10" t="n">
        <x:f>$F$1144</x:f>
        <x:v>50.88235294117648</x:v>
      </x:c>
      <x:c r="E1162" s="10" t="n">
        <x:f>(ABS('03_Sensibilidades'!$C$48)*IF('03_Sensibilidades'!$C$48&lt;0,100-$K$375,$K$375)+ABS('03_Sensibilidades'!$C$49)*IF('03_Sensibilidades'!$C$49&lt;0,100-$K$373,$K$373)+ABS('03_Sensibilidades'!$C$50)*IF('03_Sensibilidades'!$C$50&lt;0,100-$K$372,$K$372))/(ABS('03_Sensibilidades'!$C$48)+ABS('03_Sensibilidades'!$C$49)+ABS('03_Sensibilidades'!$C$50))</x:f>
        <x:v>50.88235294117647</x:v>
      </x:c>
      <x:c r="F1162" s="10" t="n">
        <x:f>(1-'00_Arquitectura'!$B$95)*D1162+'00_Arquitectura'!$B$95*E1162</x:f>
        <x:v>50.88235294117648</x:v>
      </x:c>
      <x:c r="G1162" s="10" t="n">
        <x:f>'02_Actores'!$I$17</x:f>
        <x:v>45</x:v>
      </x:c>
      <x:c r="H1162" s="10" t="n">
        <x:f>IF(OR(AND(F1162&lt;'00_Arquitectura'!$B$118,G1162&lt;'00_Arquitectura'!$B$119),F1162&lt;'00_Arquitectura'!$B$120),1,0)</x:f>
        <x:v>0</x:v>
      </x:c>
      <x:c r="I1162" s="10" t="n">
        <x:f>IF($I$1144=1,IF(OR(AND(F1162&lt;'00_Arquitectura'!$B$121,G1162&lt;'00_Arquitectura'!$B$122),F1162&lt;'00_Arquitectura'!$B$123),1,0),IF(AND(H1162=1,$H$1144=1),1,0))</x:f>
        <x:v>0</x:v>
      </x:c>
      <x:c r="J1162" s="10" t="n">
        <x:f>0</x:f>
        <x:v>0</x:v>
      </x:c>
      <x:c r="K1162" s="10" t="n">
        <x:f>$K$1151</x:f>
        <x:v>49.01603900112586</x:v>
      </x:c>
      <x:c r="L1162" s="10" t="str">
        <x:v>Conflicto activo captura menor eficacia en políticas ejecutadas en t+1. Magnitud0 en J: no es un offset directo de indicador.</x:v>
      </x:c>
    </x:row>
    <x:row r="1163" ht="42" customHeight="1">
      <x:c r="A1163" s="5" t="str">
        <x:v>S3_SALARIO</x:v>
      </x:c>
      <x:c r="B1163" s="5" t="n">
        <x:v>2</x:v>
      </x:c>
      <x:c r="C1163" s="5" t="str">
        <x:v>ambientalistas</x:v>
      </x:c>
      <x:c r="D1163" s="5" t="n">
        <x:f>$F$1145</x:f>
        <x:v>51.388888888888886</x:v>
      </x:c>
      <x:c r="E1163" s="5" t="n">
        <x:f>(ABS('03_Sensibilidades'!$C$51)*IF('03_Sensibilidades'!$C$51&lt;0,100-$K$376,$K$376)+ABS('03_Sensibilidades'!$C$52)*IF('03_Sensibilidades'!$C$52&lt;0,100-$K$375,$K$375)+ABS('03_Sensibilidades'!$C$53)*IF('03_Sensibilidades'!$C$53&lt;0,100-$K$371,$K$371))/(ABS('03_Sensibilidades'!$C$51)+ABS('03_Sensibilidades'!$C$52)+ABS('03_Sensibilidades'!$C$53))</x:f>
        <x:v>51.388888888888886</x:v>
      </x:c>
      <x:c r="F1163" s="5" t="n">
        <x:f>(1-'00_Arquitectura'!$B$95)*D1163+'00_Arquitectura'!$B$95*E1163</x:f>
        <x:v>51.388888888888886</x:v>
      </x:c>
      <x:c r="G1163" s="5" t="n">
        <x:f>'02_Actores'!$I$18</x:f>
        <x:v>45</x:v>
      </x:c>
      <x:c r="H1163" s="5" t="n">
        <x:f>IF(OR(AND(F1163&lt;'00_Arquitectura'!$B$118,G1163&lt;'00_Arquitectura'!$B$119),F1163&lt;'00_Arquitectura'!$B$120),1,0)</x:f>
        <x:v>0</x:v>
      </x:c>
      <x:c r="I1163" s="5" t="n">
        <x:f>IF($I$1145=1,IF(OR(AND(F1163&lt;'00_Arquitectura'!$B$121,G1163&lt;'00_Arquitectura'!$B$122),F1163&lt;'00_Arquitectura'!$B$123),1,0),IF(AND(H1163=1,$H$1145=1),1,0))</x:f>
        <x:v>0</x:v>
      </x:c>
      <x:c r="J1163" s="5" t="n">
        <x:f>0</x:f>
        <x:v>0</x:v>
      </x:c>
      <x:c r="K1163" s="5" t="n">
        <x:f>$K$1151</x:f>
        <x:v>49.01603900112586</x:v>
      </x:c>
      <x:c r="L1163" s="5" t="str">
        <x:v>Conflicto activo captura menor eficacia en políticas ejecutadas en t+1. Magnitud0 en J: no es un offset directo de indicador.</x:v>
      </x:c>
    </x:row>
    <x:row r="1164" ht="34" customHeight="1">
      <x:c r="A1164" s="10" t="str">
        <x:v>S3_SALARIO</x:v>
      </x:c>
      <x:c r="B1164" s="10" t="n">
        <x:v>2</x:v>
      </x:c>
      <x:c r="C1164" s="10" t="str">
        <x:v>cultura</x:v>
      </x:c>
      <x:c r="D1164" s="10" t="n">
        <x:f>$F$1146</x:f>
        <x:v>50.78947368421053</x:v>
      </x:c>
      <x:c r="E1164" s="10" t="n">
        <x:f>(ABS('03_Sensibilidades'!$C$54)*IF('03_Sensibilidades'!$C$54&lt;0,100-$K$375,$K$375)+ABS('03_Sensibilidades'!$C$55)*IF('03_Sensibilidades'!$C$55&lt;0,100-$K$370,$K$370)+ABS('03_Sensibilidades'!$C$56)*IF('03_Sensibilidades'!$C$56&lt;0,100-$K$365,$K$365))/(ABS('03_Sensibilidades'!$C$54)+ABS('03_Sensibilidades'!$C$55)+ABS('03_Sensibilidades'!$C$56))</x:f>
        <x:v>52.10526315789474</x:v>
      </x:c>
      <x:c r="F1164" s="10" t="n">
        <x:f>(1-'00_Arquitectura'!$B$95)*D1164+'00_Arquitectura'!$B$95*E1164</x:f>
        <x:v>51.25</x:v>
      </x:c>
      <x:c r="G1164" s="10" t="n">
        <x:f>'02_Actores'!$I$19</x:f>
        <x:v>45</x:v>
      </x:c>
      <x:c r="H1164" s="10" t="n">
        <x:f>IF(OR(AND(F1164&lt;'00_Arquitectura'!$B$118,G1164&lt;'00_Arquitectura'!$B$119),F1164&lt;'00_Arquitectura'!$B$120),1,0)</x:f>
        <x:v>0</x:v>
      </x:c>
      <x:c r="I1164" s="10" t="n">
        <x:f>IF($I$1146=1,IF(OR(AND(F1164&lt;'00_Arquitectura'!$B$121,G1164&lt;'00_Arquitectura'!$B$122),F1164&lt;'00_Arquitectura'!$B$123),1,0),IF(AND(H1164=1,$H$1146=1),1,0))</x:f>
        <x:v>0</x:v>
      </x:c>
      <x:c r="J1164" s="10" t="n">
        <x:f>0</x:f>
        <x:v>0</x:v>
      </x:c>
      <x:c r="K1164" s="10" t="n">
        <x:f>$K$1151</x:f>
        <x:v>49.01603900112586</x:v>
      </x:c>
      <x:c r="L1164" s="10" t="str">
        <x:v>Conflicto activo encarece agenda del turno siguiente; sin castigo electoral adicional.</x:v>
      </x:c>
    </x:row>
    <x:row r="1165" ht="34" customHeight="1">
      <x:c r="A1165" s="5" t="str">
        <x:v>S3_SALARIO</x:v>
      </x:c>
      <x:c r="B1165" s="5" t="n">
        <x:v>2</x:v>
      </x:c>
      <x:c r="C1165" s="5" t="str">
        <x:v>oficialismo</x:v>
      </x:c>
      <x:c r="D1165" s="5" t="n">
        <x:f>$F$1147</x:f>
        <x:v>52.12</x:v>
      </x:c>
      <x:c r="E1165" s="5" t="n">
        <x:f>(ABS('03_Sensibilidades'!$C$57)*IF('03_Sensibilidades'!$C$57&lt;0,100-$K$375,$K$375)+ABS('03_Sensibilidades'!$C$58)*IF('03_Sensibilidades'!$C$58&lt;0,100-$K$364,$K$364)+ABS('03_Sensibilidades'!$C$59)*IF('03_Sensibilidades'!$C$59&lt;0,100-$K$367,$K$367)+ABS('03_Sensibilidades'!$C$60)*IF('03_Sensibilidades'!$C$60&lt;0,100-$K$372,$K$372))/(ABS('03_Sensibilidades'!$C$57)+ABS('03_Sensibilidades'!$C$58)+ABS('03_Sensibilidades'!$C$59)+ABS('03_Sensibilidades'!$C$60))</x:f>
        <x:v>52.12</x:v>
      </x:c>
      <x:c r="F1165" s="5" t="n">
        <x:f>(1-'00_Arquitectura'!$B$95)*D1165+'00_Arquitectura'!$B$95*E1165</x:f>
        <x:v>52.12</x:v>
      </x:c>
      <x:c r="G1165" s="5" t="n">
        <x:f>'02_Actores'!$I$20</x:f>
        <x:v>60</x:v>
      </x:c>
      <x:c r="H1165" s="5" t="n">
        <x:f>IF(OR(AND(F1165&lt;'00_Arquitectura'!$B$118,G1165&lt;'00_Arquitectura'!$B$119),F1165&lt;'00_Arquitectura'!$B$120),1,0)</x:f>
        <x:v>0</x:v>
      </x:c>
      <x:c r="I1165" s="5" t="n">
        <x:f>IF($I$1147=1,IF(OR(AND(F1165&lt;'00_Arquitectura'!$B$121,G1165&lt;'00_Arquitectura'!$B$122),F1165&lt;'00_Arquitectura'!$B$123),1,0),IF(AND(H1165=1,$H$1147=1),1,0))</x:f>
        <x:v>0</x:v>
      </x:c>
      <x:c r="J1165" s="5" t="n">
        <x:f>0</x:f>
        <x:v>0</x:v>
      </x:c>
      <x:c r="K1165" s="5" t="n">
        <x:f>$K$1151</x:f>
        <x:v>49.01603900112586</x:v>
      </x:c>
      <x:c r="L1165" s="5" t="str">
        <x:v>No aporta E_social; S y R alimentan disposición a leyes según07.</x:v>
      </x:c>
    </x:row>
    <x:row r="1166" ht="34" customHeight="1">
      <x:c r="A1166" s="10" t="str">
        <x:v>S3_SALARIO</x:v>
      </x:c>
      <x:c r="B1166" s="10" t="n">
        <x:v>2</x:v>
      </x:c>
      <x:c r="C1166" s="10" t="str">
        <x:v>aliados</x:v>
      </x:c>
      <x:c r="D1166" s="10" t="n">
        <x:f>$F$1148</x:f>
        <x:v>53.142857142857146</x:v>
      </x:c>
      <x:c r="E1166" s="10" t="n">
        <x:f>(ABS('03_Sensibilidades'!$C$61)*IF('03_Sensibilidades'!$C$61&lt;0,100-$K$375,$K$375)+ABS('03_Sensibilidades'!$C$62)*IF('03_Sensibilidades'!$C$62&lt;0,100-$K$367,$K$367)+ABS('03_Sensibilidades'!$C$63)*IF('03_Sensibilidades'!$C$63&lt;0,100-$K$369,$K$369))/(ABS('03_Sensibilidades'!$C$61)+ABS('03_Sensibilidades'!$C$62)+ABS('03_Sensibilidades'!$C$63))</x:f>
        <x:v>53.142857142857146</x:v>
      </x:c>
      <x:c r="F1166" s="10" t="n">
        <x:f>(1-'00_Arquitectura'!$B$95)*D1166+'00_Arquitectura'!$B$95*E1166</x:f>
        <x:v>53.142857142857146</x:v>
      </x:c>
      <x:c r="G1166" s="10" t="n">
        <x:f>'02_Actores'!$I$21</x:f>
        <x:v>45</x:v>
      </x:c>
      <x:c r="H1166" s="10" t="n">
        <x:f>IF(OR(AND(F1166&lt;'00_Arquitectura'!$B$118,G1166&lt;'00_Arquitectura'!$B$119),F1166&lt;'00_Arquitectura'!$B$120),1,0)</x:f>
        <x:v>0</x:v>
      </x:c>
      <x:c r="I1166" s="10" t="n">
        <x:f>IF($I$1148=1,IF(OR(AND(F1166&lt;'00_Arquitectura'!$B$121,G1166&lt;'00_Arquitectura'!$B$122),F1166&lt;'00_Arquitectura'!$B$123),1,0),IF(AND(H1166=1,$H$1148=1),1,0))</x:f>
        <x:v>0</x:v>
      </x:c>
      <x:c r="J1166" s="10" t="n">
        <x:f>0</x:f>
        <x:v>0</x:v>
      </x:c>
      <x:c r="K1166" s="10" t="n">
        <x:f>$K$1151</x:f>
        <x:v>49.01603900112586</x:v>
      </x:c>
      <x:c r="L1166" s="10" t="str">
        <x:v>No aporta E_social; S y R alimentan disposición a leyes según07.</x:v>
      </x:c>
    </x:row>
    <x:row r="1167" ht="34" customHeight="1">
      <x:c r="A1167" s="5" t="str">
        <x:v>S3_SALARIO</x:v>
      </x:c>
      <x:c r="B1167" s="5" t="n">
        <x:v>2</x:v>
      </x:c>
      <x:c r="C1167" s="5" t="str">
        <x:v>oposicion</x:v>
      </x:c>
      <x:c r="D1167" s="5" t="n">
        <x:f>$F$1149</x:f>
        <x:v>53.900000000000006</x:v>
      </x:c>
      <x:c r="E1167" s="5" t="n">
        <x:f>(ABS('03_Sensibilidades'!$C$64)*IF('03_Sensibilidades'!$C$64&lt;0,100-$K$375,$K$375)+ABS('03_Sensibilidades'!$C$65)*IF('03_Sensibilidades'!$C$65&lt;0,100-$K$367,$K$367)+ABS('03_Sensibilidades'!$C$66)*IF('03_Sensibilidades'!$C$66&lt;0,100-$K$373,$K$373))/(ABS('03_Sensibilidades'!$C$64)+ABS('03_Sensibilidades'!$C$65)+ABS('03_Sensibilidades'!$C$66))</x:f>
        <x:v>53.9</x:v>
      </x:c>
      <x:c r="F1167" s="5" t="n">
        <x:f>(1-'00_Arquitectura'!$B$95)*D1167+'00_Arquitectura'!$B$95*E1167</x:f>
        <x:v>53.900000000000006</x:v>
      </x:c>
      <x:c r="G1167" s="5" t="n">
        <x:f>'02_Actores'!$I$22</x:f>
        <x:v>30</x:v>
      </x:c>
      <x:c r="H1167" s="5" t="n">
        <x:f>IF(OR(AND(F1167&lt;'00_Arquitectura'!$B$118,G1167&lt;'00_Arquitectura'!$B$119),F1167&lt;'00_Arquitectura'!$B$120),1,0)</x:f>
        <x:v>0</x:v>
      </x:c>
      <x:c r="I1167" s="5" t="n">
        <x:f>IF($I$1149=1,IF(OR(AND(F1167&lt;'00_Arquitectura'!$B$121,G1167&lt;'00_Arquitectura'!$B$122),F1167&lt;'00_Arquitectura'!$B$123),1,0),IF(AND(H1167=1,$H$1149=1),1,0))</x:f>
        <x:v>0</x:v>
      </x:c>
      <x:c r="J1167" s="5" t="n">
        <x:f>0</x:f>
        <x:v>0</x:v>
      </x:c>
      <x:c r="K1167" s="5" t="n">
        <x:f>$K$1151</x:f>
        <x:v>49.01603900112586</x:v>
      </x:c>
      <x:c r="L1167" s="5" t="str">
        <x:v>No aporta E_social; S y R alimentan disposición a leyes según07.</x:v>
      </x:c>
    </x:row>
    <x:row r="1168" ht="42" customHeight="1">
      <x:c r="A1168" s="10" t="str">
        <x:v>S3_SALARIO</x:v>
      </x:c>
      <x:c r="B1168" s="10" t="n">
        <x:v>2</x:v>
      </x:c>
      <x:c r="C1168" s="10" t="str">
        <x:v>gobernadores</x:v>
      </x:c>
      <x:c r="D1168" s="10" t="n">
        <x:f>$F$1150</x:f>
        <x:v>50.10344827586207</x:v>
      </x:c>
      <x:c r="E1168" s="10" t="n">
        <x:f>(ABS('03_Sensibilidades'!$C$67)*IF('03_Sensibilidades'!$C$67&lt;0,100-$K$369,$K$369)+ABS('03_Sensibilidades'!$C$68)*IF('03_Sensibilidades'!$C$68&lt;0,100-$K$371,$K$371)+ABS('03_Sensibilidades'!$C$69)*IF('03_Sensibilidades'!$C$69&lt;0,100-$K$370,$K$370)+ABS('03_Sensibilidades'!$C$70)*IF('03_Sensibilidades'!$C$70&lt;0,100-$K$367,$K$367))/(ABS('03_Sensibilidades'!$C$67)+ABS('03_Sensibilidades'!$C$68)+ABS('03_Sensibilidades'!$C$69)+ABS('03_Sensibilidades'!$C$70))</x:f>
        <x:v>50.10344827586207</x:v>
      </x:c>
      <x:c r="F1168" s="10" t="n">
        <x:f>(1-'00_Arquitectura'!$B$95)*D1168+'00_Arquitectura'!$B$95*E1168</x:f>
        <x:v>50.10344827586207</x:v>
      </x:c>
      <x:c r="G1168" s="10" t="n">
        <x:f>'02_Actores'!$I$23</x:f>
        <x:v>45</x:v>
      </x:c>
      <x:c r="H1168" s="10" t="n">
        <x:f>IF(OR(AND(F1168&lt;'00_Arquitectura'!$B$118,G1168&lt;'00_Arquitectura'!$B$119),F1168&lt;'00_Arquitectura'!$B$120),1,0)</x:f>
        <x:v>0</x:v>
      </x:c>
      <x:c r="I1168" s="10" t="n">
        <x:f>IF($I$1150=1,IF(OR(AND(F1168&lt;'00_Arquitectura'!$B$121,G1168&lt;'00_Arquitectura'!$B$122),F1168&lt;'00_Arquitectura'!$B$123),1,0),IF(AND(H1168=1,$H$1150=1),1,0))</x:f>
        <x:v>0</x:v>
      </x:c>
      <x:c r="J1168" s="10" t="n">
        <x:f>0</x:f>
        <x:v>0</x:v>
      </x:c>
      <x:c r="K1168" s="10" t="n">
        <x:f>$K$1151</x:f>
        <x:v>49.01603900112586</x:v>
      </x:c>
      <x:c r="L1168" s="10" t="str">
        <x:v>Conflicto activo captura menor eficacia en políticas ejecutadas en t+1. Magnitud0 en J: no es un offset directo de indicador.</x:v>
      </x:c>
    </x:row>
    <x:row r="1169" ht="34" customHeight="1">
      <x:c r="A1169" s="5" t="str">
        <x:v>S3_SALARIO</x:v>
      </x:c>
      <x:c r="B1169" s="5" t="n">
        <x:v>3</x:v>
      </x:c>
      <x:c r="C1169" s="5" t="str">
        <x:v>industria</x:v>
      </x:c>
      <x:c r="D1169" s="5" t="n">
        <x:f>$F$1151</x:f>
        <x:v>46.48148148148148</x:v>
      </x:c>
      <x:c r="E1169" s="5" t="n">
        <x:f>(ABS('03_Sensibilidades'!$C$6)*IF('03_Sensibilidades'!$C$6&lt;0,100-$K$380,$K$380)+ABS('03_Sensibilidades'!$C$7)*IF('03_Sensibilidades'!$C$7&lt;0,100-$K$378,$K$378)+ABS('03_Sensibilidades'!$C$8)*IF('03_Sensibilidades'!$C$8&lt;0,100-$K$383,$K$383)+ABS('03_Sensibilidades'!$C$9)*IF('03_Sensibilidades'!$C$9&lt;0,100-$K$382,$K$382))/(ABS('03_Sensibilidades'!$C$6)+ABS('03_Sensibilidades'!$C$7)+ABS('03_Sensibilidades'!$C$8)+ABS('03_Sensibilidades'!$C$9))</x:f>
        <x:v>46.48148148148148</x:v>
      </x:c>
      <x:c r="F1169" s="5" t="n">
        <x:f>(1-'00_Arquitectura'!$B$95)*D1169+'00_Arquitectura'!$B$95*E1169</x:f>
        <x:v>46.48148148148148</x:v>
      </x:c>
      <x:c r="G1169" s="5" t="n">
        <x:f>'02_Actores'!$I$6</x:f>
        <x:v>45</x:v>
      </x:c>
      <x:c r="H1169" s="5" t="n">
        <x:f>IF(OR(AND(F1169&lt;'00_Arquitectura'!$B$118,G1169&lt;'00_Arquitectura'!$B$119),F1169&lt;'00_Arquitectura'!$B$120),1,0)</x:f>
        <x:v>0</x:v>
      </x:c>
      <x:c r="I1169" s="5" t="n">
        <x:f>IF($I$1151=1,IF(OR(AND(F1169&lt;'00_Arquitectura'!$B$121,G1169&lt;'00_Arquitectura'!$B$122),F1169&lt;'00_Arquitectura'!$B$123),1,0),IF(AND(H1169=1,$H$1151=1),1,0))</x:f>
        <x:v>0</x:v>
      </x:c>
      <x:c r="J1169" s="5" t="n">
        <x:f>-I1169*2*'02_Actores'!$E$6/10</x:f>
        <x:v>0</x:v>
      </x:c>
      <x:c r="K1169" s="5" t="n">
        <x:f>($F$1169*'02_Actores'!$F$6+$F$1170*'02_Actores'!$F$7+$F$1171*'02_Actores'!$F$8+$F$1172*'02_Actores'!$F$9+$F$1173*'02_Actores'!$F$10+$F$1174*'02_Actores'!$F$11+$F$1175*'02_Actores'!$F$12+$F$1176*'02_Actores'!$F$13+$F$1177*'02_Actores'!$F$14+$F$1178*'02_Actores'!$F$15+$F$1179*'02_Actores'!$F$16+$F$1180*'02_Actores'!$F$17+$F$1181*'02_Actores'!$F$18+$F$1182*'02_Actores'!$F$19)/('02_Actores'!$F$6+'02_Actores'!$F$7+'02_Actores'!$F$8+'02_Actores'!$F$9+'02_Actores'!$F$10+'02_Actores'!$F$11+'02_Actores'!$F$12+'02_Actores'!$F$13+'02_Actores'!$F$14+'02_Actores'!$F$15+'02_Actores'!$F$16+'02_Actores'!$F$17+'02_Actores'!$F$18+'02_Actores'!$F$19)</x:f>
        <x:v>49.15164496276493</x:v>
      </x:c>
      <x:c r="L1169" s="5" t="str">
        <x:v>J programa offset para t+1; efecto sustituible y acotado, sin voto adicional.</x:v>
      </x:c>
    </x:row>
    <x:row r="1170" ht="34" customHeight="1">
      <x:c r="A1170" s="10" t="str">
        <x:v>S3_SALARIO</x:v>
      </x:c>
      <x:c r="B1170" s="10" t="n">
        <x:v>3</x:v>
      </x:c>
      <x:c r="C1170" s="10" t="str">
        <x:v>agro</x:v>
      </x:c>
      <x:c r="D1170" s="10" t="n">
        <x:f>$F$1152</x:f>
        <x:v>45.892857142857146</x:v>
      </x:c>
      <x:c r="E1170" s="10" t="n">
        <x:f>(ABS('03_Sensibilidades'!$C$10)*IF('03_Sensibilidades'!$C$10&lt;0,100-$K$382,$K$382)+ABS('03_Sensibilidades'!$C$11)*IF('03_Sensibilidades'!$C$11&lt;0,100-$K$383,$K$383)+ABS('03_Sensibilidades'!$C$12)*IF('03_Sensibilidades'!$C$12&lt;0,100-$K$390,$K$390)+ABS('03_Sensibilidades'!$C$13)*IF('03_Sensibilidades'!$C$13&lt;0,100-$K$380,$K$380))/(ABS('03_Sensibilidades'!$C$10)+ABS('03_Sensibilidades'!$C$11)+ABS('03_Sensibilidades'!$C$12)+ABS('03_Sensibilidades'!$C$13))</x:f>
        <x:v>45.892857142857146</x:v>
      </x:c>
      <x:c r="F1170" s="10" t="n">
        <x:f>(1-'00_Arquitectura'!$B$95)*D1170+'00_Arquitectura'!$B$95*E1170</x:f>
        <x:v>45.892857142857146</x:v>
      </x:c>
      <x:c r="G1170" s="10" t="n">
        <x:f>'02_Actores'!$I$7</x:f>
        <x:v>45</x:v>
      </x:c>
      <x:c r="H1170" s="10" t="n">
        <x:f>IF(OR(AND(F1170&lt;'00_Arquitectura'!$B$118,G1170&lt;'00_Arquitectura'!$B$119),F1170&lt;'00_Arquitectura'!$B$120),1,0)</x:f>
        <x:v>0</x:v>
      </x:c>
      <x:c r="I1170" s="10" t="n">
        <x:f>IF($I$1152=1,IF(OR(AND(F1170&lt;'00_Arquitectura'!$B$121,G1170&lt;'00_Arquitectura'!$B$122),F1170&lt;'00_Arquitectura'!$B$123),1,0),IF(AND(H1170=1,$H$1152=1),1,0))</x:f>
        <x:v>0</x:v>
      </x:c>
      <x:c r="J1170" s="10" t="n">
        <x:f>-I1170*2*'02_Actores'!$E$7/10</x:f>
        <x:v>0</x:v>
      </x:c>
      <x:c r="K1170" s="10" t="n">
        <x:f>$K$1169</x:f>
        <x:v>49.15164496276493</x:v>
      </x:c>
      <x:c r="L1170" s="10" t="str">
        <x:v>J programa offset para t+1; efecto sustituible y acotado, sin voto adicional.</x:v>
      </x:c>
    </x:row>
    <x:row r="1171" ht="34" customHeight="1">
      <x:c r="A1171" s="5" t="str">
        <x:v>S3_SALARIO</x:v>
      </x:c>
      <x:c r="B1171" s="5" t="n">
        <x:v>3</x:v>
      </x:c>
      <x:c r="C1171" s="5" t="str">
        <x:v>financiero</x:v>
      </x:c>
      <x:c r="D1171" s="5" t="n">
        <x:f>$F$1153</x:f>
        <x:v>55</x:v>
      </x:c>
      <x:c r="E1171" s="5" t="n">
        <x:f>(ABS('03_Sensibilidades'!$C$14)*IF('03_Sensibilidades'!$C$14&lt;0,100-$K$381,$K$381)+ABS('03_Sensibilidades'!$C$15)*IF('03_Sensibilidades'!$C$15&lt;0,100-$K$377,$K$377)+ABS('03_Sensibilidades'!$C$16)*IF('03_Sensibilidades'!$C$16&lt;0,100-$K$380,$K$380)+ABS('03_Sensibilidades'!$C$17)*IF('03_Sensibilidades'!$C$17&lt;0,100-$K$389,$K$389))/(ABS('03_Sensibilidades'!$C$14)+ABS('03_Sensibilidades'!$C$15)+ABS('03_Sensibilidades'!$C$16)+ABS('03_Sensibilidades'!$C$17))</x:f>
        <x:v>52.93103448275862</x:v>
      </x:c>
      <x:c r="F1171" s="5" t="n">
        <x:f>(1-'00_Arquitectura'!$B$95)*D1171+'00_Arquitectura'!$B$95*E1171</x:f>
        <x:v>54.275862068965516</x:v>
      </x:c>
      <x:c r="G1171" s="5" t="n">
        <x:f>'02_Actores'!$I$8</x:f>
        <x:v>45</x:v>
      </x:c>
      <x:c r="H1171" s="5" t="n">
        <x:f>IF(OR(AND(F1171&lt;'00_Arquitectura'!$B$118,G1171&lt;'00_Arquitectura'!$B$119),F1171&lt;'00_Arquitectura'!$B$120),1,0)</x:f>
        <x:v>0</x:v>
      </x:c>
      <x:c r="I1171" s="5" t="n">
        <x:f>IF($I$1153=1,IF(OR(AND(F1171&lt;'00_Arquitectura'!$B$121,G1171&lt;'00_Arquitectura'!$B$122),F1171&lt;'00_Arquitectura'!$B$123),1,0),IF(AND(H1171=1,$H$1153=1),1,0))</x:f>
        <x:v>0</x:v>
      </x:c>
      <x:c r="J1171" s="5" t="n">
        <x:f>-I1171*2*'02_Actores'!$E$8/10</x:f>
        <x:v>0</x:v>
      </x:c>
      <x:c r="K1171" s="5" t="n">
        <x:f>$K$1169</x:f>
        <x:v>49.15164496276493</x:v>
      </x:c>
      <x:c r="L1171" s="5" t="str">
        <x:v>J programa offset para t+1; efecto sustituible y acotado, sin voto adicional.</x:v>
      </x:c>
    </x:row>
    <x:row r="1172" ht="34" customHeight="1">
      <x:c r="A1172" s="10" t="str">
        <x:v>S3_SALARIO</x:v>
      </x:c>
      <x:c r="B1172" s="10" t="n">
        <x:v>3</x:v>
      </x:c>
      <x:c r="C1172" s="10" t="str">
        <x:v>sindicatos</x:v>
      </x:c>
      <x:c r="D1172" s="10" t="n">
        <x:f>$F$1154</x:f>
        <x:v>48.53448275862068</x:v>
      </x:c>
      <x:c r="E1172" s="10" t="n">
        <x:f>(ABS('03_Sensibilidades'!$C$18)*IF('03_Sensibilidades'!$C$18&lt;0,100-$K$379,$K$379)+ABS('03_Sensibilidades'!$C$19)*IF('03_Sensibilidades'!$C$19&lt;0,100-$K$378,$K$378)+ABS('03_Sensibilidades'!$C$20)*IF('03_Sensibilidades'!$C$20&lt;0,100-$K$386,$K$386)+ABS('03_Sensibilidades'!$C$21)*IF('03_Sensibilidades'!$C$21&lt;0,100-$K$389,$K$389))/(ABS('03_Sensibilidades'!$C$18)+ABS('03_Sensibilidades'!$C$19)+ABS('03_Sensibilidades'!$C$20)+ABS('03_Sensibilidades'!$C$21))</x:f>
        <x:v>49.6551724137931</x:v>
      </x:c>
      <x:c r="F1172" s="10" t="n">
        <x:f>(1-'00_Arquitectura'!$B$95)*D1172+'00_Arquitectura'!$B$95*E1172</x:f>
        <x:v>48.92672413793103</x:v>
      </x:c>
      <x:c r="G1172" s="10" t="n">
        <x:f>'02_Actores'!$I$9</x:f>
        <x:v>45</x:v>
      </x:c>
      <x:c r="H1172" s="10" t="n">
        <x:f>IF(OR(AND(F1172&lt;'00_Arquitectura'!$B$118,G1172&lt;'00_Arquitectura'!$B$119),F1172&lt;'00_Arquitectura'!$B$120),1,0)</x:f>
        <x:v>0</x:v>
      </x:c>
      <x:c r="I1172" s="10" t="n">
        <x:f>IF($I$1154=1,IF(OR(AND(F1172&lt;'00_Arquitectura'!$B$121,G1172&lt;'00_Arquitectura'!$B$122),F1172&lt;'00_Arquitectura'!$B$123),1,0),IF(AND(H1172=1,$H$1154=1),1,0))</x:f>
        <x:v>0</x:v>
      </x:c>
      <x:c r="J1172" s="10" t="n">
        <x:f>-I1172*2*'02_Actores'!$E$9/10</x:f>
        <x:v>0</x:v>
      </x:c>
      <x:c r="K1172" s="10" t="n">
        <x:f>$K$1169</x:f>
        <x:v>49.15164496276493</x:v>
      </x:c>
      <x:c r="L1172" s="10" t="str">
        <x:v>J programa offset para t+1; efecto sustituible y acotado, sin voto adicional.</x:v>
      </x:c>
    </x:row>
    <x:row r="1173" ht="34" customHeight="1">
      <x:c r="A1173" s="5" t="str">
        <x:v>S3_SALARIO</x:v>
      </x:c>
      <x:c r="B1173" s="5" t="n">
        <x:v>3</x:v>
      </x:c>
      <x:c r="C1173" s="5" t="str">
        <x:v>pymes</x:v>
      </x:c>
      <x:c r="D1173" s="5" t="n">
        <x:f>$F$1155</x:f>
        <x:v>49.13793103448276</x:v>
      </x:c>
      <x:c r="E1173" s="5" t="n">
        <x:f>(ABS('03_Sensibilidades'!$C$22)*IF('03_Sensibilidades'!$C$22&lt;0,100-$K$380,$K$380)+ABS('03_Sensibilidades'!$C$23)*IF('03_Sensibilidades'!$C$23&lt;0,100-$K$378,$K$378)+ABS('03_Sensibilidades'!$C$24)*IF('03_Sensibilidades'!$C$24&lt;0,100-$K$383,$K$383)+ABS('03_Sensibilidades'!$C$25)*IF('03_Sensibilidades'!$C$25&lt;0,100-$K$377,$K$377))/(ABS('03_Sensibilidades'!$C$22)+ABS('03_Sensibilidades'!$C$23)+ABS('03_Sensibilidades'!$C$24)+ABS('03_Sensibilidades'!$C$25))</x:f>
        <x:v>49.13793103448276</x:v>
      </x:c>
      <x:c r="F1173" s="5" t="n">
        <x:f>(1-'00_Arquitectura'!$B$95)*D1173+'00_Arquitectura'!$B$95*E1173</x:f>
        <x:v>49.13793103448276</x:v>
      </x:c>
      <x:c r="G1173" s="5" t="n">
        <x:f>'02_Actores'!$I$10</x:f>
        <x:v>45</x:v>
      </x:c>
      <x:c r="H1173" s="5" t="n">
        <x:f>IF(OR(AND(F1173&lt;'00_Arquitectura'!$B$118,G1173&lt;'00_Arquitectura'!$B$119),F1173&lt;'00_Arquitectura'!$B$120),1,0)</x:f>
        <x:v>0</x:v>
      </x:c>
      <x:c r="I1173" s="5" t="n">
        <x:f>IF($I$1155=1,IF(OR(AND(F1173&lt;'00_Arquitectura'!$B$121,G1173&lt;'00_Arquitectura'!$B$122),F1173&lt;'00_Arquitectura'!$B$123),1,0),IF(AND(H1173=1,$H$1155=1),1,0))</x:f>
        <x:v>0</x:v>
      </x:c>
      <x:c r="J1173" s="5" t="n">
        <x:f>-I1173*2*'02_Actores'!$E$10/10</x:f>
        <x:v>0</x:v>
      </x:c>
      <x:c r="K1173" s="5" t="n">
        <x:f>$K$1169</x:f>
        <x:v>49.15164496276493</x:v>
      </x:c>
      <x:c r="L1173" s="5" t="str">
        <x:v>J programa offset para t+1; efecto sustituible y acotado, sin voto adicional.</x:v>
      </x:c>
    </x:row>
    <x:row r="1174" ht="34" customHeight="1">
      <x:c r="A1174" s="10" t="str">
        <x:v>S3_SALARIO</x:v>
      </x:c>
      <x:c r="B1174" s="10" t="n">
        <x:v>3</x:v>
      </x:c>
      <x:c r="C1174" s="10" t="str">
        <x:v>clase_media</x:v>
      </x:c>
      <x:c r="D1174" s="10" t="n">
        <x:f>$F$1156</x:f>
        <x:v>48.98148148148148</x:v>
      </x:c>
      <x:c r="E1174" s="10" t="n">
        <x:f>(ABS('03_Sensibilidades'!$C$26)*IF('03_Sensibilidades'!$C$26&lt;0,100-$K$379,$K$379)+ABS('03_Sensibilidades'!$C$27)*IF('03_Sensibilidades'!$C$27&lt;0,100-$K$387,$K$387)+ABS('03_Sensibilidades'!$C$28)*IF('03_Sensibilidades'!$C$28&lt;0,100-$K$384,$K$384)+ABS('03_Sensibilidades'!$C$29)*IF('03_Sensibilidades'!$C$29&lt;0,100-$K$377,$K$377))/(ABS('03_Sensibilidades'!$C$26)+ABS('03_Sensibilidades'!$C$27)+ABS('03_Sensibilidades'!$C$28)+ABS('03_Sensibilidades'!$C$29))</x:f>
        <x:v>50.18518518518518</x:v>
      </x:c>
      <x:c r="F1174" s="10" t="n">
        <x:f>(1-'00_Arquitectura'!$B$95)*D1174+'00_Arquitectura'!$B$95*E1174</x:f>
        <x:v>49.40277777777778</x:v>
      </x:c>
      <x:c r="G1174" s="10" t="n">
        <x:f>'02_Actores'!$I$11</x:f>
        <x:v>45</x:v>
      </x:c>
      <x:c r="H1174" s="10" t="n">
        <x:f>IF(OR(AND(F1174&lt;'00_Arquitectura'!$B$118,G1174&lt;'00_Arquitectura'!$B$119),F1174&lt;'00_Arquitectura'!$B$120),1,0)</x:f>
        <x:v>0</x:v>
      </x:c>
      <x:c r="I1174" s="10" t="n">
        <x:f>IF($I$1156=1,IF(OR(AND(F1174&lt;'00_Arquitectura'!$B$121,G1174&lt;'00_Arquitectura'!$B$122),F1174&lt;'00_Arquitectura'!$B$123),1,0),IF(AND(H1174=1,$H$1156=1),1,0))</x:f>
        <x:v>0</x:v>
      </x:c>
      <x:c r="J1174" s="10" t="n">
        <x:f>0</x:f>
        <x:v>0</x:v>
      </x:c>
      <x:c r="K1174" s="10" t="n">
        <x:f>$K$1169</x:f>
        <x:v>49.15164496276493</x:v>
      </x:c>
      <x:c r="L1174" s="10" t="str">
        <x:v>Canal directo sólo al índice social; sin bono de popularidad.</x:v>
      </x:c>
    </x:row>
    <x:row r="1175" ht="34" customHeight="1">
      <x:c r="A1175" s="5" t="str">
        <x:v>S3_SALARIO</x:v>
      </x:c>
      <x:c r="B1175" s="5" t="n">
        <x:v>3</x:v>
      </x:c>
      <x:c r="C1175" s="5" t="str">
        <x:v>cooperativas</x:v>
      </x:c>
      <x:c r="D1175" s="5" t="n">
        <x:f>$F$1157</x:f>
        <x:v>47.77777777777778</x:v>
      </x:c>
      <x:c r="E1175" s="5" t="n">
        <x:f>(ABS('03_Sensibilidades'!$C$30)*IF('03_Sensibilidades'!$C$30&lt;0,100-$K$380,$K$380)+ABS('03_Sensibilidades'!$C$31)*IF('03_Sensibilidades'!$C$31&lt;0,100-$K$378,$K$378)+ABS('03_Sensibilidades'!$C$32)*IF('03_Sensibilidades'!$C$32&lt;0,100-$K$386,$K$386)+ABS('03_Sensibilidades'!$C$33)*IF('03_Sensibilidades'!$C$33&lt;0,100-$K$389,$K$389))/(ABS('03_Sensibilidades'!$C$30)+ABS('03_Sensibilidades'!$C$31)+ABS('03_Sensibilidades'!$C$32)+ABS('03_Sensibilidades'!$C$33))</x:f>
        <x:v>47.77777777777778</x:v>
      </x:c>
      <x:c r="F1175" s="5" t="n">
        <x:f>(1-'00_Arquitectura'!$B$95)*D1175+'00_Arquitectura'!$B$95*E1175</x:f>
        <x:v>47.77777777777778</x:v>
      </x:c>
      <x:c r="G1175" s="5" t="n">
        <x:f>'02_Actores'!$I$12</x:f>
        <x:v>45</x:v>
      </x:c>
      <x:c r="H1175" s="5" t="n">
        <x:f>IF(OR(AND(F1175&lt;'00_Arquitectura'!$B$118,G1175&lt;'00_Arquitectura'!$B$119),F1175&lt;'00_Arquitectura'!$B$120),1,0)</x:f>
        <x:v>0</x:v>
      </x:c>
      <x:c r="I1175" s="5" t="n">
        <x:f>IF($I$1157=1,IF(OR(AND(F1175&lt;'00_Arquitectura'!$B$121,G1175&lt;'00_Arquitectura'!$B$122),F1175&lt;'00_Arquitectura'!$B$123),1,0),IF(AND(H1175=1,$H$1157=1),1,0))</x:f>
        <x:v>0</x:v>
      </x:c>
      <x:c r="J1175" s="5" t="n">
        <x:f>-I1175*1.5*'02_Actores'!$E$12/10</x:f>
        <x:v>0</x:v>
      </x:c>
      <x:c r="K1175" s="5" t="n">
        <x:f>$K$1169</x:f>
        <x:v>49.15164496276493</x:v>
      </x:c>
      <x:c r="L1175" s="5" t="str">
        <x:v>J programa offset para t+1; efecto sustituible y acotado, sin voto adicional.</x:v>
      </x:c>
    </x:row>
    <x:row r="1176" ht="42" customHeight="1">
      <x:c r="A1176" s="10" t="str">
        <x:v>S3_SALARIO</x:v>
      </x:c>
      <x:c r="B1176" s="10" t="n">
        <x:v>3</x:v>
      </x:c>
      <x:c r="C1176" s="10" t="str">
        <x:v>estudiantes</x:v>
      </x:c>
      <x:c r="D1176" s="10" t="n">
        <x:f>$F$1158</x:f>
        <x:v>49.550000000000004</x:v>
      </x:c>
      <x:c r="E1176" s="10" t="n">
        <x:f>(ABS('03_Sensibilidades'!$C$34)*IF('03_Sensibilidades'!$C$34&lt;0,100-$K$384,$K$384)+ABS('03_Sensibilidades'!$C$35)*IF('03_Sensibilidades'!$C$35&lt;0,100-$K$379,$K$379)+ABS('03_Sensibilidades'!$C$36)*IF('03_Sensibilidades'!$C$36&lt;0,100-$K$389,$K$389)+ABS('03_Sensibilidades'!$C$37)*IF('03_Sensibilidades'!$C$37&lt;0,100-$K$388,$K$388))/(ABS('03_Sensibilidades'!$C$34)+ABS('03_Sensibilidades'!$C$35)+ABS('03_Sensibilidades'!$C$36)+ABS('03_Sensibilidades'!$C$37))</x:f>
        <x:v>50.2</x:v>
      </x:c>
      <x:c r="F1176" s="10" t="n">
        <x:f>(1-'00_Arquitectura'!$B$95)*D1176+'00_Arquitectura'!$B$95*E1176</x:f>
        <x:v>49.7775</x:v>
      </x:c>
      <x:c r="G1176" s="10" t="n">
        <x:f>'02_Actores'!$I$13</x:f>
        <x:v>45</x:v>
      </x:c>
      <x:c r="H1176" s="10" t="n">
        <x:f>IF(OR(AND(F1176&lt;'00_Arquitectura'!$B$118,G1176&lt;'00_Arquitectura'!$B$119),F1176&lt;'00_Arquitectura'!$B$120),1,0)</x:f>
        <x:v>0</x:v>
      </x:c>
      <x:c r="I1176" s="10" t="n">
        <x:f>IF($I$1158=1,IF(OR(AND(F1176&lt;'00_Arquitectura'!$B$121,G1176&lt;'00_Arquitectura'!$B$122),F1176&lt;'00_Arquitectura'!$B$123),1,0),IF(AND(H1176=1,$H$1158=1),1,0))</x:f>
        <x:v>0</x:v>
      </x:c>
      <x:c r="J1176" s="10" t="n">
        <x:f>0</x:f>
        <x:v>0</x:v>
      </x:c>
      <x:c r="K1176" s="10" t="n">
        <x:f>$K$1169</x:f>
        <x:v>49.15164496276493</x:v>
      </x:c>
      <x:c r="L1176" s="10" t="str">
        <x:v>Conflicto activo captura menor eficacia en políticas ejecutadas en t+1. Magnitud0 en J: no es un offset directo de indicador.</x:v>
      </x:c>
    </x:row>
    <x:row r="1177" ht="34" customHeight="1">
      <x:c r="A1177" s="5" t="str">
        <x:v>S3_SALARIO</x:v>
      </x:c>
      <x:c r="B1177" s="5" t="n">
        <x:v>3</x:v>
      </x:c>
      <x:c r="C1177" s="5" t="str">
        <x:v>docentes</x:v>
      </x:c>
      <x:c r="D1177" s="5" t="n">
        <x:f>$F$1159</x:f>
        <x:v>49.59782608695652</x:v>
      </x:c>
      <x:c r="E1177" s="5" t="n">
        <x:f>(ABS('03_Sensibilidades'!$C$38)*IF('03_Sensibilidades'!$C$38&lt;0,100-$K$384,$K$384)+ABS('03_Sensibilidades'!$C$39)*IF('03_Sensibilidades'!$C$39&lt;0,100-$K$379,$K$379)+ABS('03_Sensibilidades'!$C$40)*IF('03_Sensibilidades'!$C$40&lt;0,100-$K$389,$K$389))/(ABS('03_Sensibilidades'!$C$38)+ABS('03_Sensibilidades'!$C$39)+ABS('03_Sensibilidades'!$C$40))</x:f>
        <x:v>50.869565217391305</x:v>
      </x:c>
      <x:c r="F1177" s="5" t="n">
        <x:f>(1-'00_Arquitectura'!$B$95)*D1177+'00_Arquitectura'!$B$95*E1177</x:f>
        <x:v>50.0429347826087</x:v>
      </x:c>
      <x:c r="G1177" s="5" t="n">
        <x:f>'02_Actores'!$I$14</x:f>
        <x:v>45</x:v>
      </x:c>
      <x:c r="H1177" s="5" t="n">
        <x:f>IF(OR(AND(F1177&lt;'00_Arquitectura'!$B$118,G1177&lt;'00_Arquitectura'!$B$119),F1177&lt;'00_Arquitectura'!$B$120),1,0)</x:f>
        <x:v>0</x:v>
      </x:c>
      <x:c r="I1177" s="5" t="n">
        <x:f>IF($I$1159=1,IF(OR(AND(F1177&lt;'00_Arquitectura'!$B$121,G1177&lt;'00_Arquitectura'!$B$122),F1177&lt;'00_Arquitectura'!$B$123),1,0),IF(AND(H1177=1,$H$1159=1),1,0))</x:f>
        <x:v>0</x:v>
      </x:c>
      <x:c r="J1177" s="5" t="n">
        <x:f>-I1177*1.5*'02_Actores'!$E$14/10</x:f>
        <x:v>0</x:v>
      </x:c>
      <x:c r="K1177" s="5" t="n">
        <x:f>$K$1169</x:f>
        <x:v>49.15164496276493</x:v>
      </x:c>
      <x:c r="L1177" s="5" t="str">
        <x:v>J programa offset para t+1; efecto sustituible y acotado, sin voto adicional.</x:v>
      </x:c>
    </x:row>
    <x:row r="1178" ht="34" customHeight="1">
      <x:c r="A1178" s="10" t="str">
        <x:v>S3_SALARIO</x:v>
      </x:c>
      <x:c r="B1178" s="10" t="n">
        <x:v>3</x:v>
      </x:c>
      <x:c r="C1178" s="10" t="str">
        <x:v>cientificos</x:v>
      </x:c>
      <x:c r="D1178" s="10" t="n">
        <x:f>$F$1160</x:f>
        <x:v>46.59090909090909</x:v>
      </x:c>
      <x:c r="E1178" s="10" t="n">
        <x:f>(ABS('03_Sensibilidades'!$C$41)*IF('03_Sensibilidades'!$C$41&lt;0,100-$K$388,$K$388)+ABS('03_Sensibilidades'!$C$42)*IF('03_Sensibilidades'!$C$42&lt;0,100-$K$384,$K$384)+ABS('03_Sensibilidades'!$C$43)*IF('03_Sensibilidades'!$C$43&lt;0,100-$K$389,$K$389))/(ABS('03_Sensibilidades'!$C$41)+ABS('03_Sensibilidades'!$C$42)+ABS('03_Sensibilidades'!$C$43))</x:f>
        <x:v>46.59090909090909</x:v>
      </x:c>
      <x:c r="F1178" s="10" t="n">
        <x:f>(1-'00_Arquitectura'!$B$95)*D1178+'00_Arquitectura'!$B$95*E1178</x:f>
        <x:v>46.59090909090909</x:v>
      </x:c>
      <x:c r="G1178" s="10" t="n">
        <x:f>'02_Actores'!$I$15</x:f>
        <x:v>45</x:v>
      </x:c>
      <x:c r="H1178" s="10" t="n">
        <x:f>IF(OR(AND(F1178&lt;'00_Arquitectura'!$B$118,G1178&lt;'00_Arquitectura'!$B$119),F1178&lt;'00_Arquitectura'!$B$120),1,0)</x:f>
        <x:v>0</x:v>
      </x:c>
      <x:c r="I1178" s="10" t="n">
        <x:f>IF($I$1160=1,IF(OR(AND(F1178&lt;'00_Arquitectura'!$B$121,G1178&lt;'00_Arquitectura'!$B$122),F1178&lt;'00_Arquitectura'!$B$123),1,0),IF(AND(H1178=1,$H$1160=1),1,0))</x:f>
        <x:v>0</x:v>
      </x:c>
      <x:c r="J1178" s="10" t="n">
        <x:f>-I1178*1.5*'02_Actores'!$E$15/10</x:f>
        <x:v>0</x:v>
      </x:c>
      <x:c r="K1178" s="10" t="n">
        <x:f>$K$1169</x:f>
        <x:v>49.15164496276493</x:v>
      </x:c>
      <x:c r="L1178" s="10" t="str">
        <x:v>J programa offset para t+1; efecto sustituible y acotado, sin voto adicional.</x:v>
      </x:c>
    </x:row>
    <x:row r="1179" ht="34" customHeight="1">
      <x:c r="A1179" s="5" t="str">
        <x:v>S3_SALARIO</x:v>
      </x:c>
      <x:c r="B1179" s="5" t="n">
        <x:v>3</x:v>
      </x:c>
      <x:c r="C1179" s="5" t="str">
        <x:v>organizaciones</x:v>
      </x:c>
      <x:c r="D1179" s="5" t="n">
        <x:f>$F$1161</x:f>
        <x:v>49.107142857142854</x:v>
      </x:c>
      <x:c r="E1179" s="5" t="n">
        <x:f>(ABS('03_Sensibilidades'!$C$44)*IF('03_Sensibilidades'!$C$44&lt;0,100-$K$386,$K$386)+ABS('03_Sensibilidades'!$C$45)*IF('03_Sensibilidades'!$C$45&lt;0,100-$K$385,$K$385)+ABS('03_Sensibilidades'!$C$46)*IF('03_Sensibilidades'!$C$46&lt;0,100-$K$378,$K$378)+ABS('03_Sensibilidades'!$C$47)*IF('03_Sensibilidades'!$C$47&lt;0,100-$K$389,$K$389))/(ABS('03_Sensibilidades'!$C$44)+ABS('03_Sensibilidades'!$C$45)+ABS('03_Sensibilidades'!$C$46)+ABS('03_Sensibilidades'!$C$47))</x:f>
        <x:v>49.107142857142854</x:v>
      </x:c>
      <x:c r="F1179" s="5" t="n">
        <x:f>(1-'00_Arquitectura'!$B$95)*D1179+'00_Arquitectura'!$B$95*E1179</x:f>
        <x:v>49.107142857142854</x:v>
      </x:c>
      <x:c r="G1179" s="5" t="n">
        <x:f>'02_Actores'!$I$16</x:f>
        <x:v>45</x:v>
      </x:c>
      <x:c r="H1179" s="5" t="n">
        <x:f>IF(OR(AND(F1179&lt;'00_Arquitectura'!$B$118,G1179&lt;'00_Arquitectura'!$B$119),F1179&lt;'00_Arquitectura'!$B$120),1,0)</x:f>
        <x:v>0</x:v>
      </x:c>
      <x:c r="I1179" s="5" t="n">
        <x:f>IF($I$1161=1,IF(OR(AND(F1179&lt;'00_Arquitectura'!$B$121,G1179&lt;'00_Arquitectura'!$B$122),F1179&lt;'00_Arquitectura'!$B$123),1,0),IF(AND(H1179=1,$H$1161=1),1,0))</x:f>
        <x:v>0</x:v>
      </x:c>
      <x:c r="J1179" s="5" t="n">
        <x:f>-I1179*1.5*'02_Actores'!$E$16/10</x:f>
        <x:v>0</x:v>
      </x:c>
      <x:c r="K1179" s="5" t="n">
        <x:f>$K$1169</x:f>
        <x:v>49.15164496276493</x:v>
      </x:c>
      <x:c r="L1179" s="5" t="str">
        <x:v>J programa offset para t+1; efecto sustituible y acotado, sin voto adicional.</x:v>
      </x:c>
    </x:row>
    <x:row r="1180" ht="42" customHeight="1">
      <x:c r="A1180" s="10" t="str">
        <x:v>S3_SALARIO</x:v>
      </x:c>
      <x:c r="B1180" s="10" t="n">
        <x:v>3</x:v>
      </x:c>
      <x:c r="C1180" s="10" t="str">
        <x:v>ddhh</x:v>
      </x:c>
      <x:c r="D1180" s="10" t="n">
        <x:f>$F$1162</x:f>
        <x:v>50.88235294117648</x:v>
      </x:c>
      <x:c r="E1180" s="10" t="n">
        <x:f>(ABS('03_Sensibilidades'!$C$48)*IF('03_Sensibilidades'!$C$48&lt;0,100-$K$389,$K$389)+ABS('03_Sensibilidades'!$C$49)*IF('03_Sensibilidades'!$C$49&lt;0,100-$K$387,$K$387)+ABS('03_Sensibilidades'!$C$50)*IF('03_Sensibilidades'!$C$50&lt;0,100-$K$386,$K$386))/(ABS('03_Sensibilidades'!$C$48)+ABS('03_Sensibilidades'!$C$49)+ABS('03_Sensibilidades'!$C$50))</x:f>
        <x:v>50.88235294117647</x:v>
      </x:c>
      <x:c r="F1180" s="10" t="n">
        <x:f>(1-'00_Arquitectura'!$B$95)*D1180+'00_Arquitectura'!$B$95*E1180</x:f>
        <x:v>50.88235294117648</x:v>
      </x:c>
      <x:c r="G1180" s="10" t="n">
        <x:f>'02_Actores'!$I$17</x:f>
        <x:v>45</x:v>
      </x:c>
      <x:c r="H1180" s="10" t="n">
        <x:f>IF(OR(AND(F1180&lt;'00_Arquitectura'!$B$118,G1180&lt;'00_Arquitectura'!$B$119),F1180&lt;'00_Arquitectura'!$B$120),1,0)</x:f>
        <x:v>0</x:v>
      </x:c>
      <x:c r="I1180" s="10" t="n">
        <x:f>IF($I$1162=1,IF(OR(AND(F1180&lt;'00_Arquitectura'!$B$121,G1180&lt;'00_Arquitectura'!$B$122),F1180&lt;'00_Arquitectura'!$B$123),1,0),IF(AND(H1180=1,$H$1162=1),1,0))</x:f>
        <x:v>0</x:v>
      </x:c>
      <x:c r="J1180" s="10" t="n">
        <x:f>0</x:f>
        <x:v>0</x:v>
      </x:c>
      <x:c r="K1180" s="10" t="n">
        <x:f>$K$1169</x:f>
        <x:v>49.15164496276493</x:v>
      </x:c>
      <x:c r="L1180" s="10" t="str">
        <x:v>Conflicto activo captura menor eficacia en políticas ejecutadas en t+1. Magnitud0 en J: no es un offset directo de indicador.</x:v>
      </x:c>
    </x:row>
    <x:row r="1181" ht="42" customHeight="1">
      <x:c r="A1181" s="5" t="str">
        <x:v>S3_SALARIO</x:v>
      </x:c>
      <x:c r="B1181" s="5" t="n">
        <x:v>3</x:v>
      </x:c>
      <x:c r="C1181" s="5" t="str">
        <x:v>ambientalistas</x:v>
      </x:c>
      <x:c r="D1181" s="5" t="n">
        <x:f>$F$1163</x:f>
        <x:v>51.388888888888886</x:v>
      </x:c>
      <x:c r="E1181" s="5" t="n">
        <x:f>(ABS('03_Sensibilidades'!$C$51)*IF('03_Sensibilidades'!$C$51&lt;0,100-$K$390,$K$390)+ABS('03_Sensibilidades'!$C$52)*IF('03_Sensibilidades'!$C$52&lt;0,100-$K$389,$K$389)+ABS('03_Sensibilidades'!$C$53)*IF('03_Sensibilidades'!$C$53&lt;0,100-$K$385,$K$385))/(ABS('03_Sensibilidades'!$C$51)+ABS('03_Sensibilidades'!$C$52)+ABS('03_Sensibilidades'!$C$53))</x:f>
        <x:v>51.388888888888886</x:v>
      </x:c>
      <x:c r="F1181" s="5" t="n">
        <x:f>(1-'00_Arquitectura'!$B$95)*D1181+'00_Arquitectura'!$B$95*E1181</x:f>
        <x:v>51.388888888888886</x:v>
      </x:c>
      <x:c r="G1181" s="5" t="n">
        <x:f>'02_Actores'!$I$18</x:f>
        <x:v>45</x:v>
      </x:c>
      <x:c r="H1181" s="5" t="n">
        <x:f>IF(OR(AND(F1181&lt;'00_Arquitectura'!$B$118,G1181&lt;'00_Arquitectura'!$B$119),F1181&lt;'00_Arquitectura'!$B$120),1,0)</x:f>
        <x:v>0</x:v>
      </x:c>
      <x:c r="I1181" s="5" t="n">
        <x:f>IF($I$1163=1,IF(OR(AND(F1181&lt;'00_Arquitectura'!$B$121,G1181&lt;'00_Arquitectura'!$B$122),F1181&lt;'00_Arquitectura'!$B$123),1,0),IF(AND(H1181=1,$H$1163=1),1,0))</x:f>
        <x:v>0</x:v>
      </x:c>
      <x:c r="J1181" s="5" t="n">
        <x:f>0</x:f>
        <x:v>0</x:v>
      </x:c>
      <x:c r="K1181" s="5" t="n">
        <x:f>$K$1169</x:f>
        <x:v>49.15164496276493</x:v>
      </x:c>
      <x:c r="L1181" s="5" t="str">
        <x:v>Conflicto activo captura menor eficacia en políticas ejecutadas en t+1. Magnitud0 en J: no es un offset directo de indicador.</x:v>
      </x:c>
    </x:row>
    <x:row r="1182" ht="34" customHeight="1">
      <x:c r="A1182" s="10" t="str">
        <x:v>S3_SALARIO</x:v>
      </x:c>
      <x:c r="B1182" s="10" t="n">
        <x:v>3</x:v>
      </x:c>
      <x:c r="C1182" s="10" t="str">
        <x:v>cultura</x:v>
      </x:c>
      <x:c r="D1182" s="10" t="n">
        <x:f>$F$1164</x:f>
        <x:v>51.25</x:v>
      </x:c>
      <x:c r="E1182" s="10" t="n">
        <x:f>(ABS('03_Sensibilidades'!$C$54)*IF('03_Sensibilidades'!$C$54&lt;0,100-$K$389,$K$389)+ABS('03_Sensibilidades'!$C$55)*IF('03_Sensibilidades'!$C$55&lt;0,100-$K$384,$K$384)+ABS('03_Sensibilidades'!$C$56)*IF('03_Sensibilidades'!$C$56&lt;0,100-$K$379,$K$379))/(ABS('03_Sensibilidades'!$C$54)+ABS('03_Sensibilidades'!$C$55)+ABS('03_Sensibilidades'!$C$56))</x:f>
        <x:v>52.10526315789474</x:v>
      </x:c>
      <x:c r="F1182" s="10" t="n">
        <x:f>(1-'00_Arquitectura'!$B$95)*D1182+'00_Arquitectura'!$B$95*E1182</x:f>
        <x:v>51.54934210526316</x:v>
      </x:c>
      <x:c r="G1182" s="10" t="n">
        <x:f>'02_Actores'!$I$19</x:f>
        <x:v>45</x:v>
      </x:c>
      <x:c r="H1182" s="10" t="n">
        <x:f>IF(OR(AND(F1182&lt;'00_Arquitectura'!$B$118,G1182&lt;'00_Arquitectura'!$B$119),F1182&lt;'00_Arquitectura'!$B$120),1,0)</x:f>
        <x:v>0</x:v>
      </x:c>
      <x:c r="I1182" s="10" t="n">
        <x:f>IF($I$1164=1,IF(OR(AND(F1182&lt;'00_Arquitectura'!$B$121,G1182&lt;'00_Arquitectura'!$B$122),F1182&lt;'00_Arquitectura'!$B$123),1,0),IF(AND(H1182=1,$H$1164=1),1,0))</x:f>
        <x:v>0</x:v>
      </x:c>
      <x:c r="J1182" s="10" t="n">
        <x:f>0</x:f>
        <x:v>0</x:v>
      </x:c>
      <x:c r="K1182" s="10" t="n">
        <x:f>$K$1169</x:f>
        <x:v>49.15164496276493</x:v>
      </x:c>
      <x:c r="L1182" s="10" t="str">
        <x:v>Conflicto activo encarece agenda del turno siguiente; sin castigo electoral adicional.</x:v>
      </x:c>
    </x:row>
    <x:row r="1183" ht="34" customHeight="1">
      <x:c r="A1183" s="5" t="str">
        <x:v>S3_SALARIO</x:v>
      </x:c>
      <x:c r="B1183" s="5" t="n">
        <x:v>3</x:v>
      </x:c>
      <x:c r="C1183" s="5" t="str">
        <x:v>oficialismo</x:v>
      </x:c>
      <x:c r="D1183" s="5" t="n">
        <x:f>$F$1165</x:f>
        <x:v>52.12</x:v>
      </x:c>
      <x:c r="E1183" s="5" t="n">
        <x:f>(ABS('03_Sensibilidades'!$C$57)*IF('03_Sensibilidades'!$C$57&lt;0,100-$K$389,$K$389)+ABS('03_Sensibilidades'!$C$58)*IF('03_Sensibilidades'!$C$58&lt;0,100-$K$378,$K$378)+ABS('03_Sensibilidades'!$C$59)*IF('03_Sensibilidades'!$C$59&lt;0,100-$K$381,$K$381)+ABS('03_Sensibilidades'!$C$60)*IF('03_Sensibilidades'!$C$60&lt;0,100-$K$386,$K$386))/(ABS('03_Sensibilidades'!$C$57)+ABS('03_Sensibilidades'!$C$58)+ABS('03_Sensibilidades'!$C$59)+ABS('03_Sensibilidades'!$C$60))</x:f>
        <x:v>50.68</x:v>
      </x:c>
      <x:c r="F1183" s="5" t="n">
        <x:f>(1-'00_Arquitectura'!$B$95)*D1183+'00_Arquitectura'!$B$95*E1183</x:f>
        <x:v>51.616</x:v>
      </x:c>
      <x:c r="G1183" s="5" t="n">
        <x:f>'02_Actores'!$I$20</x:f>
        <x:v>60</x:v>
      </x:c>
      <x:c r="H1183" s="5" t="n">
        <x:f>IF(OR(AND(F1183&lt;'00_Arquitectura'!$B$118,G1183&lt;'00_Arquitectura'!$B$119),F1183&lt;'00_Arquitectura'!$B$120),1,0)</x:f>
        <x:v>0</x:v>
      </x:c>
      <x:c r="I1183" s="5" t="n">
        <x:f>IF($I$1165=1,IF(OR(AND(F1183&lt;'00_Arquitectura'!$B$121,G1183&lt;'00_Arquitectura'!$B$122),F1183&lt;'00_Arquitectura'!$B$123),1,0),IF(AND(H1183=1,$H$1165=1),1,0))</x:f>
        <x:v>0</x:v>
      </x:c>
      <x:c r="J1183" s="5" t="n">
        <x:f>0</x:f>
        <x:v>0</x:v>
      </x:c>
      <x:c r="K1183" s="5" t="n">
        <x:f>$K$1169</x:f>
        <x:v>49.15164496276493</x:v>
      </x:c>
      <x:c r="L1183" s="5" t="str">
        <x:v>No aporta E_social; S y R alimentan disposición a leyes según07.</x:v>
      </x:c>
    </x:row>
    <x:row r="1184" ht="34" customHeight="1">
      <x:c r="A1184" s="10" t="str">
        <x:v>S3_SALARIO</x:v>
      </x:c>
      <x:c r="B1184" s="10" t="n">
        <x:v>3</x:v>
      </x:c>
      <x:c r="C1184" s="10" t="str">
        <x:v>aliados</x:v>
      </x:c>
      <x:c r="D1184" s="10" t="n">
        <x:f>$F$1166</x:f>
        <x:v>53.142857142857146</x:v>
      </x:c>
      <x:c r="E1184" s="10" t="n">
        <x:f>(ABS('03_Sensibilidades'!$C$61)*IF('03_Sensibilidades'!$C$61&lt;0,100-$K$389,$K$389)+ABS('03_Sensibilidades'!$C$62)*IF('03_Sensibilidades'!$C$62&lt;0,100-$K$381,$K$381)+ABS('03_Sensibilidades'!$C$63)*IF('03_Sensibilidades'!$C$63&lt;0,100-$K$383,$K$383))/(ABS('03_Sensibilidades'!$C$61)+ABS('03_Sensibilidades'!$C$62)+ABS('03_Sensibilidades'!$C$63))</x:f>
        <x:v>51.142857142857146</x:v>
      </x:c>
      <x:c r="F1184" s="10" t="n">
        <x:f>(1-'00_Arquitectura'!$B$95)*D1184+'00_Arquitectura'!$B$95*E1184</x:f>
        <x:v>52.44285714285714</x:v>
      </x:c>
      <x:c r="G1184" s="10" t="n">
        <x:f>'02_Actores'!$I$21</x:f>
        <x:v>45</x:v>
      </x:c>
      <x:c r="H1184" s="10" t="n">
        <x:f>IF(OR(AND(F1184&lt;'00_Arquitectura'!$B$118,G1184&lt;'00_Arquitectura'!$B$119),F1184&lt;'00_Arquitectura'!$B$120),1,0)</x:f>
        <x:v>0</x:v>
      </x:c>
      <x:c r="I1184" s="10" t="n">
        <x:f>IF($I$1166=1,IF(OR(AND(F1184&lt;'00_Arquitectura'!$B$121,G1184&lt;'00_Arquitectura'!$B$122),F1184&lt;'00_Arquitectura'!$B$123),1,0),IF(AND(H1184=1,$H$1166=1),1,0))</x:f>
        <x:v>0</x:v>
      </x:c>
      <x:c r="J1184" s="10" t="n">
        <x:f>0</x:f>
        <x:v>0</x:v>
      </x:c>
      <x:c r="K1184" s="10" t="n">
        <x:f>$K$1169</x:f>
        <x:v>49.15164496276493</x:v>
      </x:c>
      <x:c r="L1184" s="10" t="str">
        <x:v>No aporta E_social; S y R alimentan disposición a leyes según07.</x:v>
      </x:c>
    </x:row>
    <x:row r="1185" ht="34" customHeight="1">
      <x:c r="A1185" s="5" t="str">
        <x:v>S3_SALARIO</x:v>
      </x:c>
      <x:c r="B1185" s="5" t="n">
        <x:v>3</x:v>
      </x:c>
      <x:c r="C1185" s="5" t="str">
        <x:v>oposicion</x:v>
      </x:c>
      <x:c r="D1185" s="5" t="n">
        <x:f>$F$1167</x:f>
        <x:v>53.900000000000006</x:v>
      </x:c>
      <x:c r="E1185" s="5" t="n">
        <x:f>(ABS('03_Sensibilidades'!$C$64)*IF('03_Sensibilidades'!$C$64&lt;0,100-$K$389,$K$389)+ABS('03_Sensibilidades'!$C$65)*IF('03_Sensibilidades'!$C$65&lt;0,100-$K$381,$K$381)+ABS('03_Sensibilidades'!$C$66)*IF('03_Sensibilidades'!$C$66&lt;0,100-$K$387,$K$387))/(ABS('03_Sensibilidades'!$C$64)+ABS('03_Sensibilidades'!$C$65)+ABS('03_Sensibilidades'!$C$66))</x:f>
        <x:v>52.1</x:v>
      </x:c>
      <x:c r="F1185" s="5" t="n">
        <x:f>(1-'00_Arquitectura'!$B$95)*D1185+'00_Arquitectura'!$B$95*E1185</x:f>
        <x:v>53.27</x:v>
      </x:c>
      <x:c r="G1185" s="5" t="n">
        <x:f>'02_Actores'!$I$22</x:f>
        <x:v>30</x:v>
      </x:c>
      <x:c r="H1185" s="5" t="n">
        <x:f>IF(OR(AND(F1185&lt;'00_Arquitectura'!$B$118,G1185&lt;'00_Arquitectura'!$B$119),F1185&lt;'00_Arquitectura'!$B$120),1,0)</x:f>
        <x:v>0</x:v>
      </x:c>
      <x:c r="I1185" s="5" t="n">
        <x:f>IF($I$1167=1,IF(OR(AND(F1185&lt;'00_Arquitectura'!$B$121,G1185&lt;'00_Arquitectura'!$B$122),F1185&lt;'00_Arquitectura'!$B$123),1,0),IF(AND(H1185=1,$H$1167=1),1,0))</x:f>
        <x:v>0</x:v>
      </x:c>
      <x:c r="J1185" s="5" t="n">
        <x:f>0</x:f>
        <x:v>0</x:v>
      </x:c>
      <x:c r="K1185" s="5" t="n">
        <x:f>$K$1169</x:f>
        <x:v>49.15164496276493</x:v>
      </x:c>
      <x:c r="L1185" s="5" t="str">
        <x:v>No aporta E_social; S y R alimentan disposición a leyes según07.</x:v>
      </x:c>
    </x:row>
    <x:row r="1186" ht="42" customHeight="1">
      <x:c r="A1186" s="10" t="str">
        <x:v>S3_SALARIO</x:v>
      </x:c>
      <x:c r="B1186" s="10" t="n">
        <x:v>3</x:v>
      </x:c>
      <x:c r="C1186" s="10" t="str">
        <x:v>gobernadores</x:v>
      </x:c>
      <x:c r="D1186" s="10" t="n">
        <x:f>$F$1168</x:f>
        <x:v>50.10344827586207</x:v>
      </x:c>
      <x:c r="E1186" s="10" t="n">
        <x:f>(ABS('03_Sensibilidades'!$C$67)*IF('03_Sensibilidades'!$C$67&lt;0,100-$K$383,$K$383)+ABS('03_Sensibilidades'!$C$68)*IF('03_Sensibilidades'!$C$68&lt;0,100-$K$385,$K$385)+ABS('03_Sensibilidades'!$C$69)*IF('03_Sensibilidades'!$C$69&lt;0,100-$K$384,$K$384)+ABS('03_Sensibilidades'!$C$70)*IF('03_Sensibilidades'!$C$70&lt;0,100-$K$381,$K$381))/(ABS('03_Sensibilidades'!$C$67)+ABS('03_Sensibilidades'!$C$68)+ABS('03_Sensibilidades'!$C$69)+ABS('03_Sensibilidades'!$C$70))</x:f>
        <x:v>48.86206896551724</x:v>
      </x:c>
      <x:c r="F1186" s="10" t="n">
        <x:f>(1-'00_Arquitectura'!$B$95)*D1186+'00_Arquitectura'!$B$95*E1186</x:f>
        <x:v>49.668965517241375</x:v>
      </x:c>
      <x:c r="G1186" s="10" t="n">
        <x:f>'02_Actores'!$I$23</x:f>
        <x:v>45</x:v>
      </x:c>
      <x:c r="H1186" s="10" t="n">
        <x:f>IF(OR(AND(F1186&lt;'00_Arquitectura'!$B$118,G1186&lt;'00_Arquitectura'!$B$119),F1186&lt;'00_Arquitectura'!$B$120),1,0)</x:f>
        <x:v>0</x:v>
      </x:c>
      <x:c r="I1186" s="10" t="n">
        <x:f>IF($I$1168=1,IF(OR(AND(F1186&lt;'00_Arquitectura'!$B$121,G1186&lt;'00_Arquitectura'!$B$122),F1186&lt;'00_Arquitectura'!$B$123),1,0),IF(AND(H1186=1,$H$1168=1),1,0))</x:f>
        <x:v>0</x:v>
      </x:c>
      <x:c r="J1186" s="10" t="n">
        <x:f>0</x:f>
        <x:v>0</x:v>
      </x:c>
      <x:c r="K1186" s="10" t="n">
        <x:f>$K$1169</x:f>
        <x:v>49.15164496276493</x:v>
      </x:c>
      <x:c r="L1186" s="10" t="str">
        <x:v>Conflicto activo captura menor eficacia en políticas ejecutadas en t+1. Magnitud0 en J: no es un offset directo de indicador.</x:v>
      </x:c>
    </x:row>
    <x:row r="1187" ht="34" customHeight="1">
      <x:c r="A1187" s="5" t="str">
        <x:v>S3_SALARIO</x:v>
      </x:c>
      <x:c r="B1187" s="5" t="n">
        <x:v>4</x:v>
      </x:c>
      <x:c r="C1187" s="5" t="str">
        <x:v>industria</x:v>
      </x:c>
      <x:c r="D1187" s="5" t="n">
        <x:f>$F$1169</x:f>
        <x:v>46.48148148148148</x:v>
      </x:c>
      <x:c r="E1187" s="5" t="n">
        <x:f>(ABS('03_Sensibilidades'!$C$6)*IF('03_Sensibilidades'!$C$6&lt;0,100-$K$394,$K$394)+ABS('03_Sensibilidades'!$C$7)*IF('03_Sensibilidades'!$C$7&lt;0,100-$K$392,$K$392)+ABS('03_Sensibilidades'!$C$8)*IF('03_Sensibilidades'!$C$8&lt;0,100-$K$397,$K$397)+ABS('03_Sensibilidades'!$C$9)*IF('03_Sensibilidades'!$C$9&lt;0,100-$K$396,$K$396))/(ABS('03_Sensibilidades'!$C$6)+ABS('03_Sensibilidades'!$C$7)+ABS('03_Sensibilidades'!$C$8)+ABS('03_Sensibilidades'!$C$9))</x:f>
        <x:v>46.44592592592593</x:v>
      </x:c>
      <x:c r="F1187" s="5" t="n">
        <x:f>(1-'00_Arquitectura'!$B$95)*D1187+'00_Arquitectura'!$B$95*E1187</x:f>
        <x:v>46.46903703703704</x:v>
      </x:c>
      <x:c r="G1187" s="5" t="n">
        <x:f>'02_Actores'!$I$6</x:f>
        <x:v>45</x:v>
      </x:c>
      <x:c r="H1187" s="5" t="n">
        <x:f>IF(OR(AND(F1187&lt;'00_Arquitectura'!$B$118,G1187&lt;'00_Arquitectura'!$B$119),F1187&lt;'00_Arquitectura'!$B$120),1,0)</x:f>
        <x:v>0</x:v>
      </x:c>
      <x:c r="I1187" s="5" t="n">
        <x:f>IF($I$1169=1,IF(OR(AND(F1187&lt;'00_Arquitectura'!$B$121,G1187&lt;'00_Arquitectura'!$B$122),F1187&lt;'00_Arquitectura'!$B$123),1,0),IF(AND(H1187=1,$H$1169=1),1,0))</x:f>
        <x:v>0</x:v>
      </x:c>
      <x:c r="J1187" s="5" t="n">
        <x:f>-I1187*2*'02_Actores'!$E$6/10</x:f>
        <x:v>0</x:v>
      </x:c>
      <x:c r="K1187" s="5" t="n">
        <x:f>($F$1187*'02_Actores'!$F$6+$F$1188*'02_Actores'!$F$7+$F$1189*'02_Actores'!$F$8+$F$1190*'02_Actores'!$F$9+$F$1191*'02_Actores'!$F$10+$F$1192*'02_Actores'!$F$11+$F$1193*'02_Actores'!$F$12+$F$1194*'02_Actores'!$F$13+$F$1195*'02_Actores'!$F$14+$F$1196*'02_Actores'!$F$15+$F$1197*'02_Actores'!$F$16+$F$1198*'02_Actores'!$F$17+$F$1199*'02_Actores'!$F$18+$F$1200*'02_Actores'!$F$19)/('02_Actores'!$F$6+'02_Actores'!$F$7+'02_Actores'!$F$8+'02_Actores'!$F$9+'02_Actores'!$F$10+'02_Actores'!$F$11+'02_Actores'!$F$12+'02_Actores'!$F$13+'02_Actores'!$F$14+'02_Actores'!$F$15+'02_Actores'!$F$16+'02_Actores'!$F$17+'02_Actores'!$F$18+'02_Actores'!$F$19)</x:f>
        <x:v>49.23575211095566</x:v>
      </x:c>
      <x:c r="L1187" s="5" t="str">
        <x:v>J programa offset para t+1; efecto sustituible y acotado, sin voto adicional.</x:v>
      </x:c>
    </x:row>
    <x:row r="1188" ht="34" customHeight="1">
      <x:c r="A1188" s="10" t="str">
        <x:v>S3_SALARIO</x:v>
      </x:c>
      <x:c r="B1188" s="10" t="n">
        <x:v>4</x:v>
      </x:c>
      <x:c r="C1188" s="10" t="str">
        <x:v>agro</x:v>
      </x:c>
      <x:c r="D1188" s="10" t="n">
        <x:f>$F$1170</x:f>
        <x:v>45.892857142857146</x:v>
      </x:c>
      <x:c r="E1188" s="10" t="n">
        <x:f>(ABS('03_Sensibilidades'!$C$10)*IF('03_Sensibilidades'!$C$10&lt;0,100-$K$396,$K$396)+ABS('03_Sensibilidades'!$C$11)*IF('03_Sensibilidades'!$C$11&lt;0,100-$K$397,$K$397)+ABS('03_Sensibilidades'!$C$12)*IF('03_Sensibilidades'!$C$12&lt;0,100-$K$404,$K$404)+ABS('03_Sensibilidades'!$C$13)*IF('03_Sensibilidades'!$C$13&lt;0,100-$K$394,$K$394))/(ABS('03_Sensibilidades'!$C$10)+ABS('03_Sensibilidades'!$C$11)+ABS('03_Sensibilidades'!$C$12)+ABS('03_Sensibilidades'!$C$13))</x:f>
        <x:v>45.871428571428574</x:v>
      </x:c>
      <x:c r="F1188" s="10" t="n">
        <x:f>(1-'00_Arquitectura'!$B$95)*D1188+'00_Arquitectura'!$B$95*E1188</x:f>
        <x:v>45.885357142857146</x:v>
      </x:c>
      <x:c r="G1188" s="10" t="n">
        <x:f>'02_Actores'!$I$7</x:f>
        <x:v>45</x:v>
      </x:c>
      <x:c r="H1188" s="10" t="n">
        <x:f>IF(OR(AND(F1188&lt;'00_Arquitectura'!$B$118,G1188&lt;'00_Arquitectura'!$B$119),F1188&lt;'00_Arquitectura'!$B$120),1,0)</x:f>
        <x:v>0</x:v>
      </x:c>
      <x:c r="I1188" s="10" t="n">
        <x:f>IF($I$1170=1,IF(OR(AND(F1188&lt;'00_Arquitectura'!$B$121,G1188&lt;'00_Arquitectura'!$B$122),F1188&lt;'00_Arquitectura'!$B$123),1,0),IF(AND(H1188=1,$H$1170=1),1,0))</x:f>
        <x:v>0</x:v>
      </x:c>
      <x:c r="J1188" s="10" t="n">
        <x:f>-I1188*2*'02_Actores'!$E$7/10</x:f>
        <x:v>0</x:v>
      </x:c>
      <x:c r="K1188" s="10" t="n">
        <x:f>$K$1187</x:f>
        <x:v>49.23575211095566</x:v>
      </x:c>
      <x:c r="L1188" s="10" t="str">
        <x:v>J programa offset para t+1; efecto sustituible y acotado, sin voto adicional.</x:v>
      </x:c>
    </x:row>
    <x:row r="1189" ht="34" customHeight="1">
      <x:c r="A1189" s="5" t="str">
        <x:v>S3_SALARIO</x:v>
      </x:c>
      <x:c r="B1189" s="5" t="n">
        <x:v>4</x:v>
      </x:c>
      <x:c r="C1189" s="5" t="str">
        <x:v>financiero</x:v>
      </x:c>
      <x:c r="D1189" s="5" t="n">
        <x:f>$F$1171</x:f>
        <x:v>54.275862068965516</x:v>
      </x:c>
      <x:c r="E1189" s="5" t="n">
        <x:f>(ABS('03_Sensibilidades'!$C$14)*IF('03_Sensibilidades'!$C$14&lt;0,100-$K$395,$K$395)+ABS('03_Sensibilidades'!$C$15)*IF('03_Sensibilidades'!$C$15&lt;0,100-$K$391,$K$391)+ABS('03_Sensibilidades'!$C$16)*IF('03_Sensibilidades'!$C$16&lt;0,100-$K$394,$K$394)+ABS('03_Sensibilidades'!$C$17)*IF('03_Sensibilidades'!$C$17&lt;0,100-$K$403,$K$403))/(ABS('03_Sensibilidades'!$C$14)+ABS('03_Sensibilidades'!$C$15)+ABS('03_Sensibilidades'!$C$16)+ABS('03_Sensibilidades'!$C$17))</x:f>
        <x:v>52.902068965517245</x:v>
      </x:c>
      <x:c r="F1189" s="5" t="n">
        <x:f>(1-'00_Arquitectura'!$B$95)*D1189+'00_Arquitectura'!$B$95*E1189</x:f>
        <x:v>53.79503448275862</x:v>
      </x:c>
      <x:c r="G1189" s="5" t="n">
        <x:f>'02_Actores'!$I$8</x:f>
        <x:v>45</x:v>
      </x:c>
      <x:c r="H1189" s="5" t="n">
        <x:f>IF(OR(AND(F1189&lt;'00_Arquitectura'!$B$118,G1189&lt;'00_Arquitectura'!$B$119),F1189&lt;'00_Arquitectura'!$B$120),1,0)</x:f>
        <x:v>0</x:v>
      </x:c>
      <x:c r="I1189" s="5" t="n">
        <x:f>IF($I$1171=1,IF(OR(AND(F1189&lt;'00_Arquitectura'!$B$121,G1189&lt;'00_Arquitectura'!$B$122),F1189&lt;'00_Arquitectura'!$B$123),1,0),IF(AND(H1189=1,$H$1171=1),1,0))</x:f>
        <x:v>0</x:v>
      </x:c>
      <x:c r="J1189" s="5" t="n">
        <x:f>-I1189*2*'02_Actores'!$E$8/10</x:f>
        <x:v>0</x:v>
      </x:c>
      <x:c r="K1189" s="5" t="n">
        <x:f>$K$1187</x:f>
        <x:v>49.23575211095566</x:v>
      </x:c>
      <x:c r="L1189" s="5" t="str">
        <x:v>J programa offset para t+1; efecto sustituible y acotado, sin voto adicional.</x:v>
      </x:c>
    </x:row>
    <x:row r="1190" ht="34" customHeight="1">
      <x:c r="A1190" s="10" t="str">
        <x:v>S3_SALARIO</x:v>
      </x:c>
      <x:c r="B1190" s="10" t="n">
        <x:v>4</x:v>
      </x:c>
      <x:c r="C1190" s="10" t="str">
        <x:v>sindicatos</x:v>
      </x:c>
      <x:c r="D1190" s="10" t="n">
        <x:f>$F$1172</x:f>
        <x:v>48.92672413793103</x:v>
      </x:c>
      <x:c r="E1190" s="10" t="n">
        <x:f>(ABS('03_Sensibilidades'!$C$18)*IF('03_Sensibilidades'!$C$18&lt;0,100-$K$393,$K$393)+ABS('03_Sensibilidades'!$C$19)*IF('03_Sensibilidades'!$C$19&lt;0,100-$K$392,$K$392)+ABS('03_Sensibilidades'!$C$20)*IF('03_Sensibilidades'!$C$20&lt;0,100-$K$400,$K$400)+ABS('03_Sensibilidades'!$C$21)*IF('03_Sensibilidades'!$C$21&lt;0,100-$K$403,$K$403))/(ABS('03_Sensibilidades'!$C$18)+ABS('03_Sensibilidades'!$C$19)+ABS('03_Sensibilidades'!$C$20)+ABS('03_Sensibilidades'!$C$21))</x:f>
        <x:v>49.6551724137931</x:v>
      </x:c>
      <x:c r="F1190" s="10" t="n">
        <x:f>(1-'00_Arquitectura'!$B$95)*D1190+'00_Arquitectura'!$B$95*E1190</x:f>
        <x:v>49.18168103448276</x:v>
      </x:c>
      <x:c r="G1190" s="10" t="n">
        <x:f>'02_Actores'!$I$9</x:f>
        <x:v>45</x:v>
      </x:c>
      <x:c r="H1190" s="10" t="n">
        <x:f>IF(OR(AND(F1190&lt;'00_Arquitectura'!$B$118,G1190&lt;'00_Arquitectura'!$B$119),F1190&lt;'00_Arquitectura'!$B$120),1,0)</x:f>
        <x:v>0</x:v>
      </x:c>
      <x:c r="I1190" s="10" t="n">
        <x:f>IF($I$1172=1,IF(OR(AND(F1190&lt;'00_Arquitectura'!$B$121,G1190&lt;'00_Arquitectura'!$B$122),F1190&lt;'00_Arquitectura'!$B$123),1,0),IF(AND(H1190=1,$H$1172=1),1,0))</x:f>
        <x:v>0</x:v>
      </x:c>
      <x:c r="J1190" s="10" t="n">
        <x:f>-I1190*2*'02_Actores'!$E$9/10</x:f>
        <x:v>0</x:v>
      </x:c>
      <x:c r="K1190" s="10" t="n">
        <x:f>$K$1187</x:f>
        <x:v>49.23575211095566</x:v>
      </x:c>
      <x:c r="L1190" s="10" t="str">
        <x:v>J programa offset para t+1; efecto sustituible y acotado, sin voto adicional.</x:v>
      </x:c>
    </x:row>
    <x:row r="1191" ht="34" customHeight="1">
      <x:c r="A1191" s="5" t="str">
        <x:v>S3_SALARIO</x:v>
      </x:c>
      <x:c r="B1191" s="5" t="n">
        <x:v>4</x:v>
      </x:c>
      <x:c r="C1191" s="5" t="str">
        <x:v>pymes</x:v>
      </x:c>
      <x:c r="D1191" s="5" t="n">
        <x:f>$F$1173</x:f>
        <x:v>49.13793103448276</x:v>
      </x:c>
      <x:c r="E1191" s="5" t="n">
        <x:f>(ABS('03_Sensibilidades'!$C$22)*IF('03_Sensibilidades'!$C$22&lt;0,100-$K$394,$K$394)+ABS('03_Sensibilidades'!$C$23)*IF('03_Sensibilidades'!$C$23&lt;0,100-$K$392,$K$392)+ABS('03_Sensibilidades'!$C$24)*IF('03_Sensibilidades'!$C$24&lt;0,100-$K$397,$K$397)+ABS('03_Sensibilidades'!$C$25)*IF('03_Sensibilidades'!$C$25&lt;0,100-$K$391,$K$391))/(ABS('03_Sensibilidades'!$C$22)+ABS('03_Sensibilidades'!$C$23)+ABS('03_Sensibilidades'!$C$24)+ABS('03_Sensibilidades'!$C$25))</x:f>
        <x:v>49.09655172413793</x:v>
      </x:c>
      <x:c r="F1191" s="5" t="n">
        <x:f>(1-'00_Arquitectura'!$B$95)*D1191+'00_Arquitectura'!$B$95*E1191</x:f>
        <x:v>49.123448275862074</x:v>
      </x:c>
      <x:c r="G1191" s="5" t="n">
        <x:f>'02_Actores'!$I$10</x:f>
        <x:v>45</x:v>
      </x:c>
      <x:c r="H1191" s="5" t="n">
        <x:f>IF(OR(AND(F1191&lt;'00_Arquitectura'!$B$118,G1191&lt;'00_Arquitectura'!$B$119),F1191&lt;'00_Arquitectura'!$B$120),1,0)</x:f>
        <x:v>0</x:v>
      </x:c>
      <x:c r="I1191" s="5" t="n">
        <x:f>IF($I$1173=1,IF(OR(AND(F1191&lt;'00_Arquitectura'!$B$121,G1191&lt;'00_Arquitectura'!$B$122),F1191&lt;'00_Arquitectura'!$B$123),1,0),IF(AND(H1191=1,$H$1173=1),1,0))</x:f>
        <x:v>0</x:v>
      </x:c>
      <x:c r="J1191" s="5" t="n">
        <x:f>-I1191*2*'02_Actores'!$E$10/10</x:f>
        <x:v>0</x:v>
      </x:c>
      <x:c r="K1191" s="5" t="n">
        <x:f>$K$1187</x:f>
        <x:v>49.23575211095566</x:v>
      </x:c>
      <x:c r="L1191" s="5" t="str">
        <x:v>J programa offset para t+1; efecto sustituible y acotado, sin voto adicional.</x:v>
      </x:c>
    </x:row>
    <x:row r="1192" ht="34" customHeight="1">
      <x:c r="A1192" s="10" t="str">
        <x:v>S3_SALARIO</x:v>
      </x:c>
      <x:c r="B1192" s="10" t="n">
        <x:v>4</x:v>
      </x:c>
      <x:c r="C1192" s="10" t="str">
        <x:v>clase_media</x:v>
      </x:c>
      <x:c r="D1192" s="10" t="n">
        <x:f>$F$1174</x:f>
        <x:v>49.40277777777778</x:v>
      </x:c>
      <x:c r="E1192" s="10" t="n">
        <x:f>(ABS('03_Sensibilidades'!$C$26)*IF('03_Sensibilidades'!$C$26&lt;0,100-$K$393,$K$393)+ABS('03_Sensibilidades'!$C$27)*IF('03_Sensibilidades'!$C$27&lt;0,100-$K$401,$K$401)+ABS('03_Sensibilidades'!$C$28)*IF('03_Sensibilidades'!$C$28&lt;0,100-$K$398,$K$398)+ABS('03_Sensibilidades'!$C$29)*IF('03_Sensibilidades'!$C$29&lt;0,100-$K$391,$K$391))/(ABS('03_Sensibilidades'!$C$26)+ABS('03_Sensibilidades'!$C$27)+ABS('03_Sensibilidades'!$C$28)+ABS('03_Sensibilidades'!$C$29))</x:f>
        <x:v>50.18518518518518</x:v>
      </x:c>
      <x:c r="F1192" s="10" t="n">
        <x:f>(1-'00_Arquitectura'!$B$95)*D1192+'00_Arquitectura'!$B$95*E1192</x:f>
        <x:v>49.67662037037037</x:v>
      </x:c>
      <x:c r="G1192" s="10" t="n">
        <x:f>'02_Actores'!$I$11</x:f>
        <x:v>45</x:v>
      </x:c>
      <x:c r="H1192" s="10" t="n">
        <x:f>IF(OR(AND(F1192&lt;'00_Arquitectura'!$B$118,G1192&lt;'00_Arquitectura'!$B$119),F1192&lt;'00_Arquitectura'!$B$120),1,0)</x:f>
        <x:v>0</x:v>
      </x:c>
      <x:c r="I1192" s="10" t="n">
        <x:f>IF($I$1174=1,IF(OR(AND(F1192&lt;'00_Arquitectura'!$B$121,G1192&lt;'00_Arquitectura'!$B$122),F1192&lt;'00_Arquitectura'!$B$123),1,0),IF(AND(H1192=1,$H$1174=1),1,0))</x:f>
        <x:v>0</x:v>
      </x:c>
      <x:c r="J1192" s="10" t="n">
        <x:f>0</x:f>
        <x:v>0</x:v>
      </x:c>
      <x:c r="K1192" s="10" t="n">
        <x:f>$K$1187</x:f>
        <x:v>49.23575211095566</x:v>
      </x:c>
      <x:c r="L1192" s="10" t="str">
        <x:v>Canal directo sólo al índice social; sin bono de popularidad.</x:v>
      </x:c>
    </x:row>
    <x:row r="1193" ht="34" customHeight="1">
      <x:c r="A1193" s="5" t="str">
        <x:v>S3_SALARIO</x:v>
      </x:c>
      <x:c r="B1193" s="5" t="n">
        <x:v>4</x:v>
      </x:c>
      <x:c r="C1193" s="5" t="str">
        <x:v>cooperativas</x:v>
      </x:c>
      <x:c r="D1193" s="5" t="n">
        <x:f>$F$1175</x:f>
        <x:v>47.77777777777778</x:v>
      </x:c>
      <x:c r="E1193" s="5" t="n">
        <x:f>(ABS('03_Sensibilidades'!$C$30)*IF('03_Sensibilidades'!$C$30&lt;0,100-$K$394,$K$394)+ABS('03_Sensibilidades'!$C$31)*IF('03_Sensibilidades'!$C$31&lt;0,100-$K$392,$K$392)+ABS('03_Sensibilidades'!$C$32)*IF('03_Sensibilidades'!$C$32&lt;0,100-$K$400,$K$400)+ABS('03_Sensibilidades'!$C$33)*IF('03_Sensibilidades'!$C$33&lt;0,100-$K$403,$K$403))/(ABS('03_Sensibilidades'!$C$30)+ABS('03_Sensibilidades'!$C$31)+ABS('03_Sensibilidades'!$C$32)+ABS('03_Sensibilidades'!$C$33))</x:f>
        <x:v>47.74666666666667</x:v>
      </x:c>
      <x:c r="F1193" s="5" t="n">
        <x:f>(1-'00_Arquitectura'!$B$95)*D1193+'00_Arquitectura'!$B$95*E1193</x:f>
        <x:v>47.766888888888886</x:v>
      </x:c>
      <x:c r="G1193" s="5" t="n">
        <x:f>'02_Actores'!$I$12</x:f>
        <x:v>45</x:v>
      </x:c>
      <x:c r="H1193" s="5" t="n">
        <x:f>IF(OR(AND(F1193&lt;'00_Arquitectura'!$B$118,G1193&lt;'00_Arquitectura'!$B$119),F1193&lt;'00_Arquitectura'!$B$120),1,0)</x:f>
        <x:v>0</x:v>
      </x:c>
      <x:c r="I1193" s="5" t="n">
        <x:f>IF($I$1175=1,IF(OR(AND(F1193&lt;'00_Arquitectura'!$B$121,G1193&lt;'00_Arquitectura'!$B$122),F1193&lt;'00_Arquitectura'!$B$123),1,0),IF(AND(H1193=1,$H$1175=1),1,0))</x:f>
        <x:v>0</x:v>
      </x:c>
      <x:c r="J1193" s="5" t="n">
        <x:f>-I1193*1.5*'02_Actores'!$E$12/10</x:f>
        <x:v>0</x:v>
      </x:c>
      <x:c r="K1193" s="5" t="n">
        <x:f>$K$1187</x:f>
        <x:v>49.23575211095566</x:v>
      </x:c>
      <x:c r="L1193" s="5" t="str">
        <x:v>J programa offset para t+1; efecto sustituible y acotado, sin voto adicional.</x:v>
      </x:c>
    </x:row>
    <x:row r="1194" ht="42" customHeight="1">
      <x:c r="A1194" s="10" t="str">
        <x:v>S3_SALARIO</x:v>
      </x:c>
      <x:c r="B1194" s="10" t="n">
        <x:v>4</x:v>
      </x:c>
      <x:c r="C1194" s="10" t="str">
        <x:v>estudiantes</x:v>
      </x:c>
      <x:c r="D1194" s="10" t="n">
        <x:f>$F$1176</x:f>
        <x:v>49.7775</x:v>
      </x:c>
      <x:c r="E1194" s="10" t="n">
        <x:f>(ABS('03_Sensibilidades'!$C$34)*IF('03_Sensibilidades'!$C$34&lt;0,100-$K$398,$K$398)+ABS('03_Sensibilidades'!$C$35)*IF('03_Sensibilidades'!$C$35&lt;0,100-$K$393,$K$393)+ABS('03_Sensibilidades'!$C$36)*IF('03_Sensibilidades'!$C$36&lt;0,100-$K$403,$K$403)+ABS('03_Sensibilidades'!$C$37)*IF('03_Sensibilidades'!$C$37&lt;0,100-$K$402,$K$402))/(ABS('03_Sensibilidades'!$C$34)+ABS('03_Sensibilidades'!$C$35)+ABS('03_Sensibilidades'!$C$36)+ABS('03_Sensibilidades'!$C$37))</x:f>
        <x:v>50.2</x:v>
      </x:c>
      <x:c r="F1194" s="10" t="n">
        <x:f>(1-'00_Arquitectura'!$B$95)*D1194+'00_Arquitectura'!$B$95*E1194</x:f>
        <x:v>49.925375</x:v>
      </x:c>
      <x:c r="G1194" s="10" t="n">
        <x:f>'02_Actores'!$I$13</x:f>
        <x:v>45</x:v>
      </x:c>
      <x:c r="H1194" s="10" t="n">
        <x:f>IF(OR(AND(F1194&lt;'00_Arquitectura'!$B$118,G1194&lt;'00_Arquitectura'!$B$119),F1194&lt;'00_Arquitectura'!$B$120),1,0)</x:f>
        <x:v>0</x:v>
      </x:c>
      <x:c r="I1194" s="10" t="n">
        <x:f>IF($I$1176=1,IF(OR(AND(F1194&lt;'00_Arquitectura'!$B$121,G1194&lt;'00_Arquitectura'!$B$122),F1194&lt;'00_Arquitectura'!$B$123),1,0),IF(AND(H1194=1,$H$1176=1),1,0))</x:f>
        <x:v>0</x:v>
      </x:c>
      <x:c r="J1194" s="10" t="n">
        <x:f>0</x:f>
        <x:v>0</x:v>
      </x:c>
      <x:c r="K1194" s="10" t="n">
        <x:f>$K$1187</x:f>
        <x:v>49.23575211095566</x:v>
      </x:c>
      <x:c r="L1194" s="10" t="str">
        <x:v>Conflicto activo captura menor eficacia en políticas ejecutadas en t+1. Magnitud0 en J: no es un offset directo de indicador.</x:v>
      </x:c>
    </x:row>
    <x:row r="1195" ht="34" customHeight="1">
      <x:c r="A1195" s="5" t="str">
        <x:v>S3_SALARIO</x:v>
      </x:c>
      <x:c r="B1195" s="5" t="n">
        <x:v>4</x:v>
      </x:c>
      <x:c r="C1195" s="5" t="str">
        <x:v>docentes</x:v>
      </x:c>
      <x:c r="D1195" s="5" t="n">
        <x:f>$F$1177</x:f>
        <x:v>50.0429347826087</x:v>
      </x:c>
      <x:c r="E1195" s="5" t="n">
        <x:f>(ABS('03_Sensibilidades'!$C$38)*IF('03_Sensibilidades'!$C$38&lt;0,100-$K$398,$K$398)+ABS('03_Sensibilidades'!$C$39)*IF('03_Sensibilidades'!$C$39&lt;0,100-$K$393,$K$393)+ABS('03_Sensibilidades'!$C$40)*IF('03_Sensibilidades'!$C$40&lt;0,100-$K$403,$K$403))/(ABS('03_Sensibilidades'!$C$38)+ABS('03_Sensibilidades'!$C$39)+ABS('03_Sensibilidades'!$C$40))</x:f>
        <x:v>50.869565217391305</x:v>
      </x:c>
      <x:c r="F1195" s="5" t="n">
        <x:f>(1-'00_Arquitectura'!$B$95)*D1195+'00_Arquitectura'!$B$95*E1195</x:f>
        <x:v>50.33225543478261</x:v>
      </x:c>
      <x:c r="G1195" s="5" t="n">
        <x:f>'02_Actores'!$I$14</x:f>
        <x:v>45</x:v>
      </x:c>
      <x:c r="H1195" s="5" t="n">
        <x:f>IF(OR(AND(F1195&lt;'00_Arquitectura'!$B$118,G1195&lt;'00_Arquitectura'!$B$119),F1195&lt;'00_Arquitectura'!$B$120),1,0)</x:f>
        <x:v>0</x:v>
      </x:c>
      <x:c r="I1195" s="5" t="n">
        <x:f>IF($I$1177=1,IF(OR(AND(F1195&lt;'00_Arquitectura'!$B$121,G1195&lt;'00_Arquitectura'!$B$122),F1195&lt;'00_Arquitectura'!$B$123),1,0),IF(AND(H1195=1,$H$1177=1),1,0))</x:f>
        <x:v>0</x:v>
      </x:c>
      <x:c r="J1195" s="5" t="n">
        <x:f>-I1195*1.5*'02_Actores'!$E$14/10</x:f>
        <x:v>0</x:v>
      </x:c>
      <x:c r="K1195" s="5" t="n">
        <x:f>$K$1187</x:f>
        <x:v>49.23575211095566</x:v>
      </x:c>
      <x:c r="L1195" s="5" t="str">
        <x:v>J programa offset para t+1; efecto sustituible y acotado, sin voto adicional.</x:v>
      </x:c>
    </x:row>
    <x:row r="1196" ht="34" customHeight="1">
      <x:c r="A1196" s="10" t="str">
        <x:v>S3_SALARIO</x:v>
      </x:c>
      <x:c r="B1196" s="10" t="n">
        <x:v>4</x:v>
      </x:c>
      <x:c r="C1196" s="10" t="str">
        <x:v>cientificos</x:v>
      </x:c>
      <x:c r="D1196" s="10" t="n">
        <x:f>$F$1178</x:f>
        <x:v>46.59090909090909</x:v>
      </x:c>
      <x:c r="E1196" s="10" t="n">
        <x:f>(ABS('03_Sensibilidades'!$C$41)*IF('03_Sensibilidades'!$C$41&lt;0,100-$K$402,$K$402)+ABS('03_Sensibilidades'!$C$42)*IF('03_Sensibilidades'!$C$42&lt;0,100-$K$398,$K$398)+ABS('03_Sensibilidades'!$C$43)*IF('03_Sensibilidades'!$C$43&lt;0,100-$K$403,$K$403))/(ABS('03_Sensibilidades'!$C$41)+ABS('03_Sensibilidades'!$C$42)+ABS('03_Sensibilidades'!$C$43))</x:f>
        <x:v>46.59090909090909</x:v>
      </x:c>
      <x:c r="F1196" s="10" t="n">
        <x:f>(1-'00_Arquitectura'!$B$95)*D1196+'00_Arquitectura'!$B$95*E1196</x:f>
        <x:v>46.59090909090909</x:v>
      </x:c>
      <x:c r="G1196" s="10" t="n">
        <x:f>'02_Actores'!$I$15</x:f>
        <x:v>45</x:v>
      </x:c>
      <x:c r="H1196" s="10" t="n">
        <x:f>IF(OR(AND(F1196&lt;'00_Arquitectura'!$B$118,G1196&lt;'00_Arquitectura'!$B$119),F1196&lt;'00_Arquitectura'!$B$120),1,0)</x:f>
        <x:v>0</x:v>
      </x:c>
      <x:c r="I1196" s="10" t="n">
        <x:f>IF($I$1178=1,IF(OR(AND(F1196&lt;'00_Arquitectura'!$B$121,G1196&lt;'00_Arquitectura'!$B$122),F1196&lt;'00_Arquitectura'!$B$123),1,0),IF(AND(H1196=1,$H$1178=1),1,0))</x:f>
        <x:v>0</x:v>
      </x:c>
      <x:c r="J1196" s="10" t="n">
        <x:f>-I1196*1.5*'02_Actores'!$E$15/10</x:f>
        <x:v>0</x:v>
      </x:c>
      <x:c r="K1196" s="10" t="n">
        <x:f>$K$1187</x:f>
        <x:v>49.23575211095566</x:v>
      </x:c>
      <x:c r="L1196" s="10" t="str">
        <x:v>J programa offset para t+1; efecto sustituible y acotado, sin voto adicional.</x:v>
      </x:c>
    </x:row>
    <x:row r="1197" ht="34" customHeight="1">
      <x:c r="A1197" s="5" t="str">
        <x:v>S3_SALARIO</x:v>
      </x:c>
      <x:c r="B1197" s="5" t="n">
        <x:v>4</x:v>
      </x:c>
      <x:c r="C1197" s="5" t="str">
        <x:v>organizaciones</x:v>
      </x:c>
      <x:c r="D1197" s="5" t="n">
        <x:f>$F$1179</x:f>
        <x:v>49.107142857142854</x:v>
      </x:c>
      <x:c r="E1197" s="5" t="n">
        <x:f>(ABS('03_Sensibilidades'!$C$44)*IF('03_Sensibilidades'!$C$44&lt;0,100-$K$400,$K$400)+ABS('03_Sensibilidades'!$C$45)*IF('03_Sensibilidades'!$C$45&lt;0,100-$K$399,$K$399)+ABS('03_Sensibilidades'!$C$46)*IF('03_Sensibilidades'!$C$46&lt;0,100-$K$392,$K$392)+ABS('03_Sensibilidades'!$C$47)*IF('03_Sensibilidades'!$C$47&lt;0,100-$K$403,$K$403))/(ABS('03_Sensibilidades'!$C$44)+ABS('03_Sensibilidades'!$C$45)+ABS('03_Sensibilidades'!$C$46)+ABS('03_Sensibilidades'!$C$47))</x:f>
        <x:v>49.107142857142854</x:v>
      </x:c>
      <x:c r="F1197" s="5" t="n">
        <x:f>(1-'00_Arquitectura'!$B$95)*D1197+'00_Arquitectura'!$B$95*E1197</x:f>
        <x:v>49.107142857142854</x:v>
      </x:c>
      <x:c r="G1197" s="5" t="n">
        <x:f>'02_Actores'!$I$16</x:f>
        <x:v>45</x:v>
      </x:c>
      <x:c r="H1197" s="5" t="n">
        <x:f>IF(OR(AND(F1197&lt;'00_Arquitectura'!$B$118,G1197&lt;'00_Arquitectura'!$B$119),F1197&lt;'00_Arquitectura'!$B$120),1,0)</x:f>
        <x:v>0</x:v>
      </x:c>
      <x:c r="I1197" s="5" t="n">
        <x:f>IF($I$1179=1,IF(OR(AND(F1197&lt;'00_Arquitectura'!$B$121,G1197&lt;'00_Arquitectura'!$B$122),F1197&lt;'00_Arquitectura'!$B$123),1,0),IF(AND(H1197=1,$H$1179=1),1,0))</x:f>
        <x:v>0</x:v>
      </x:c>
      <x:c r="J1197" s="5" t="n">
        <x:f>-I1197*1.5*'02_Actores'!$E$16/10</x:f>
        <x:v>0</x:v>
      </x:c>
      <x:c r="K1197" s="5" t="n">
        <x:f>$K$1187</x:f>
        <x:v>49.23575211095566</x:v>
      </x:c>
      <x:c r="L1197" s="5" t="str">
        <x:v>J programa offset para t+1; efecto sustituible y acotado, sin voto adicional.</x:v>
      </x:c>
    </x:row>
    <x:row r="1198" ht="42" customHeight="1">
      <x:c r="A1198" s="10" t="str">
        <x:v>S3_SALARIO</x:v>
      </x:c>
      <x:c r="B1198" s="10" t="n">
        <x:v>4</x:v>
      </x:c>
      <x:c r="C1198" s="10" t="str">
        <x:v>ddhh</x:v>
      </x:c>
      <x:c r="D1198" s="10" t="n">
        <x:f>$F$1180</x:f>
        <x:v>50.88235294117648</x:v>
      </x:c>
      <x:c r="E1198" s="10" t="n">
        <x:f>(ABS('03_Sensibilidades'!$C$48)*IF('03_Sensibilidades'!$C$48&lt;0,100-$K$403,$K$403)+ABS('03_Sensibilidades'!$C$49)*IF('03_Sensibilidades'!$C$49&lt;0,100-$K$401,$K$401)+ABS('03_Sensibilidades'!$C$50)*IF('03_Sensibilidades'!$C$50&lt;0,100-$K$400,$K$400))/(ABS('03_Sensibilidades'!$C$48)+ABS('03_Sensibilidades'!$C$49)+ABS('03_Sensibilidades'!$C$50))</x:f>
        <x:v>50.88235294117647</x:v>
      </x:c>
      <x:c r="F1198" s="10" t="n">
        <x:f>(1-'00_Arquitectura'!$B$95)*D1198+'00_Arquitectura'!$B$95*E1198</x:f>
        <x:v>50.88235294117648</x:v>
      </x:c>
      <x:c r="G1198" s="10" t="n">
        <x:f>'02_Actores'!$I$17</x:f>
        <x:v>45</x:v>
      </x:c>
      <x:c r="H1198" s="10" t="n">
        <x:f>IF(OR(AND(F1198&lt;'00_Arquitectura'!$B$118,G1198&lt;'00_Arquitectura'!$B$119),F1198&lt;'00_Arquitectura'!$B$120),1,0)</x:f>
        <x:v>0</x:v>
      </x:c>
      <x:c r="I1198" s="10" t="n">
        <x:f>IF($I$1180=1,IF(OR(AND(F1198&lt;'00_Arquitectura'!$B$121,G1198&lt;'00_Arquitectura'!$B$122),F1198&lt;'00_Arquitectura'!$B$123),1,0),IF(AND(H1198=1,$H$1180=1),1,0))</x:f>
        <x:v>0</x:v>
      </x:c>
      <x:c r="J1198" s="10" t="n">
        <x:f>0</x:f>
        <x:v>0</x:v>
      </x:c>
      <x:c r="K1198" s="10" t="n">
        <x:f>$K$1187</x:f>
        <x:v>49.23575211095566</x:v>
      </x:c>
      <x:c r="L1198" s="10" t="str">
        <x:v>Conflicto activo captura menor eficacia en políticas ejecutadas en t+1. Magnitud0 en J: no es un offset directo de indicador.</x:v>
      </x:c>
    </x:row>
    <x:row r="1199" ht="42" customHeight="1">
      <x:c r="A1199" s="5" t="str">
        <x:v>S3_SALARIO</x:v>
      </x:c>
      <x:c r="B1199" s="5" t="n">
        <x:v>4</x:v>
      </x:c>
      <x:c r="C1199" s="5" t="str">
        <x:v>ambientalistas</x:v>
      </x:c>
      <x:c r="D1199" s="5" t="n">
        <x:f>$F$1181</x:f>
        <x:v>51.388888888888886</x:v>
      </x:c>
      <x:c r="E1199" s="5" t="n">
        <x:f>(ABS('03_Sensibilidades'!$C$51)*IF('03_Sensibilidades'!$C$51&lt;0,100-$K$404,$K$404)+ABS('03_Sensibilidades'!$C$52)*IF('03_Sensibilidades'!$C$52&lt;0,100-$K$403,$K$403)+ABS('03_Sensibilidades'!$C$53)*IF('03_Sensibilidades'!$C$53&lt;0,100-$K$399,$K$399))/(ABS('03_Sensibilidades'!$C$51)+ABS('03_Sensibilidades'!$C$52)+ABS('03_Sensibilidades'!$C$53))</x:f>
        <x:v>51.388888888888886</x:v>
      </x:c>
      <x:c r="F1199" s="5" t="n">
        <x:f>(1-'00_Arquitectura'!$B$95)*D1199+'00_Arquitectura'!$B$95*E1199</x:f>
        <x:v>51.388888888888886</x:v>
      </x:c>
      <x:c r="G1199" s="5" t="n">
        <x:f>'02_Actores'!$I$18</x:f>
        <x:v>45</x:v>
      </x:c>
      <x:c r="H1199" s="5" t="n">
        <x:f>IF(OR(AND(F1199&lt;'00_Arquitectura'!$B$118,G1199&lt;'00_Arquitectura'!$B$119),F1199&lt;'00_Arquitectura'!$B$120),1,0)</x:f>
        <x:v>0</x:v>
      </x:c>
      <x:c r="I1199" s="5" t="n">
        <x:f>IF($I$1181=1,IF(OR(AND(F1199&lt;'00_Arquitectura'!$B$121,G1199&lt;'00_Arquitectura'!$B$122),F1199&lt;'00_Arquitectura'!$B$123),1,0),IF(AND(H1199=1,$H$1181=1),1,0))</x:f>
        <x:v>0</x:v>
      </x:c>
      <x:c r="J1199" s="5" t="n">
        <x:f>0</x:f>
        <x:v>0</x:v>
      </x:c>
      <x:c r="K1199" s="5" t="n">
        <x:f>$K$1187</x:f>
        <x:v>49.23575211095566</x:v>
      </x:c>
      <x:c r="L1199" s="5" t="str">
        <x:v>Conflicto activo captura menor eficacia en políticas ejecutadas en t+1. Magnitud0 en J: no es un offset directo de indicador.</x:v>
      </x:c>
    </x:row>
    <x:row r="1200" ht="34" customHeight="1">
      <x:c r="A1200" s="10" t="str">
        <x:v>S3_SALARIO</x:v>
      </x:c>
      <x:c r="B1200" s="10" t="n">
        <x:v>4</x:v>
      </x:c>
      <x:c r="C1200" s="10" t="str">
        <x:v>cultura</x:v>
      </x:c>
      <x:c r="D1200" s="10" t="n">
        <x:f>$F$1182</x:f>
        <x:v>51.54934210526316</x:v>
      </x:c>
      <x:c r="E1200" s="10" t="n">
        <x:f>(ABS('03_Sensibilidades'!$C$54)*IF('03_Sensibilidades'!$C$54&lt;0,100-$K$403,$K$403)+ABS('03_Sensibilidades'!$C$55)*IF('03_Sensibilidades'!$C$55&lt;0,100-$K$398,$K$398)+ABS('03_Sensibilidades'!$C$56)*IF('03_Sensibilidades'!$C$56&lt;0,100-$K$393,$K$393))/(ABS('03_Sensibilidades'!$C$54)+ABS('03_Sensibilidades'!$C$55)+ABS('03_Sensibilidades'!$C$56))</x:f>
        <x:v>52.10526315789474</x:v>
      </x:c>
      <x:c r="F1200" s="10" t="n">
        <x:f>(1-'00_Arquitectura'!$B$95)*D1200+'00_Arquitectura'!$B$95*E1200</x:f>
        <x:v>51.743914473684214</x:v>
      </x:c>
      <x:c r="G1200" s="10" t="n">
        <x:f>'02_Actores'!$I$19</x:f>
        <x:v>45</x:v>
      </x:c>
      <x:c r="H1200" s="10" t="n">
        <x:f>IF(OR(AND(F1200&lt;'00_Arquitectura'!$B$118,G1200&lt;'00_Arquitectura'!$B$119),F1200&lt;'00_Arquitectura'!$B$120),1,0)</x:f>
        <x:v>0</x:v>
      </x:c>
      <x:c r="I1200" s="10" t="n">
        <x:f>IF($I$1182=1,IF(OR(AND(F1200&lt;'00_Arquitectura'!$B$121,G1200&lt;'00_Arquitectura'!$B$122),F1200&lt;'00_Arquitectura'!$B$123),1,0),IF(AND(H1200=1,$H$1182=1),1,0))</x:f>
        <x:v>0</x:v>
      </x:c>
      <x:c r="J1200" s="10" t="n">
        <x:f>0</x:f>
        <x:v>0</x:v>
      </x:c>
      <x:c r="K1200" s="10" t="n">
        <x:f>$K$1187</x:f>
        <x:v>49.23575211095566</x:v>
      </x:c>
      <x:c r="L1200" s="10" t="str">
        <x:v>Conflicto activo encarece agenda del turno siguiente; sin castigo electoral adicional.</x:v>
      </x:c>
    </x:row>
    <x:row r="1201" ht="34" customHeight="1">
      <x:c r="A1201" s="5" t="str">
        <x:v>S3_SALARIO</x:v>
      </x:c>
      <x:c r="B1201" s="5" t="n">
        <x:v>4</x:v>
      </x:c>
      <x:c r="C1201" s="5" t="str">
        <x:v>oficialismo</x:v>
      </x:c>
      <x:c r="D1201" s="5" t="n">
        <x:f>$F$1183</x:f>
        <x:v>51.616</x:v>
      </x:c>
      <x:c r="E1201" s="5" t="n">
        <x:f>(ABS('03_Sensibilidades'!$C$57)*IF('03_Sensibilidades'!$C$57&lt;0,100-$K$403,$K$403)+ABS('03_Sensibilidades'!$C$58)*IF('03_Sensibilidades'!$C$58&lt;0,100-$K$392,$K$392)+ABS('03_Sensibilidades'!$C$59)*IF('03_Sensibilidades'!$C$59&lt;0,100-$K$395,$K$395)+ABS('03_Sensibilidades'!$C$60)*IF('03_Sensibilidades'!$C$60&lt;0,100-$K$400,$K$400))/(ABS('03_Sensibilidades'!$C$57)+ABS('03_Sensibilidades'!$C$58)+ABS('03_Sensibilidades'!$C$59)+ABS('03_Sensibilidades'!$C$60))</x:f>
        <x:v>50.68</x:v>
      </x:c>
      <x:c r="F1201" s="5" t="n">
        <x:f>(1-'00_Arquitectura'!$B$95)*D1201+'00_Arquitectura'!$B$95*E1201</x:f>
        <x:v>51.2884</x:v>
      </x:c>
      <x:c r="G1201" s="5" t="n">
        <x:f>'02_Actores'!$I$20</x:f>
        <x:v>60</x:v>
      </x:c>
      <x:c r="H1201" s="5" t="n">
        <x:f>IF(OR(AND(F1201&lt;'00_Arquitectura'!$B$118,G1201&lt;'00_Arquitectura'!$B$119),F1201&lt;'00_Arquitectura'!$B$120),1,0)</x:f>
        <x:v>0</x:v>
      </x:c>
      <x:c r="I1201" s="5" t="n">
        <x:f>IF($I$1183=1,IF(OR(AND(F1201&lt;'00_Arquitectura'!$B$121,G1201&lt;'00_Arquitectura'!$B$122),F1201&lt;'00_Arquitectura'!$B$123),1,0),IF(AND(H1201=1,$H$1183=1),1,0))</x:f>
        <x:v>0</x:v>
      </x:c>
      <x:c r="J1201" s="5" t="n">
        <x:f>0</x:f>
        <x:v>0</x:v>
      </x:c>
      <x:c r="K1201" s="5" t="n">
        <x:f>$K$1187</x:f>
        <x:v>49.23575211095566</x:v>
      </x:c>
      <x:c r="L1201" s="5" t="str">
        <x:v>No aporta E_social; S y R alimentan disposición a leyes según07.</x:v>
      </x:c>
    </x:row>
    <x:row r="1202" ht="34" customHeight="1">
      <x:c r="A1202" s="10" t="str">
        <x:v>S3_SALARIO</x:v>
      </x:c>
      <x:c r="B1202" s="10" t="n">
        <x:v>4</x:v>
      </x:c>
      <x:c r="C1202" s="10" t="str">
        <x:v>aliados</x:v>
      </x:c>
      <x:c r="D1202" s="10" t="n">
        <x:f>$F$1184</x:f>
        <x:v>52.44285714285714</x:v>
      </x:c>
      <x:c r="E1202" s="10" t="n">
        <x:f>(ABS('03_Sensibilidades'!$C$61)*IF('03_Sensibilidades'!$C$61&lt;0,100-$K$403,$K$403)+ABS('03_Sensibilidades'!$C$62)*IF('03_Sensibilidades'!$C$62&lt;0,100-$K$395,$K$395)+ABS('03_Sensibilidades'!$C$63)*IF('03_Sensibilidades'!$C$63&lt;0,100-$K$397,$K$397))/(ABS('03_Sensibilidades'!$C$61)+ABS('03_Sensibilidades'!$C$62)+ABS('03_Sensibilidades'!$C$63))</x:f>
        <x:v>51.142857142857146</x:v>
      </x:c>
      <x:c r="F1202" s="10" t="n">
        <x:f>(1-'00_Arquitectura'!$B$95)*D1202+'00_Arquitectura'!$B$95*E1202</x:f>
        <x:v>51.987857142857145</x:v>
      </x:c>
      <x:c r="G1202" s="10" t="n">
        <x:f>'02_Actores'!$I$21</x:f>
        <x:v>45</x:v>
      </x:c>
      <x:c r="H1202" s="10" t="n">
        <x:f>IF(OR(AND(F1202&lt;'00_Arquitectura'!$B$118,G1202&lt;'00_Arquitectura'!$B$119),F1202&lt;'00_Arquitectura'!$B$120),1,0)</x:f>
        <x:v>0</x:v>
      </x:c>
      <x:c r="I1202" s="10" t="n">
        <x:f>IF($I$1184=1,IF(OR(AND(F1202&lt;'00_Arquitectura'!$B$121,G1202&lt;'00_Arquitectura'!$B$122),F1202&lt;'00_Arquitectura'!$B$123),1,0),IF(AND(H1202=1,$H$1184=1),1,0))</x:f>
        <x:v>0</x:v>
      </x:c>
      <x:c r="J1202" s="10" t="n">
        <x:f>0</x:f>
        <x:v>0</x:v>
      </x:c>
      <x:c r="K1202" s="10" t="n">
        <x:f>$K$1187</x:f>
        <x:v>49.23575211095566</x:v>
      </x:c>
      <x:c r="L1202" s="10" t="str">
        <x:v>No aporta E_social; S y R alimentan disposición a leyes según07.</x:v>
      </x:c>
    </x:row>
    <x:row r="1203" ht="34" customHeight="1">
      <x:c r="A1203" s="5" t="str">
        <x:v>S3_SALARIO</x:v>
      </x:c>
      <x:c r="B1203" s="5" t="n">
        <x:v>4</x:v>
      </x:c>
      <x:c r="C1203" s="5" t="str">
        <x:v>oposicion</x:v>
      </x:c>
      <x:c r="D1203" s="5" t="n">
        <x:f>$F$1185</x:f>
        <x:v>53.27</x:v>
      </x:c>
      <x:c r="E1203" s="5" t="n">
        <x:f>(ABS('03_Sensibilidades'!$C$64)*IF('03_Sensibilidades'!$C$64&lt;0,100-$K$403,$K$403)+ABS('03_Sensibilidades'!$C$65)*IF('03_Sensibilidades'!$C$65&lt;0,100-$K$395,$K$395)+ABS('03_Sensibilidades'!$C$66)*IF('03_Sensibilidades'!$C$66&lt;0,100-$K$401,$K$401))/(ABS('03_Sensibilidades'!$C$64)+ABS('03_Sensibilidades'!$C$65)+ABS('03_Sensibilidades'!$C$66))</x:f>
        <x:v>52.1</x:v>
      </x:c>
      <x:c r="F1203" s="5" t="n">
        <x:f>(1-'00_Arquitectura'!$B$95)*D1203+'00_Arquitectura'!$B$95*E1203</x:f>
        <x:v>52.8605</x:v>
      </x:c>
      <x:c r="G1203" s="5" t="n">
        <x:f>'02_Actores'!$I$22</x:f>
        <x:v>30</x:v>
      </x:c>
      <x:c r="H1203" s="5" t="n">
        <x:f>IF(OR(AND(F1203&lt;'00_Arquitectura'!$B$118,G1203&lt;'00_Arquitectura'!$B$119),F1203&lt;'00_Arquitectura'!$B$120),1,0)</x:f>
        <x:v>0</x:v>
      </x:c>
      <x:c r="I1203" s="5" t="n">
        <x:f>IF($I$1185=1,IF(OR(AND(F1203&lt;'00_Arquitectura'!$B$121,G1203&lt;'00_Arquitectura'!$B$122),F1203&lt;'00_Arquitectura'!$B$123),1,0),IF(AND(H1203=1,$H$1185=1),1,0))</x:f>
        <x:v>0</x:v>
      </x:c>
      <x:c r="J1203" s="5" t="n">
        <x:f>0</x:f>
        <x:v>0</x:v>
      </x:c>
      <x:c r="K1203" s="5" t="n">
        <x:f>$K$1187</x:f>
        <x:v>49.23575211095566</x:v>
      </x:c>
      <x:c r="L1203" s="5" t="str">
        <x:v>No aporta E_social; S y R alimentan disposición a leyes según07.</x:v>
      </x:c>
    </x:row>
    <x:row r="1204" ht="42" customHeight="1">
      <x:c r="A1204" s="10" t="str">
        <x:v>S3_SALARIO</x:v>
      </x:c>
      <x:c r="B1204" s="10" t="n">
        <x:v>4</x:v>
      </x:c>
      <x:c r="C1204" s="10" t="str">
        <x:v>gobernadores</x:v>
      </x:c>
      <x:c r="D1204" s="10" t="n">
        <x:f>$F$1186</x:f>
        <x:v>49.668965517241375</x:v>
      </x:c>
      <x:c r="E1204" s="10" t="n">
        <x:f>(ABS('03_Sensibilidades'!$C$67)*IF('03_Sensibilidades'!$C$67&lt;0,100-$K$397,$K$397)+ABS('03_Sensibilidades'!$C$68)*IF('03_Sensibilidades'!$C$68&lt;0,100-$K$399,$K$399)+ABS('03_Sensibilidades'!$C$69)*IF('03_Sensibilidades'!$C$69&lt;0,100-$K$398,$K$398)+ABS('03_Sensibilidades'!$C$70)*IF('03_Sensibilidades'!$C$70&lt;0,100-$K$395,$K$395))/(ABS('03_Sensibilidades'!$C$67)+ABS('03_Sensibilidades'!$C$68)+ABS('03_Sensibilidades'!$C$69)+ABS('03_Sensibilidades'!$C$70))</x:f>
        <x:v>48.86206896551724</x:v>
      </x:c>
      <x:c r="F1204" s="10" t="n">
        <x:f>(1-'00_Arquitectura'!$B$95)*D1204+'00_Arquitectura'!$B$95*E1204</x:f>
        <x:v>49.38655172413793</x:v>
      </x:c>
      <x:c r="G1204" s="10" t="n">
        <x:f>'02_Actores'!$I$23</x:f>
        <x:v>45</x:v>
      </x:c>
      <x:c r="H1204" s="10" t="n">
        <x:f>IF(OR(AND(F1204&lt;'00_Arquitectura'!$B$118,G1204&lt;'00_Arquitectura'!$B$119),F1204&lt;'00_Arquitectura'!$B$120),1,0)</x:f>
        <x:v>0</x:v>
      </x:c>
      <x:c r="I1204" s="10" t="n">
        <x:f>IF($I$1186=1,IF(OR(AND(F1204&lt;'00_Arquitectura'!$B$121,G1204&lt;'00_Arquitectura'!$B$122),F1204&lt;'00_Arquitectura'!$B$123),1,0),IF(AND(H1204=1,$H$1186=1),1,0))</x:f>
        <x:v>0</x:v>
      </x:c>
      <x:c r="J1204" s="10" t="n">
        <x:f>0</x:f>
        <x:v>0</x:v>
      </x:c>
      <x:c r="K1204" s="10" t="n">
        <x:f>$K$1187</x:f>
        <x:v>49.23575211095566</x:v>
      </x:c>
      <x:c r="L1204" s="10" t="str">
        <x:v>Conflicto activo captura menor eficacia en políticas ejecutadas en t+1. Magnitud0 en J: no es un offset directo de indicador.</x:v>
      </x:c>
    </x:row>
    <x:row r="1205" ht="34" customHeight="1">
      <x:c r="A1205" s="5" t="str">
        <x:v>S3_SALARIO</x:v>
      </x:c>
      <x:c r="B1205" s="5" t="n">
        <x:v>5</x:v>
      </x:c>
      <x:c r="C1205" s="5" t="str">
        <x:v>industria</x:v>
      </x:c>
      <x:c r="D1205" s="5" t="n">
        <x:f>$F$1187</x:f>
        <x:v>46.46903703703704</x:v>
      </x:c>
      <x:c r="E1205" s="5" t="n">
        <x:f>(ABS('03_Sensibilidades'!$C$6)*IF('03_Sensibilidades'!$C$6&lt;0,100-$K$408,$K$408)+ABS('03_Sensibilidades'!$C$7)*IF('03_Sensibilidades'!$C$7&lt;0,100-$K$406,$K$406)+ABS('03_Sensibilidades'!$C$8)*IF('03_Sensibilidades'!$C$8&lt;0,100-$K$411,$K$411)+ABS('03_Sensibilidades'!$C$9)*IF('03_Sensibilidades'!$C$9&lt;0,100-$K$410,$K$410))/(ABS('03_Sensibilidades'!$C$6)+ABS('03_Sensibilidades'!$C$7)+ABS('03_Sensibilidades'!$C$8)+ABS('03_Sensibilidades'!$C$9))</x:f>
        <x:v>46.41285925925926</x:v>
      </x:c>
      <x:c r="F1205" s="5" t="n">
        <x:f>(1-'00_Arquitectura'!$B$95)*D1205+'00_Arquitectura'!$B$95*E1205</x:f>
        <x:v>46.44937481481482</x:v>
      </x:c>
      <x:c r="G1205" s="5" t="n">
        <x:f>'02_Actores'!$I$6</x:f>
        <x:v>45</x:v>
      </x:c>
      <x:c r="H1205" s="5" t="n">
        <x:f>IF(OR(AND(F1205&lt;'00_Arquitectura'!$B$118,G1205&lt;'00_Arquitectura'!$B$119),F1205&lt;'00_Arquitectura'!$B$120),1,0)</x:f>
        <x:v>0</x:v>
      </x:c>
      <x:c r="I1205" s="5" t="n">
        <x:f>IF($I$1187=1,IF(OR(AND(F1205&lt;'00_Arquitectura'!$B$121,G1205&lt;'00_Arquitectura'!$B$122),F1205&lt;'00_Arquitectura'!$B$123),1,0),IF(AND(H1205=1,$H$1187=1),1,0))</x:f>
        <x:v>0</x:v>
      </x:c>
      <x:c r="J1205" s="5" t="n">
        <x:f>-I1205*2*'02_Actores'!$E$6/10</x:f>
        <x:v>0</x:v>
      </x:c>
      <x:c r="K1205" s="5" t="n">
        <x:f>($F$1205*'02_Actores'!$F$6+$F$1206*'02_Actores'!$F$7+$F$1207*'02_Actores'!$F$8+$F$1208*'02_Actores'!$F$9+$F$1209*'02_Actores'!$F$10+$F$1210*'02_Actores'!$F$11+$F$1211*'02_Actores'!$F$12+$F$1212*'02_Actores'!$F$13+$F$1213*'02_Actores'!$F$14+$F$1214*'02_Actores'!$F$15+$F$1215*'02_Actores'!$F$16+$F$1216*'02_Actores'!$F$17+$F$1217*'02_Actores'!$F$18+$F$1218*'02_Actores'!$F$19)/('02_Actores'!$F$6+'02_Actores'!$F$7+'02_Actores'!$F$8+'02_Actores'!$F$9+'02_Actores'!$F$10+'02_Actores'!$F$11+'02_Actores'!$F$12+'02_Actores'!$F$13+'02_Actores'!$F$14+'02_Actores'!$F$15+'02_Actores'!$F$16+'02_Actores'!$F$17+'02_Actores'!$F$18+'02_Actores'!$F$19)</x:f>
        <x:v>49.28659938453744</x:v>
      </x:c>
      <x:c r="L1205" s="5" t="str">
        <x:v>J programa offset para t+1; efecto sustituible y acotado, sin voto adicional.</x:v>
      </x:c>
    </x:row>
    <x:row r="1206" ht="34" customHeight="1">
      <x:c r="A1206" s="10" t="str">
        <x:v>S3_SALARIO</x:v>
      </x:c>
      <x:c r="B1206" s="10" t="n">
        <x:v>5</x:v>
      </x:c>
      <x:c r="C1206" s="10" t="str">
        <x:v>agro</x:v>
      </x:c>
      <x:c r="D1206" s="10" t="n">
        <x:f>$F$1188</x:f>
        <x:v>45.885357142857146</x:v>
      </x:c>
      <x:c r="E1206" s="10" t="n">
        <x:f>(ABS('03_Sensibilidades'!$C$10)*IF('03_Sensibilidades'!$C$10&lt;0,100-$K$410,$K$410)+ABS('03_Sensibilidades'!$C$11)*IF('03_Sensibilidades'!$C$11&lt;0,100-$K$411,$K$411)+ABS('03_Sensibilidades'!$C$12)*IF('03_Sensibilidades'!$C$12&lt;0,100-$K$418,$K$418)+ABS('03_Sensibilidades'!$C$13)*IF('03_Sensibilidades'!$C$13&lt;0,100-$K$408,$K$408))/(ABS('03_Sensibilidades'!$C$10)+ABS('03_Sensibilidades'!$C$11)+ABS('03_Sensibilidades'!$C$12)+ABS('03_Sensibilidades'!$C$13))</x:f>
        <x:v>45.85321428571428</x:v>
      </x:c>
      <x:c r="F1206" s="10" t="n">
        <x:f>(1-'00_Arquitectura'!$B$95)*D1206+'00_Arquitectura'!$B$95*E1206</x:f>
        <x:v>45.87410714285714</x:v>
      </x:c>
      <x:c r="G1206" s="10" t="n">
        <x:f>'02_Actores'!$I$7</x:f>
        <x:v>45</x:v>
      </x:c>
      <x:c r="H1206" s="10" t="n">
        <x:f>IF(OR(AND(F1206&lt;'00_Arquitectura'!$B$118,G1206&lt;'00_Arquitectura'!$B$119),F1206&lt;'00_Arquitectura'!$B$120),1,0)</x:f>
        <x:v>0</x:v>
      </x:c>
      <x:c r="I1206" s="10" t="n">
        <x:f>IF($I$1188=1,IF(OR(AND(F1206&lt;'00_Arquitectura'!$B$121,G1206&lt;'00_Arquitectura'!$B$122),F1206&lt;'00_Arquitectura'!$B$123),1,0),IF(AND(H1206=1,$H$1188=1),1,0))</x:f>
        <x:v>0</x:v>
      </x:c>
      <x:c r="J1206" s="10" t="n">
        <x:f>-I1206*2*'02_Actores'!$E$7/10</x:f>
        <x:v>0</x:v>
      </x:c>
      <x:c r="K1206" s="10" t="n">
        <x:f>$K$1205</x:f>
        <x:v>49.28659938453744</x:v>
      </x:c>
      <x:c r="L1206" s="10" t="str">
        <x:v>J programa offset para t+1; efecto sustituible y acotado, sin voto adicional.</x:v>
      </x:c>
    </x:row>
    <x:row r="1207" ht="34" customHeight="1">
      <x:c r="A1207" s="5" t="str">
        <x:v>S3_SALARIO</x:v>
      </x:c>
      <x:c r="B1207" s="5" t="n">
        <x:v>5</x:v>
      </x:c>
      <x:c r="C1207" s="5" t="str">
        <x:v>financiero</x:v>
      </x:c>
      <x:c r="D1207" s="5" t="n">
        <x:f>$F$1189</x:f>
        <x:v>53.79503448275862</x:v>
      </x:c>
      <x:c r="E1207" s="5" t="n">
        <x:f>(ABS('03_Sensibilidades'!$C$14)*IF('03_Sensibilidades'!$C$14&lt;0,100-$K$409,$K$409)+ABS('03_Sensibilidades'!$C$15)*IF('03_Sensibilidades'!$C$15&lt;0,100-$K$405,$K$405)+ABS('03_Sensibilidades'!$C$16)*IF('03_Sensibilidades'!$C$16&lt;0,100-$K$408,$K$408)+ABS('03_Sensibilidades'!$C$17)*IF('03_Sensibilidades'!$C$17&lt;0,100-$K$417,$K$417))/(ABS('03_Sensibilidades'!$C$14)+ABS('03_Sensibilidades'!$C$15)+ABS('03_Sensibilidades'!$C$16)+ABS('03_Sensibilidades'!$C$17))</x:f>
        <x:v>52.877448275862065</x:v>
      </x:c>
      <x:c r="F1207" s="5" t="n">
        <x:f>(1-'00_Arquitectura'!$B$95)*D1207+'00_Arquitectura'!$B$95*E1207</x:f>
        <x:v>53.47387931034483</x:v>
      </x:c>
      <x:c r="G1207" s="5" t="n">
        <x:f>'02_Actores'!$I$8</x:f>
        <x:v>45</x:v>
      </x:c>
      <x:c r="H1207" s="5" t="n">
        <x:f>IF(OR(AND(F1207&lt;'00_Arquitectura'!$B$118,G1207&lt;'00_Arquitectura'!$B$119),F1207&lt;'00_Arquitectura'!$B$120),1,0)</x:f>
        <x:v>0</x:v>
      </x:c>
      <x:c r="I1207" s="5" t="n">
        <x:f>IF($I$1189=1,IF(OR(AND(F1207&lt;'00_Arquitectura'!$B$121,G1207&lt;'00_Arquitectura'!$B$122),F1207&lt;'00_Arquitectura'!$B$123),1,0),IF(AND(H1207=1,$H$1189=1),1,0))</x:f>
        <x:v>0</x:v>
      </x:c>
      <x:c r="J1207" s="5" t="n">
        <x:f>-I1207*2*'02_Actores'!$E$8/10</x:f>
        <x:v>0</x:v>
      </x:c>
      <x:c r="K1207" s="5" t="n">
        <x:f>$K$1205</x:f>
        <x:v>49.28659938453744</x:v>
      </x:c>
      <x:c r="L1207" s="5" t="str">
        <x:v>J programa offset para t+1; efecto sustituible y acotado, sin voto adicional.</x:v>
      </x:c>
    </x:row>
    <x:row r="1208" ht="34" customHeight="1">
      <x:c r="A1208" s="10" t="str">
        <x:v>S3_SALARIO</x:v>
      </x:c>
      <x:c r="B1208" s="10" t="n">
        <x:v>5</x:v>
      </x:c>
      <x:c r="C1208" s="10" t="str">
        <x:v>sindicatos</x:v>
      </x:c>
      <x:c r="D1208" s="10" t="n">
        <x:f>$F$1190</x:f>
        <x:v>49.18168103448276</x:v>
      </x:c>
      <x:c r="E1208" s="10" t="n">
        <x:f>(ABS('03_Sensibilidades'!$C$18)*IF('03_Sensibilidades'!$C$18&lt;0,100-$K$407,$K$407)+ABS('03_Sensibilidades'!$C$19)*IF('03_Sensibilidades'!$C$19&lt;0,100-$K$406,$K$406)+ABS('03_Sensibilidades'!$C$20)*IF('03_Sensibilidades'!$C$20&lt;0,100-$K$414,$K$414)+ABS('03_Sensibilidades'!$C$21)*IF('03_Sensibilidades'!$C$21&lt;0,100-$K$417,$K$417))/(ABS('03_Sensibilidades'!$C$18)+ABS('03_Sensibilidades'!$C$19)+ABS('03_Sensibilidades'!$C$20)+ABS('03_Sensibilidades'!$C$21))</x:f>
        <x:v>49.652193103448276</x:v>
      </x:c>
      <x:c r="F1208" s="10" t="n">
        <x:f>(1-'00_Arquitectura'!$B$95)*D1208+'00_Arquitectura'!$B$95*E1208</x:f>
        <x:v>49.34636025862069</x:v>
      </x:c>
      <x:c r="G1208" s="10" t="n">
        <x:f>'02_Actores'!$I$9</x:f>
        <x:v>45</x:v>
      </x:c>
      <x:c r="H1208" s="10" t="n">
        <x:f>IF(OR(AND(F1208&lt;'00_Arquitectura'!$B$118,G1208&lt;'00_Arquitectura'!$B$119),F1208&lt;'00_Arquitectura'!$B$120),1,0)</x:f>
        <x:v>0</x:v>
      </x:c>
      <x:c r="I1208" s="10" t="n">
        <x:f>IF($I$1190=1,IF(OR(AND(F1208&lt;'00_Arquitectura'!$B$121,G1208&lt;'00_Arquitectura'!$B$122),F1208&lt;'00_Arquitectura'!$B$123),1,0),IF(AND(H1208=1,$H$1190=1),1,0))</x:f>
        <x:v>0</x:v>
      </x:c>
      <x:c r="J1208" s="10" t="n">
        <x:f>-I1208*2*'02_Actores'!$E$9/10</x:f>
        <x:v>0</x:v>
      </x:c>
      <x:c r="K1208" s="10" t="n">
        <x:f>$K$1205</x:f>
        <x:v>49.28659938453744</x:v>
      </x:c>
      <x:c r="L1208" s="10" t="str">
        <x:v>J programa offset para t+1; efecto sustituible y acotado, sin voto adicional.</x:v>
      </x:c>
    </x:row>
    <x:row r="1209" ht="34" customHeight="1">
      <x:c r="A1209" s="5" t="str">
        <x:v>S3_SALARIO</x:v>
      </x:c>
      <x:c r="B1209" s="5" t="n">
        <x:v>5</x:v>
      </x:c>
      <x:c r="C1209" s="5" t="str">
        <x:v>pymes</x:v>
      </x:c>
      <x:c r="D1209" s="5" t="n">
        <x:f>$F$1191</x:f>
        <x:v>49.123448275862074</x:v>
      </x:c>
      <x:c r="E1209" s="5" t="n">
        <x:f>(ABS('03_Sensibilidades'!$C$22)*IF('03_Sensibilidades'!$C$22&lt;0,100-$K$408,$K$408)+ABS('03_Sensibilidades'!$C$23)*IF('03_Sensibilidades'!$C$23&lt;0,100-$K$406,$K$406)+ABS('03_Sensibilidades'!$C$24)*IF('03_Sensibilidades'!$C$24&lt;0,100-$K$411,$K$411)+ABS('03_Sensibilidades'!$C$25)*IF('03_Sensibilidades'!$C$25&lt;0,100-$K$405,$K$405))/(ABS('03_Sensibilidades'!$C$22)+ABS('03_Sensibilidades'!$C$23)+ABS('03_Sensibilidades'!$C$24)+ABS('03_Sensibilidades'!$C$25))</x:f>
        <x:v>49.0584</x:v>
      </x:c>
      <x:c r="F1209" s="5" t="n">
        <x:f>(1-'00_Arquitectura'!$B$95)*D1209+'00_Arquitectura'!$B$95*E1209</x:f>
        <x:v>49.100681379310345</x:v>
      </x:c>
      <x:c r="G1209" s="5" t="n">
        <x:f>'02_Actores'!$I$10</x:f>
        <x:v>45</x:v>
      </x:c>
      <x:c r="H1209" s="5" t="n">
        <x:f>IF(OR(AND(F1209&lt;'00_Arquitectura'!$B$118,G1209&lt;'00_Arquitectura'!$B$119),F1209&lt;'00_Arquitectura'!$B$120),1,0)</x:f>
        <x:v>0</x:v>
      </x:c>
      <x:c r="I1209" s="5" t="n">
        <x:f>IF($I$1191=1,IF(OR(AND(F1209&lt;'00_Arquitectura'!$B$121,G1209&lt;'00_Arquitectura'!$B$122),F1209&lt;'00_Arquitectura'!$B$123),1,0),IF(AND(H1209=1,$H$1191=1),1,0))</x:f>
        <x:v>0</x:v>
      </x:c>
      <x:c r="J1209" s="5" t="n">
        <x:f>-I1209*2*'02_Actores'!$E$10/10</x:f>
        <x:v>0</x:v>
      </x:c>
      <x:c r="K1209" s="5" t="n">
        <x:f>$K$1205</x:f>
        <x:v>49.28659938453744</x:v>
      </x:c>
      <x:c r="L1209" s="5" t="str">
        <x:v>J programa offset para t+1; efecto sustituible y acotado, sin voto adicional.</x:v>
      </x:c>
    </x:row>
    <x:row r="1210" ht="34" customHeight="1">
      <x:c r="A1210" s="10" t="str">
        <x:v>S3_SALARIO</x:v>
      </x:c>
      <x:c r="B1210" s="10" t="n">
        <x:v>5</x:v>
      </x:c>
      <x:c r="C1210" s="10" t="str">
        <x:v>clase_media</x:v>
      </x:c>
      <x:c r="D1210" s="10" t="n">
        <x:f>$F$1192</x:f>
        <x:v>49.67662037037037</x:v>
      </x:c>
      <x:c r="E1210" s="10" t="n">
        <x:f>(ABS('03_Sensibilidades'!$C$26)*IF('03_Sensibilidades'!$C$26&lt;0,100-$K$407,$K$407)+ABS('03_Sensibilidades'!$C$27)*IF('03_Sensibilidades'!$C$27&lt;0,100-$K$415,$K$415)+ABS('03_Sensibilidades'!$C$28)*IF('03_Sensibilidades'!$C$28&lt;0,100-$K$412,$K$412)+ABS('03_Sensibilidades'!$C$29)*IF('03_Sensibilidades'!$C$29&lt;0,100-$K$405,$K$405))/(ABS('03_Sensibilidades'!$C$26)+ABS('03_Sensibilidades'!$C$27)+ABS('03_Sensibilidades'!$C$28)+ABS('03_Sensibilidades'!$C$29))</x:f>
        <x:v>50.18518518518518</x:v>
      </x:c>
      <x:c r="F1210" s="10" t="n">
        <x:f>(1-'00_Arquitectura'!$B$95)*D1210+'00_Arquitectura'!$B$95*E1210</x:f>
        <x:v>49.85461805555556</x:v>
      </x:c>
      <x:c r="G1210" s="10" t="n">
        <x:f>'02_Actores'!$I$11</x:f>
        <x:v>45</x:v>
      </x:c>
      <x:c r="H1210" s="10" t="n">
        <x:f>IF(OR(AND(F1210&lt;'00_Arquitectura'!$B$118,G1210&lt;'00_Arquitectura'!$B$119),F1210&lt;'00_Arquitectura'!$B$120),1,0)</x:f>
        <x:v>0</x:v>
      </x:c>
      <x:c r="I1210" s="10" t="n">
        <x:f>IF($I$1192=1,IF(OR(AND(F1210&lt;'00_Arquitectura'!$B$121,G1210&lt;'00_Arquitectura'!$B$122),F1210&lt;'00_Arquitectura'!$B$123),1,0),IF(AND(H1210=1,$H$1192=1),1,0))</x:f>
        <x:v>0</x:v>
      </x:c>
      <x:c r="J1210" s="10" t="n">
        <x:f>0</x:f>
        <x:v>0</x:v>
      </x:c>
      <x:c r="K1210" s="10" t="n">
        <x:f>$K$1205</x:f>
        <x:v>49.28659938453744</x:v>
      </x:c>
      <x:c r="L1210" s="10" t="str">
        <x:v>Canal directo sólo al índice social; sin bono de popularidad.</x:v>
      </x:c>
    </x:row>
    <x:row r="1211" ht="34" customHeight="1">
      <x:c r="A1211" s="5" t="str">
        <x:v>S3_SALARIO</x:v>
      </x:c>
      <x:c r="B1211" s="5" t="n">
        <x:v>5</x:v>
      </x:c>
      <x:c r="C1211" s="5" t="str">
        <x:v>cooperativas</x:v>
      </x:c>
      <x:c r="D1211" s="5" t="n">
        <x:f>$F$1193</x:f>
        <x:v>47.766888888888886</x:v>
      </x:c>
      <x:c r="E1211" s="5" t="n">
        <x:f>(ABS('03_Sensibilidades'!$C$30)*IF('03_Sensibilidades'!$C$30&lt;0,100-$K$408,$K$408)+ABS('03_Sensibilidades'!$C$31)*IF('03_Sensibilidades'!$C$31&lt;0,100-$K$406,$K$406)+ABS('03_Sensibilidades'!$C$32)*IF('03_Sensibilidades'!$C$32&lt;0,100-$K$414,$K$414)+ABS('03_Sensibilidades'!$C$33)*IF('03_Sensibilidades'!$C$33&lt;0,100-$K$417,$K$417))/(ABS('03_Sensibilidades'!$C$30)+ABS('03_Sensibilidades'!$C$31)+ABS('03_Sensibilidades'!$C$32)+ABS('03_Sensibilidades'!$C$33))</x:f>
        <x:v>47.717733333333335</x:v>
      </x:c>
      <x:c r="F1211" s="5" t="n">
        <x:f>(1-'00_Arquitectura'!$B$95)*D1211+'00_Arquitectura'!$B$95*E1211</x:f>
        <x:v>47.74968444444444</x:v>
      </x:c>
      <x:c r="G1211" s="5" t="n">
        <x:f>'02_Actores'!$I$12</x:f>
        <x:v>45</x:v>
      </x:c>
      <x:c r="H1211" s="5" t="n">
        <x:f>IF(OR(AND(F1211&lt;'00_Arquitectura'!$B$118,G1211&lt;'00_Arquitectura'!$B$119),F1211&lt;'00_Arquitectura'!$B$120),1,0)</x:f>
        <x:v>0</x:v>
      </x:c>
      <x:c r="I1211" s="5" t="n">
        <x:f>IF($I$1193=1,IF(OR(AND(F1211&lt;'00_Arquitectura'!$B$121,G1211&lt;'00_Arquitectura'!$B$122),F1211&lt;'00_Arquitectura'!$B$123),1,0),IF(AND(H1211=1,$H$1193=1),1,0))</x:f>
        <x:v>0</x:v>
      </x:c>
      <x:c r="J1211" s="5" t="n">
        <x:f>-I1211*1.5*'02_Actores'!$E$12/10</x:f>
        <x:v>0</x:v>
      </x:c>
      <x:c r="K1211" s="5" t="n">
        <x:f>$K$1205</x:f>
        <x:v>49.28659938453744</x:v>
      </x:c>
      <x:c r="L1211" s="5" t="str">
        <x:v>J programa offset para t+1; efecto sustituible y acotado, sin voto adicional.</x:v>
      </x:c>
    </x:row>
    <x:row r="1212" ht="42" customHeight="1">
      <x:c r="A1212" s="10" t="str">
        <x:v>S3_SALARIO</x:v>
      </x:c>
      <x:c r="B1212" s="10" t="n">
        <x:v>5</x:v>
      </x:c>
      <x:c r="C1212" s="10" t="str">
        <x:v>estudiantes</x:v>
      </x:c>
      <x:c r="D1212" s="10" t="n">
        <x:f>$F$1194</x:f>
        <x:v>49.925375</x:v>
      </x:c>
      <x:c r="E1212" s="10" t="n">
        <x:f>(ABS('03_Sensibilidades'!$C$34)*IF('03_Sensibilidades'!$C$34&lt;0,100-$K$412,$K$412)+ABS('03_Sensibilidades'!$C$35)*IF('03_Sensibilidades'!$C$35&lt;0,100-$K$407,$K$407)+ABS('03_Sensibilidades'!$C$36)*IF('03_Sensibilidades'!$C$36&lt;0,100-$K$417,$K$417)+ABS('03_Sensibilidades'!$C$37)*IF('03_Sensibilidades'!$C$37&lt;0,100-$K$416,$K$416))/(ABS('03_Sensibilidades'!$C$34)+ABS('03_Sensibilidades'!$C$35)+ABS('03_Sensibilidades'!$C$36)+ABS('03_Sensibilidades'!$C$37))</x:f>
        <x:v>50.2</x:v>
      </x:c>
      <x:c r="F1212" s="10" t="n">
        <x:f>(1-'00_Arquitectura'!$B$95)*D1212+'00_Arquitectura'!$B$95*E1212</x:f>
        <x:v>50.021493750000005</x:v>
      </x:c>
      <x:c r="G1212" s="10" t="n">
        <x:f>'02_Actores'!$I$13</x:f>
        <x:v>45</x:v>
      </x:c>
      <x:c r="H1212" s="10" t="n">
        <x:f>IF(OR(AND(F1212&lt;'00_Arquitectura'!$B$118,G1212&lt;'00_Arquitectura'!$B$119),F1212&lt;'00_Arquitectura'!$B$120),1,0)</x:f>
        <x:v>0</x:v>
      </x:c>
      <x:c r="I1212" s="10" t="n">
        <x:f>IF($I$1194=1,IF(OR(AND(F1212&lt;'00_Arquitectura'!$B$121,G1212&lt;'00_Arquitectura'!$B$122),F1212&lt;'00_Arquitectura'!$B$123),1,0),IF(AND(H1212=1,$H$1194=1),1,0))</x:f>
        <x:v>0</x:v>
      </x:c>
      <x:c r="J1212" s="10" t="n">
        <x:f>0</x:f>
        <x:v>0</x:v>
      </x:c>
      <x:c r="K1212" s="10" t="n">
        <x:f>$K$1205</x:f>
        <x:v>49.28659938453744</x:v>
      </x:c>
      <x:c r="L1212" s="10" t="str">
        <x:v>Conflicto activo captura menor eficacia en políticas ejecutadas en t+1. Magnitud0 en J: no es un offset directo de indicador.</x:v>
      </x:c>
    </x:row>
    <x:row r="1213" ht="34" customHeight="1">
      <x:c r="A1213" s="5" t="str">
        <x:v>S3_SALARIO</x:v>
      </x:c>
      <x:c r="B1213" s="5" t="n">
        <x:v>5</x:v>
      </x:c>
      <x:c r="C1213" s="5" t="str">
        <x:v>docentes</x:v>
      </x:c>
      <x:c r="D1213" s="5" t="n">
        <x:f>$F$1195</x:f>
        <x:v>50.33225543478261</x:v>
      </x:c>
      <x:c r="E1213" s="5" t="n">
        <x:f>(ABS('03_Sensibilidades'!$C$38)*IF('03_Sensibilidades'!$C$38&lt;0,100-$K$412,$K$412)+ABS('03_Sensibilidades'!$C$39)*IF('03_Sensibilidades'!$C$39&lt;0,100-$K$407,$K$407)+ABS('03_Sensibilidades'!$C$40)*IF('03_Sensibilidades'!$C$40&lt;0,100-$K$417,$K$417))/(ABS('03_Sensibilidades'!$C$38)+ABS('03_Sensibilidades'!$C$39)+ABS('03_Sensibilidades'!$C$40))</x:f>
        <x:v>50.869565217391305</x:v>
      </x:c>
      <x:c r="F1213" s="5" t="n">
        <x:f>(1-'00_Arquitectura'!$B$95)*D1213+'00_Arquitectura'!$B$95*E1213</x:f>
        <x:v>50.52031385869566</x:v>
      </x:c>
      <x:c r="G1213" s="5" t="n">
        <x:f>'02_Actores'!$I$14</x:f>
        <x:v>45</x:v>
      </x:c>
      <x:c r="H1213" s="5" t="n">
        <x:f>IF(OR(AND(F1213&lt;'00_Arquitectura'!$B$118,G1213&lt;'00_Arquitectura'!$B$119),F1213&lt;'00_Arquitectura'!$B$120),1,0)</x:f>
        <x:v>0</x:v>
      </x:c>
      <x:c r="I1213" s="5" t="n">
        <x:f>IF($I$1195=1,IF(OR(AND(F1213&lt;'00_Arquitectura'!$B$121,G1213&lt;'00_Arquitectura'!$B$122),F1213&lt;'00_Arquitectura'!$B$123),1,0),IF(AND(H1213=1,$H$1195=1),1,0))</x:f>
        <x:v>0</x:v>
      </x:c>
      <x:c r="J1213" s="5" t="n">
        <x:f>-I1213*1.5*'02_Actores'!$E$14/10</x:f>
        <x:v>0</x:v>
      </x:c>
      <x:c r="K1213" s="5" t="n">
        <x:f>$K$1205</x:f>
        <x:v>49.28659938453744</x:v>
      </x:c>
      <x:c r="L1213" s="5" t="str">
        <x:v>J programa offset para t+1; efecto sustituible y acotado, sin voto adicional.</x:v>
      </x:c>
    </x:row>
    <x:row r="1214" ht="34" customHeight="1">
      <x:c r="A1214" s="10" t="str">
        <x:v>S3_SALARIO</x:v>
      </x:c>
      <x:c r="B1214" s="10" t="n">
        <x:v>5</x:v>
      </x:c>
      <x:c r="C1214" s="10" t="str">
        <x:v>cientificos</x:v>
      </x:c>
      <x:c r="D1214" s="10" t="n">
        <x:f>$F$1196</x:f>
        <x:v>46.59090909090909</x:v>
      </x:c>
      <x:c r="E1214" s="10" t="n">
        <x:f>(ABS('03_Sensibilidades'!$C$41)*IF('03_Sensibilidades'!$C$41&lt;0,100-$K$416,$K$416)+ABS('03_Sensibilidades'!$C$42)*IF('03_Sensibilidades'!$C$42&lt;0,100-$K$412,$K$412)+ABS('03_Sensibilidades'!$C$43)*IF('03_Sensibilidades'!$C$43&lt;0,100-$K$417,$K$417))/(ABS('03_Sensibilidades'!$C$41)+ABS('03_Sensibilidades'!$C$42)+ABS('03_Sensibilidades'!$C$43))</x:f>
        <x:v>46.59090909090909</x:v>
      </x:c>
      <x:c r="F1214" s="10" t="n">
        <x:f>(1-'00_Arquitectura'!$B$95)*D1214+'00_Arquitectura'!$B$95*E1214</x:f>
        <x:v>46.59090909090909</x:v>
      </x:c>
      <x:c r="G1214" s="10" t="n">
        <x:f>'02_Actores'!$I$15</x:f>
        <x:v>45</x:v>
      </x:c>
      <x:c r="H1214" s="10" t="n">
        <x:f>IF(OR(AND(F1214&lt;'00_Arquitectura'!$B$118,G1214&lt;'00_Arquitectura'!$B$119),F1214&lt;'00_Arquitectura'!$B$120),1,0)</x:f>
        <x:v>0</x:v>
      </x:c>
      <x:c r="I1214" s="10" t="n">
        <x:f>IF($I$1196=1,IF(OR(AND(F1214&lt;'00_Arquitectura'!$B$121,G1214&lt;'00_Arquitectura'!$B$122),F1214&lt;'00_Arquitectura'!$B$123),1,0),IF(AND(H1214=1,$H$1196=1),1,0))</x:f>
        <x:v>0</x:v>
      </x:c>
      <x:c r="J1214" s="10" t="n">
        <x:f>-I1214*1.5*'02_Actores'!$E$15/10</x:f>
        <x:v>0</x:v>
      </x:c>
      <x:c r="K1214" s="10" t="n">
        <x:f>$K$1205</x:f>
        <x:v>49.28659938453744</x:v>
      </x:c>
      <x:c r="L1214" s="10" t="str">
        <x:v>J programa offset para t+1; efecto sustituible y acotado, sin voto adicional.</x:v>
      </x:c>
    </x:row>
    <x:row r="1215" ht="34" customHeight="1">
      <x:c r="A1215" s="5" t="str">
        <x:v>S3_SALARIO</x:v>
      </x:c>
      <x:c r="B1215" s="5" t="n">
        <x:v>5</x:v>
      </x:c>
      <x:c r="C1215" s="5" t="str">
        <x:v>organizaciones</x:v>
      </x:c>
      <x:c r="D1215" s="5" t="n">
        <x:f>$F$1197</x:f>
        <x:v>49.107142857142854</x:v>
      </x:c>
      <x:c r="E1215" s="5" t="n">
        <x:f>(ABS('03_Sensibilidades'!$C$44)*IF('03_Sensibilidades'!$C$44&lt;0,100-$K$414,$K$414)+ABS('03_Sensibilidades'!$C$45)*IF('03_Sensibilidades'!$C$45&lt;0,100-$K$413,$K$413)+ABS('03_Sensibilidades'!$C$46)*IF('03_Sensibilidades'!$C$46&lt;0,100-$K$406,$K$406)+ABS('03_Sensibilidades'!$C$47)*IF('03_Sensibilidades'!$C$47&lt;0,100-$K$417,$K$417))/(ABS('03_Sensibilidades'!$C$44)+ABS('03_Sensibilidades'!$C$45)+ABS('03_Sensibilidades'!$C$46)+ABS('03_Sensibilidades'!$C$47))</x:f>
        <x:v>49.105085714285714</x:v>
      </x:c>
      <x:c r="F1215" s="5" t="n">
        <x:f>(1-'00_Arquitectura'!$B$95)*D1215+'00_Arquitectura'!$B$95*E1215</x:f>
        <x:v>49.10642285714286</x:v>
      </x:c>
      <x:c r="G1215" s="5" t="n">
        <x:f>'02_Actores'!$I$16</x:f>
        <x:v>45</x:v>
      </x:c>
      <x:c r="H1215" s="5" t="n">
        <x:f>IF(OR(AND(F1215&lt;'00_Arquitectura'!$B$118,G1215&lt;'00_Arquitectura'!$B$119),F1215&lt;'00_Arquitectura'!$B$120),1,0)</x:f>
        <x:v>0</x:v>
      </x:c>
      <x:c r="I1215" s="5" t="n">
        <x:f>IF($I$1197=1,IF(OR(AND(F1215&lt;'00_Arquitectura'!$B$121,G1215&lt;'00_Arquitectura'!$B$122),F1215&lt;'00_Arquitectura'!$B$123),1,0),IF(AND(H1215=1,$H$1197=1),1,0))</x:f>
        <x:v>0</x:v>
      </x:c>
      <x:c r="J1215" s="5" t="n">
        <x:f>-I1215*1.5*'02_Actores'!$E$16/10</x:f>
        <x:v>0</x:v>
      </x:c>
      <x:c r="K1215" s="5" t="n">
        <x:f>$K$1205</x:f>
        <x:v>49.28659938453744</x:v>
      </x:c>
      <x:c r="L1215" s="5" t="str">
        <x:v>J programa offset para t+1; efecto sustituible y acotado, sin voto adicional.</x:v>
      </x:c>
    </x:row>
    <x:row r="1216" ht="42" customHeight="1">
      <x:c r="A1216" s="10" t="str">
        <x:v>S3_SALARIO</x:v>
      </x:c>
      <x:c r="B1216" s="10" t="n">
        <x:v>5</x:v>
      </x:c>
      <x:c r="C1216" s="10" t="str">
        <x:v>ddhh</x:v>
      </x:c>
      <x:c r="D1216" s="10" t="n">
        <x:f>$F$1198</x:f>
        <x:v>50.88235294117648</x:v>
      </x:c>
      <x:c r="E1216" s="10" t="n">
        <x:f>(ABS('03_Sensibilidades'!$C$48)*IF('03_Sensibilidades'!$C$48&lt;0,100-$K$417,$K$417)+ABS('03_Sensibilidades'!$C$49)*IF('03_Sensibilidades'!$C$49&lt;0,100-$K$415,$K$415)+ABS('03_Sensibilidades'!$C$50)*IF('03_Sensibilidades'!$C$50&lt;0,100-$K$414,$K$414))/(ABS('03_Sensibilidades'!$C$48)+ABS('03_Sensibilidades'!$C$49)+ABS('03_Sensibilidades'!$C$50))</x:f>
        <x:v>50.88235294117647</x:v>
      </x:c>
      <x:c r="F1216" s="10" t="n">
        <x:f>(1-'00_Arquitectura'!$B$95)*D1216+'00_Arquitectura'!$B$95*E1216</x:f>
        <x:v>50.88235294117648</x:v>
      </x:c>
      <x:c r="G1216" s="10" t="n">
        <x:f>'02_Actores'!$I$17</x:f>
        <x:v>45</x:v>
      </x:c>
      <x:c r="H1216" s="10" t="n">
        <x:f>IF(OR(AND(F1216&lt;'00_Arquitectura'!$B$118,G1216&lt;'00_Arquitectura'!$B$119),F1216&lt;'00_Arquitectura'!$B$120),1,0)</x:f>
        <x:v>0</x:v>
      </x:c>
      <x:c r="I1216" s="10" t="n">
        <x:f>IF($I$1198=1,IF(OR(AND(F1216&lt;'00_Arquitectura'!$B$121,G1216&lt;'00_Arquitectura'!$B$122),F1216&lt;'00_Arquitectura'!$B$123),1,0),IF(AND(H1216=1,$H$1198=1),1,0))</x:f>
        <x:v>0</x:v>
      </x:c>
      <x:c r="J1216" s="10" t="n">
        <x:f>0</x:f>
        <x:v>0</x:v>
      </x:c>
      <x:c r="K1216" s="10" t="n">
        <x:f>$K$1205</x:f>
        <x:v>49.28659938453744</x:v>
      </x:c>
      <x:c r="L1216" s="10" t="str">
        <x:v>Conflicto activo captura menor eficacia en políticas ejecutadas en t+1. Magnitud0 en J: no es un offset directo de indicador.</x:v>
      </x:c>
    </x:row>
    <x:row r="1217" ht="42" customHeight="1">
      <x:c r="A1217" s="5" t="str">
        <x:v>S3_SALARIO</x:v>
      </x:c>
      <x:c r="B1217" s="5" t="n">
        <x:v>5</x:v>
      </x:c>
      <x:c r="C1217" s="5" t="str">
        <x:v>ambientalistas</x:v>
      </x:c>
      <x:c r="D1217" s="5" t="n">
        <x:f>$F$1199</x:f>
        <x:v>51.388888888888886</x:v>
      </x:c>
      <x:c r="E1217" s="5" t="n">
        <x:f>(ABS('03_Sensibilidades'!$C$51)*IF('03_Sensibilidades'!$C$51&lt;0,100-$K$418,$K$418)+ABS('03_Sensibilidades'!$C$52)*IF('03_Sensibilidades'!$C$52&lt;0,100-$K$417,$K$417)+ABS('03_Sensibilidades'!$C$53)*IF('03_Sensibilidades'!$C$53&lt;0,100-$K$413,$K$413))/(ABS('03_Sensibilidades'!$C$51)+ABS('03_Sensibilidades'!$C$52)+ABS('03_Sensibilidades'!$C$53))</x:f>
        <x:v>51.388888888888886</x:v>
      </x:c>
      <x:c r="F1217" s="5" t="n">
        <x:f>(1-'00_Arquitectura'!$B$95)*D1217+'00_Arquitectura'!$B$95*E1217</x:f>
        <x:v>51.388888888888886</x:v>
      </x:c>
      <x:c r="G1217" s="5" t="n">
        <x:f>'02_Actores'!$I$18</x:f>
        <x:v>45</x:v>
      </x:c>
      <x:c r="H1217" s="5" t="n">
        <x:f>IF(OR(AND(F1217&lt;'00_Arquitectura'!$B$118,G1217&lt;'00_Arquitectura'!$B$119),F1217&lt;'00_Arquitectura'!$B$120),1,0)</x:f>
        <x:v>0</x:v>
      </x:c>
      <x:c r="I1217" s="5" t="n">
        <x:f>IF($I$1199=1,IF(OR(AND(F1217&lt;'00_Arquitectura'!$B$121,G1217&lt;'00_Arquitectura'!$B$122),F1217&lt;'00_Arquitectura'!$B$123),1,0),IF(AND(H1217=1,$H$1199=1),1,0))</x:f>
        <x:v>0</x:v>
      </x:c>
      <x:c r="J1217" s="5" t="n">
        <x:f>0</x:f>
        <x:v>0</x:v>
      </x:c>
      <x:c r="K1217" s="5" t="n">
        <x:f>$K$1205</x:f>
        <x:v>49.28659938453744</x:v>
      </x:c>
      <x:c r="L1217" s="5" t="str">
        <x:v>Conflicto activo captura menor eficacia en políticas ejecutadas en t+1. Magnitud0 en J: no es un offset directo de indicador.</x:v>
      </x:c>
    </x:row>
    <x:row r="1218" ht="34" customHeight="1">
      <x:c r="A1218" s="10" t="str">
        <x:v>S3_SALARIO</x:v>
      </x:c>
      <x:c r="B1218" s="10" t="n">
        <x:v>5</x:v>
      </x:c>
      <x:c r="C1218" s="10" t="str">
        <x:v>cultura</x:v>
      </x:c>
      <x:c r="D1218" s="10" t="n">
        <x:f>$F$1200</x:f>
        <x:v>51.743914473684214</x:v>
      </x:c>
      <x:c r="E1218" s="10" t="n">
        <x:f>(ABS('03_Sensibilidades'!$C$54)*IF('03_Sensibilidades'!$C$54&lt;0,100-$K$417,$K$417)+ABS('03_Sensibilidades'!$C$55)*IF('03_Sensibilidades'!$C$55&lt;0,100-$K$412,$K$412)+ABS('03_Sensibilidades'!$C$56)*IF('03_Sensibilidades'!$C$56&lt;0,100-$K$407,$K$407))/(ABS('03_Sensibilidades'!$C$54)+ABS('03_Sensibilidades'!$C$55)+ABS('03_Sensibilidades'!$C$56))</x:f>
        <x:v>52.10526315789474</x:v>
      </x:c>
      <x:c r="F1218" s="10" t="n">
        <x:f>(1-'00_Arquitectura'!$B$95)*D1218+'00_Arquitectura'!$B$95*E1218</x:f>
        <x:v>51.8703865131579</x:v>
      </x:c>
      <x:c r="G1218" s="10" t="n">
        <x:f>'02_Actores'!$I$19</x:f>
        <x:v>45</x:v>
      </x:c>
      <x:c r="H1218" s="10" t="n">
        <x:f>IF(OR(AND(F1218&lt;'00_Arquitectura'!$B$118,G1218&lt;'00_Arquitectura'!$B$119),F1218&lt;'00_Arquitectura'!$B$120),1,0)</x:f>
        <x:v>0</x:v>
      </x:c>
      <x:c r="I1218" s="10" t="n">
        <x:f>IF($I$1200=1,IF(OR(AND(F1218&lt;'00_Arquitectura'!$B$121,G1218&lt;'00_Arquitectura'!$B$122),F1218&lt;'00_Arquitectura'!$B$123),1,0),IF(AND(H1218=1,$H$1200=1),1,0))</x:f>
        <x:v>0</x:v>
      </x:c>
      <x:c r="J1218" s="10" t="n">
        <x:f>0</x:f>
        <x:v>0</x:v>
      </x:c>
      <x:c r="K1218" s="10" t="n">
        <x:f>$K$1205</x:f>
        <x:v>49.28659938453744</x:v>
      </x:c>
      <x:c r="L1218" s="10" t="str">
        <x:v>Conflicto activo encarece agenda del turno siguiente; sin castigo electoral adicional.</x:v>
      </x:c>
    </x:row>
    <x:row r="1219" ht="34" customHeight="1">
      <x:c r="A1219" s="5" t="str">
        <x:v>S3_SALARIO</x:v>
      </x:c>
      <x:c r="B1219" s="5" t="n">
        <x:v>5</x:v>
      </x:c>
      <x:c r="C1219" s="5" t="str">
        <x:v>oficialismo</x:v>
      </x:c>
      <x:c r="D1219" s="5" t="n">
        <x:f>$F$1201</x:f>
        <x:v>51.2884</x:v>
      </x:c>
      <x:c r="E1219" s="5" t="n">
        <x:f>(ABS('03_Sensibilidades'!$C$57)*IF('03_Sensibilidades'!$C$57&lt;0,100-$K$417,$K$417)+ABS('03_Sensibilidades'!$C$58)*IF('03_Sensibilidades'!$C$58&lt;0,100-$K$406,$K$406)+ABS('03_Sensibilidades'!$C$59)*IF('03_Sensibilidades'!$C$59&lt;0,100-$K$409,$K$409)+ABS('03_Sensibilidades'!$C$60)*IF('03_Sensibilidades'!$C$60&lt;0,100-$K$414,$K$414))/(ABS('03_Sensibilidades'!$C$57)+ABS('03_Sensibilidades'!$C$58)+ABS('03_Sensibilidades'!$C$59)+ABS('03_Sensibilidades'!$C$60))</x:f>
        <x:v>50.676928</x:v>
      </x:c>
      <x:c r="F1219" s="5" t="n">
        <x:f>(1-'00_Arquitectura'!$B$95)*D1219+'00_Arquitectura'!$B$95*E1219</x:f>
        <x:v>51.0743848</x:v>
      </x:c>
      <x:c r="G1219" s="5" t="n">
        <x:f>'02_Actores'!$I$20</x:f>
        <x:v>60</x:v>
      </x:c>
      <x:c r="H1219" s="5" t="n">
        <x:f>IF(OR(AND(F1219&lt;'00_Arquitectura'!$B$118,G1219&lt;'00_Arquitectura'!$B$119),F1219&lt;'00_Arquitectura'!$B$120),1,0)</x:f>
        <x:v>0</x:v>
      </x:c>
      <x:c r="I1219" s="5" t="n">
        <x:f>IF($I$1201=1,IF(OR(AND(F1219&lt;'00_Arquitectura'!$B$121,G1219&lt;'00_Arquitectura'!$B$122),F1219&lt;'00_Arquitectura'!$B$123),1,0),IF(AND(H1219=1,$H$1201=1),1,0))</x:f>
        <x:v>0</x:v>
      </x:c>
      <x:c r="J1219" s="5" t="n">
        <x:f>0</x:f>
        <x:v>0</x:v>
      </x:c>
      <x:c r="K1219" s="5" t="n">
        <x:f>$K$1205</x:f>
        <x:v>49.28659938453744</x:v>
      </x:c>
      <x:c r="L1219" s="5" t="str">
        <x:v>No aporta E_social; S y R alimentan disposición a leyes según07.</x:v>
      </x:c>
    </x:row>
    <x:row r="1220" ht="34" customHeight="1">
      <x:c r="A1220" s="10" t="str">
        <x:v>S3_SALARIO</x:v>
      </x:c>
      <x:c r="B1220" s="10" t="n">
        <x:v>5</x:v>
      </x:c>
      <x:c r="C1220" s="10" t="str">
        <x:v>aliados</x:v>
      </x:c>
      <x:c r="D1220" s="10" t="n">
        <x:f>$F$1202</x:f>
        <x:v>51.987857142857145</x:v>
      </x:c>
      <x:c r="E1220" s="10" t="n">
        <x:f>(ABS('03_Sensibilidades'!$C$61)*IF('03_Sensibilidades'!$C$61&lt;0,100-$K$417,$K$417)+ABS('03_Sensibilidades'!$C$62)*IF('03_Sensibilidades'!$C$62&lt;0,100-$K$409,$K$409)+ABS('03_Sensibilidades'!$C$63)*IF('03_Sensibilidades'!$C$63&lt;0,100-$K$411,$K$411))/(ABS('03_Sensibilidades'!$C$61)+ABS('03_Sensibilidades'!$C$62)+ABS('03_Sensibilidades'!$C$63))</x:f>
        <x:v>51.142857142857146</x:v>
      </x:c>
      <x:c r="F1220" s="10" t="n">
        <x:f>(1-'00_Arquitectura'!$B$95)*D1220+'00_Arquitectura'!$B$95*E1220</x:f>
        <x:v>51.69210714285715</x:v>
      </x:c>
      <x:c r="G1220" s="10" t="n">
        <x:f>'02_Actores'!$I$21</x:f>
        <x:v>45</x:v>
      </x:c>
      <x:c r="H1220" s="10" t="n">
        <x:f>IF(OR(AND(F1220&lt;'00_Arquitectura'!$B$118,G1220&lt;'00_Arquitectura'!$B$119),F1220&lt;'00_Arquitectura'!$B$120),1,0)</x:f>
        <x:v>0</x:v>
      </x:c>
      <x:c r="I1220" s="10" t="n">
        <x:f>IF($I$1202=1,IF(OR(AND(F1220&lt;'00_Arquitectura'!$B$121,G1220&lt;'00_Arquitectura'!$B$122),F1220&lt;'00_Arquitectura'!$B$123),1,0),IF(AND(H1220=1,$H$1202=1),1,0))</x:f>
        <x:v>0</x:v>
      </x:c>
      <x:c r="J1220" s="10" t="n">
        <x:f>0</x:f>
        <x:v>0</x:v>
      </x:c>
      <x:c r="K1220" s="10" t="n">
        <x:f>$K$1205</x:f>
        <x:v>49.28659938453744</x:v>
      </x:c>
      <x:c r="L1220" s="10" t="str">
        <x:v>No aporta E_social; S y R alimentan disposición a leyes según07.</x:v>
      </x:c>
    </x:row>
    <x:row r="1221" ht="34" customHeight="1">
      <x:c r="A1221" s="5" t="str">
        <x:v>S3_SALARIO</x:v>
      </x:c>
      <x:c r="B1221" s="5" t="n">
        <x:v>5</x:v>
      </x:c>
      <x:c r="C1221" s="5" t="str">
        <x:v>oposicion</x:v>
      </x:c>
      <x:c r="D1221" s="5" t="n">
        <x:f>$F$1203</x:f>
        <x:v>52.8605</x:v>
      </x:c>
      <x:c r="E1221" s="5" t="n">
        <x:f>(ABS('03_Sensibilidades'!$C$64)*IF('03_Sensibilidades'!$C$64&lt;0,100-$K$417,$K$417)+ABS('03_Sensibilidades'!$C$65)*IF('03_Sensibilidades'!$C$65&lt;0,100-$K$409,$K$409)+ABS('03_Sensibilidades'!$C$66)*IF('03_Sensibilidades'!$C$66&lt;0,100-$K$415,$K$415))/(ABS('03_Sensibilidades'!$C$64)+ABS('03_Sensibilidades'!$C$65)+ABS('03_Sensibilidades'!$C$66))</x:f>
        <x:v>52.1</x:v>
      </x:c>
      <x:c r="F1221" s="5" t="n">
        <x:f>(1-'00_Arquitectura'!$B$95)*D1221+'00_Arquitectura'!$B$95*E1221</x:f>
        <x:v>52.594325000000005</x:v>
      </x:c>
      <x:c r="G1221" s="5" t="n">
        <x:f>'02_Actores'!$I$22</x:f>
        <x:v>30</x:v>
      </x:c>
      <x:c r="H1221" s="5" t="n">
        <x:f>IF(OR(AND(F1221&lt;'00_Arquitectura'!$B$118,G1221&lt;'00_Arquitectura'!$B$119),F1221&lt;'00_Arquitectura'!$B$120),1,0)</x:f>
        <x:v>0</x:v>
      </x:c>
      <x:c r="I1221" s="5" t="n">
        <x:f>IF($I$1203=1,IF(OR(AND(F1221&lt;'00_Arquitectura'!$B$121,G1221&lt;'00_Arquitectura'!$B$122),F1221&lt;'00_Arquitectura'!$B$123),1,0),IF(AND(H1221=1,$H$1203=1),1,0))</x:f>
        <x:v>0</x:v>
      </x:c>
      <x:c r="J1221" s="5" t="n">
        <x:f>0</x:f>
        <x:v>0</x:v>
      </x:c>
      <x:c r="K1221" s="5" t="n">
        <x:f>$K$1205</x:f>
        <x:v>49.28659938453744</x:v>
      </x:c>
      <x:c r="L1221" s="5" t="str">
        <x:v>No aporta E_social; S y R alimentan disposición a leyes según07.</x:v>
      </x:c>
    </x:row>
    <x:row r="1222" ht="42" customHeight="1">
      <x:c r="A1222" s="10" t="str">
        <x:v>S3_SALARIO</x:v>
      </x:c>
      <x:c r="B1222" s="10" t="n">
        <x:v>5</x:v>
      </x:c>
      <x:c r="C1222" s="10" t="str">
        <x:v>gobernadores</x:v>
      </x:c>
      <x:c r="D1222" s="10" t="n">
        <x:f>$F$1204</x:f>
        <x:v>49.38655172413793</x:v>
      </x:c>
      <x:c r="E1222" s="10" t="n">
        <x:f>(ABS('03_Sensibilidades'!$C$67)*IF('03_Sensibilidades'!$C$67&lt;0,100-$K$411,$K$411)+ABS('03_Sensibilidades'!$C$68)*IF('03_Sensibilidades'!$C$68&lt;0,100-$K$413,$K$413)+ABS('03_Sensibilidades'!$C$69)*IF('03_Sensibilidades'!$C$69&lt;0,100-$K$412,$K$412)+ABS('03_Sensibilidades'!$C$70)*IF('03_Sensibilidades'!$C$70&lt;0,100-$K$409,$K$409))/(ABS('03_Sensibilidades'!$C$67)+ABS('03_Sensibilidades'!$C$68)+ABS('03_Sensibilidades'!$C$69)+ABS('03_Sensibilidades'!$C$70))</x:f>
        <x:v>48.86206896551724</x:v>
      </x:c>
      <x:c r="F1222" s="10" t="n">
        <x:f>(1-'00_Arquitectura'!$B$95)*D1222+'00_Arquitectura'!$B$95*E1222</x:f>
        <x:v>49.20298275862069</x:v>
      </x:c>
      <x:c r="G1222" s="10" t="n">
        <x:f>'02_Actores'!$I$23</x:f>
        <x:v>45</x:v>
      </x:c>
      <x:c r="H1222" s="10" t="n">
        <x:f>IF(OR(AND(F1222&lt;'00_Arquitectura'!$B$118,G1222&lt;'00_Arquitectura'!$B$119),F1222&lt;'00_Arquitectura'!$B$120),1,0)</x:f>
        <x:v>0</x:v>
      </x:c>
      <x:c r="I1222" s="10" t="n">
        <x:f>IF($I$1204=1,IF(OR(AND(F1222&lt;'00_Arquitectura'!$B$121,G1222&lt;'00_Arquitectura'!$B$122),F1222&lt;'00_Arquitectura'!$B$123),1,0),IF(AND(H1222=1,$H$1204=1),1,0))</x:f>
        <x:v>0</x:v>
      </x:c>
      <x:c r="J1222" s="10" t="n">
        <x:f>0</x:f>
        <x:v>0</x:v>
      </x:c>
      <x:c r="K1222" s="10" t="n">
        <x:f>$K$1205</x:f>
        <x:v>49.28659938453744</x:v>
      </x:c>
      <x:c r="L1222" s="10" t="str">
        <x:v>Conflicto activo captura menor eficacia en políticas ejecutadas en t+1. Magnitud0 en J: no es un offset directo de indicador.</x:v>
      </x:c>
    </x:row>
    <x:row r="1223" ht="34" customHeight="1">
      <x:c r="A1223" s="5" t="str">
        <x:v>S3_SALARIO</x:v>
      </x:c>
      <x:c r="B1223" s="5" t="n">
        <x:v>6</x:v>
      </x:c>
      <x:c r="C1223" s="5" t="str">
        <x:v>industria</x:v>
      </x:c>
      <x:c r="D1223" s="5" t="n">
        <x:f>$F$1205</x:f>
        <x:v>46.44937481481482</x:v>
      </x:c>
      <x:c r="E1223" s="5" t="n">
        <x:f>(ABS('03_Sensibilidades'!$C$6)*IF('03_Sensibilidades'!$C$6&lt;0,100-$K$422,$K$422)+ABS('03_Sensibilidades'!$C$7)*IF('03_Sensibilidades'!$C$7&lt;0,100-$K$420,$K$420)+ABS('03_Sensibilidades'!$C$8)*IF('03_Sensibilidades'!$C$8&lt;0,100-$K$425,$K$425)+ABS('03_Sensibilidades'!$C$9)*IF('03_Sensibilidades'!$C$9&lt;0,100-$K$424,$K$424))/(ABS('03_Sensibilidades'!$C$6)+ABS('03_Sensibilidades'!$C$7)+ABS('03_Sensibilidades'!$C$8)+ABS('03_Sensibilidades'!$C$9))</x:f>
        <x:v>46.38247703703704</x:v>
      </x:c>
      <x:c r="F1223" s="5" t="n">
        <x:f>(1-'00_Arquitectura'!$B$95)*D1223+'00_Arquitectura'!$B$95*E1223</x:f>
        <x:v>46.425960592592595</x:v>
      </x:c>
      <x:c r="G1223" s="5" t="n">
        <x:f>'02_Actores'!$I$6</x:f>
        <x:v>45</x:v>
      </x:c>
      <x:c r="H1223" s="5" t="n">
        <x:f>IF(OR(AND(F1223&lt;'00_Arquitectura'!$B$118,G1223&lt;'00_Arquitectura'!$B$119),F1223&lt;'00_Arquitectura'!$B$120),1,0)</x:f>
        <x:v>0</x:v>
      </x:c>
      <x:c r="I1223" s="5" t="n">
        <x:f>IF($I$1205=1,IF(OR(AND(F1223&lt;'00_Arquitectura'!$B$121,G1223&lt;'00_Arquitectura'!$B$122),F1223&lt;'00_Arquitectura'!$B$123),1,0),IF(AND(H1223=1,$H$1205=1),1,0))</x:f>
        <x:v>0</x:v>
      </x:c>
      <x:c r="J1223" s="5" t="n">
        <x:f>-I1223*2*'02_Actores'!$E$6/10</x:f>
        <x:v>0</x:v>
      </x:c>
      <x:c r="K1223" s="5" t="n">
        <x:f>($F$1223*'02_Actores'!$F$6+$F$1224*'02_Actores'!$F$7+$F$1225*'02_Actores'!$F$8+$F$1226*'02_Actores'!$F$9+$F$1227*'02_Actores'!$F$10+$F$1228*'02_Actores'!$F$11+$F$1229*'02_Actores'!$F$12+$F$1230*'02_Actores'!$F$13+$F$1231*'02_Actores'!$F$14+$F$1232*'02_Actores'!$F$15+$F$1233*'02_Actores'!$F$16+$F$1234*'02_Actores'!$F$17+$F$1235*'02_Actores'!$F$18+$F$1236*'02_Actores'!$F$19)/('02_Actores'!$F$6+'02_Actores'!$F$7+'02_Actores'!$F$8+'02_Actores'!$F$9+'02_Actores'!$F$10+'02_Actores'!$F$11+'02_Actores'!$F$12+'02_Actores'!$F$13+'02_Actores'!$F$14+'02_Actores'!$F$15+'02_Actores'!$F$16+'02_Actores'!$F$17+'02_Actores'!$F$18+'02_Actores'!$F$19)</x:f>
        <x:v>49.572374320503855</x:v>
      </x:c>
      <x:c r="L1223" s="5" t="str">
        <x:v>J programa offset para t+1; efecto sustituible y acotado, sin voto adicional.</x:v>
      </x:c>
    </x:row>
    <x:row r="1224" ht="34" customHeight="1">
      <x:c r="A1224" s="10" t="str">
        <x:v>S3_SALARIO</x:v>
      </x:c>
      <x:c r="B1224" s="10" t="n">
        <x:v>6</x:v>
      </x:c>
      <x:c r="C1224" s="10" t="str">
        <x:v>agro</x:v>
      </x:c>
      <x:c r="D1224" s="10" t="n">
        <x:f>$F$1206</x:f>
        <x:v>45.87410714285714</x:v>
      </x:c>
      <x:c r="E1224" s="10" t="n">
        <x:f>(ABS('03_Sensibilidades'!$C$10)*IF('03_Sensibilidades'!$C$10&lt;0,100-$K$424,$K$424)+ABS('03_Sensibilidades'!$C$11)*IF('03_Sensibilidades'!$C$11&lt;0,100-$K$425,$K$425)+ABS('03_Sensibilidades'!$C$12)*IF('03_Sensibilidades'!$C$12&lt;0,100-$K$432,$K$432)+ABS('03_Sensibilidades'!$C$13)*IF('03_Sensibilidades'!$C$13&lt;0,100-$K$422,$K$422))/(ABS('03_Sensibilidades'!$C$10)+ABS('03_Sensibilidades'!$C$11)+ABS('03_Sensibilidades'!$C$12)+ABS('03_Sensibilidades'!$C$13))</x:f>
        <x:v>45.83773214285714</x:v>
      </x:c>
      <x:c r="F1224" s="10" t="n">
        <x:f>(1-'00_Arquitectura'!$B$95)*D1224+'00_Arquitectura'!$B$95*E1224</x:f>
        <x:v>45.86137589285714</x:v>
      </x:c>
      <x:c r="G1224" s="10" t="n">
        <x:f>'02_Actores'!$I$7</x:f>
        <x:v>45</x:v>
      </x:c>
      <x:c r="H1224" s="10" t="n">
        <x:f>IF(OR(AND(F1224&lt;'00_Arquitectura'!$B$118,G1224&lt;'00_Arquitectura'!$B$119),F1224&lt;'00_Arquitectura'!$B$120),1,0)</x:f>
        <x:v>0</x:v>
      </x:c>
      <x:c r="I1224" s="10" t="n">
        <x:f>IF($I$1206=1,IF(OR(AND(F1224&lt;'00_Arquitectura'!$B$121,G1224&lt;'00_Arquitectura'!$B$122),F1224&lt;'00_Arquitectura'!$B$123),1,0),IF(AND(H1224=1,$H$1206=1),1,0))</x:f>
        <x:v>0</x:v>
      </x:c>
      <x:c r="J1224" s="10" t="n">
        <x:f>-I1224*2*'02_Actores'!$E$7/10</x:f>
        <x:v>0</x:v>
      </x:c>
      <x:c r="K1224" s="10" t="n">
        <x:f>$K$1223</x:f>
        <x:v>49.572374320503855</x:v>
      </x:c>
      <x:c r="L1224" s="10" t="str">
        <x:v>J programa offset para t+1; efecto sustituible y acotado, sin voto adicional.</x:v>
      </x:c>
    </x:row>
    <x:row r="1225" ht="34" customHeight="1">
      <x:c r="A1225" s="5" t="str">
        <x:v>S3_SALARIO</x:v>
      </x:c>
      <x:c r="B1225" s="5" t="n">
        <x:v>6</x:v>
      </x:c>
      <x:c r="C1225" s="5" t="str">
        <x:v>financiero</x:v>
      </x:c>
      <x:c r="D1225" s="5" t="n">
        <x:f>$F$1207</x:f>
        <x:v>53.47387931034483</x:v>
      </x:c>
      <x:c r="E1225" s="5" t="n">
        <x:f>(ABS('03_Sensibilidades'!$C$14)*IF('03_Sensibilidades'!$C$14&lt;0,100-$K$423,$K$423)+ABS('03_Sensibilidades'!$C$15)*IF('03_Sensibilidades'!$C$15&lt;0,100-$K$419,$K$419)+ABS('03_Sensibilidades'!$C$16)*IF('03_Sensibilidades'!$C$16&lt;0,100-$K$422,$K$422)+ABS('03_Sensibilidades'!$C$17)*IF('03_Sensibilidades'!$C$17&lt;0,100-$K$431,$K$431))/(ABS('03_Sensibilidades'!$C$14)+ABS('03_Sensibilidades'!$C$15)+ABS('03_Sensibilidades'!$C$16)+ABS('03_Sensibilidades'!$C$17))</x:f>
        <x:v>52.85585862068965</x:v>
      </x:c>
      <x:c r="F1225" s="5" t="n">
        <x:f>(1-'00_Arquitectura'!$B$95)*D1225+'00_Arquitectura'!$B$95*E1225</x:f>
        <x:v>53.257572068965516</x:v>
      </x:c>
      <x:c r="G1225" s="5" t="n">
        <x:f>'02_Actores'!$I$8</x:f>
        <x:v>45</x:v>
      </x:c>
      <x:c r="H1225" s="5" t="n">
        <x:f>IF(OR(AND(F1225&lt;'00_Arquitectura'!$B$118,G1225&lt;'00_Arquitectura'!$B$119),F1225&lt;'00_Arquitectura'!$B$120),1,0)</x:f>
        <x:v>0</x:v>
      </x:c>
      <x:c r="I1225" s="5" t="n">
        <x:f>IF($I$1207=1,IF(OR(AND(F1225&lt;'00_Arquitectura'!$B$121,G1225&lt;'00_Arquitectura'!$B$122),F1225&lt;'00_Arquitectura'!$B$123),1,0),IF(AND(H1225=1,$H$1207=1),1,0))</x:f>
        <x:v>0</x:v>
      </x:c>
      <x:c r="J1225" s="5" t="n">
        <x:f>-I1225*2*'02_Actores'!$E$8/10</x:f>
        <x:v>0</x:v>
      </x:c>
      <x:c r="K1225" s="5" t="n">
        <x:f>$K$1223</x:f>
        <x:v>49.572374320503855</x:v>
      </x:c>
      <x:c r="L1225" s="5" t="str">
        <x:v>J programa offset para t+1; efecto sustituible y acotado, sin voto adicional.</x:v>
      </x:c>
    </x:row>
    <x:row r="1226" ht="34" customHeight="1">
      <x:c r="A1226" s="10" t="str">
        <x:v>S3_SALARIO</x:v>
      </x:c>
      <x:c r="B1226" s="10" t="n">
        <x:v>6</x:v>
      </x:c>
      <x:c r="C1226" s="10" t="str">
        <x:v>sindicatos</x:v>
      </x:c>
      <x:c r="D1226" s="10" t="n">
        <x:f>$F$1208</x:f>
        <x:v>49.34636025862069</x:v>
      </x:c>
      <x:c r="E1226" s="10" t="n">
        <x:f>(ABS('03_Sensibilidades'!$C$18)*IF('03_Sensibilidades'!$C$18&lt;0,100-$K$421,$K$421)+ABS('03_Sensibilidades'!$C$19)*IF('03_Sensibilidades'!$C$19&lt;0,100-$K$420,$K$420)+ABS('03_Sensibilidades'!$C$20)*IF('03_Sensibilidades'!$C$20&lt;0,100-$K$428,$K$428)+ABS('03_Sensibilidades'!$C$21)*IF('03_Sensibilidades'!$C$21&lt;0,100-$K$431,$K$431))/(ABS('03_Sensibilidades'!$C$18)+ABS('03_Sensibilidades'!$C$19)+ABS('03_Sensibilidades'!$C$20)+ABS('03_Sensibilidades'!$C$21))</x:f>
        <x:v>51.37091862068966</x:v>
      </x:c>
      <x:c r="F1226" s="10" t="n">
        <x:f>(1-'00_Arquitectura'!$B$95)*D1226+'00_Arquitectura'!$B$95*E1226</x:f>
        <x:v>50.05495568534484</x:v>
      </x:c>
      <x:c r="G1226" s="10" t="n">
        <x:f>'02_Actores'!$I$9</x:f>
        <x:v>45</x:v>
      </x:c>
      <x:c r="H1226" s="10" t="n">
        <x:f>IF(OR(AND(F1226&lt;'00_Arquitectura'!$B$118,G1226&lt;'00_Arquitectura'!$B$119),F1226&lt;'00_Arquitectura'!$B$120),1,0)</x:f>
        <x:v>0</x:v>
      </x:c>
      <x:c r="I1226" s="10" t="n">
        <x:f>IF($I$1208=1,IF(OR(AND(F1226&lt;'00_Arquitectura'!$B$121,G1226&lt;'00_Arquitectura'!$B$122),F1226&lt;'00_Arquitectura'!$B$123),1,0),IF(AND(H1226=1,$H$1208=1),1,0))</x:f>
        <x:v>0</x:v>
      </x:c>
      <x:c r="J1226" s="10" t="n">
        <x:f>-I1226*2*'02_Actores'!$E$9/10</x:f>
        <x:v>0</x:v>
      </x:c>
      <x:c r="K1226" s="10" t="n">
        <x:f>$K$1223</x:f>
        <x:v>49.572374320503855</x:v>
      </x:c>
      <x:c r="L1226" s="10" t="str">
        <x:v>J programa offset para t+1; efecto sustituible y acotado, sin voto adicional.</x:v>
      </x:c>
    </x:row>
    <x:row r="1227" ht="34" customHeight="1">
      <x:c r="A1227" s="5" t="str">
        <x:v>S3_SALARIO</x:v>
      </x:c>
      <x:c r="B1227" s="5" t="n">
        <x:v>6</x:v>
      </x:c>
      <x:c r="C1227" s="5" t="str">
        <x:v>pymes</x:v>
      </x:c>
      <x:c r="D1227" s="5" t="n">
        <x:f>$F$1209</x:f>
        <x:v>49.100681379310345</x:v>
      </x:c>
      <x:c r="E1227" s="5" t="n">
        <x:f>(ABS('03_Sensibilidades'!$C$22)*IF('03_Sensibilidades'!$C$22&lt;0,100-$K$422,$K$422)+ABS('03_Sensibilidades'!$C$23)*IF('03_Sensibilidades'!$C$23&lt;0,100-$K$420,$K$420)+ABS('03_Sensibilidades'!$C$24)*IF('03_Sensibilidades'!$C$24&lt;0,100-$K$425,$K$425)+ABS('03_Sensibilidades'!$C$25)*IF('03_Sensibilidades'!$C$25&lt;0,100-$K$419,$K$419))/(ABS('03_Sensibilidades'!$C$22)+ABS('03_Sensibilidades'!$C$23)+ABS('03_Sensibilidades'!$C$24)+ABS('03_Sensibilidades'!$C$25))</x:f>
        <x:v>49.0235875862069</x:v>
      </x:c>
      <x:c r="F1227" s="5" t="n">
        <x:f>(1-'00_Arquitectura'!$B$95)*D1227+'00_Arquitectura'!$B$95*E1227</x:f>
        <x:v>49.073698551724135</x:v>
      </x:c>
      <x:c r="G1227" s="5" t="n">
        <x:f>'02_Actores'!$I$10</x:f>
        <x:v>45</x:v>
      </x:c>
      <x:c r="H1227" s="5" t="n">
        <x:f>IF(OR(AND(F1227&lt;'00_Arquitectura'!$B$118,G1227&lt;'00_Arquitectura'!$B$119),F1227&lt;'00_Arquitectura'!$B$120),1,0)</x:f>
        <x:v>0</x:v>
      </x:c>
      <x:c r="I1227" s="5" t="n">
        <x:f>IF($I$1209=1,IF(OR(AND(F1227&lt;'00_Arquitectura'!$B$121,G1227&lt;'00_Arquitectura'!$B$122),F1227&lt;'00_Arquitectura'!$B$123),1,0),IF(AND(H1227=1,$H$1209=1),1,0))</x:f>
        <x:v>0</x:v>
      </x:c>
      <x:c r="J1227" s="5" t="n">
        <x:f>-I1227*2*'02_Actores'!$E$10/10</x:f>
        <x:v>0</x:v>
      </x:c>
      <x:c r="K1227" s="5" t="n">
        <x:f>$K$1223</x:f>
        <x:v>49.572374320503855</x:v>
      </x:c>
      <x:c r="L1227" s="5" t="str">
        <x:v>J programa offset para t+1; efecto sustituible y acotado, sin voto adicional.</x:v>
      </x:c>
    </x:row>
    <x:row r="1228" ht="34" customHeight="1">
      <x:c r="A1228" s="10" t="str">
        <x:v>S3_SALARIO</x:v>
      </x:c>
      <x:c r="B1228" s="10" t="n">
        <x:v>6</x:v>
      </x:c>
      <x:c r="C1228" s="10" t="str">
        <x:v>clase_media</x:v>
      </x:c>
      <x:c r="D1228" s="10" t="n">
        <x:f>$F$1210</x:f>
        <x:v>49.85461805555556</x:v>
      </x:c>
      <x:c r="E1228" s="10" t="n">
        <x:f>(ABS('03_Sensibilidades'!$C$26)*IF('03_Sensibilidades'!$C$26&lt;0,100-$K$421,$K$421)+ABS('03_Sensibilidades'!$C$27)*IF('03_Sensibilidades'!$C$27&lt;0,100-$K$429,$K$429)+ABS('03_Sensibilidades'!$C$28)*IF('03_Sensibilidades'!$C$28&lt;0,100-$K$426,$K$426)+ABS('03_Sensibilidades'!$C$29)*IF('03_Sensibilidades'!$C$29&lt;0,100-$K$419,$K$419))/(ABS('03_Sensibilidades'!$C$26)+ABS('03_Sensibilidades'!$C$27)+ABS('03_Sensibilidades'!$C$28)+ABS('03_Sensibilidades'!$C$29))</x:f>
        <x:v>52.0365037037037</x:v>
      </x:c>
      <x:c r="F1228" s="10" t="n">
        <x:f>(1-'00_Arquitectura'!$B$95)*D1228+'00_Arquitectura'!$B$95*E1228</x:f>
        <x:v>50.61827803240742</x:v>
      </x:c>
      <x:c r="G1228" s="10" t="n">
        <x:f>'02_Actores'!$I$11</x:f>
        <x:v>45</x:v>
      </x:c>
      <x:c r="H1228" s="10" t="n">
        <x:f>IF(OR(AND(F1228&lt;'00_Arquitectura'!$B$118,G1228&lt;'00_Arquitectura'!$B$119),F1228&lt;'00_Arquitectura'!$B$120),1,0)</x:f>
        <x:v>0</x:v>
      </x:c>
      <x:c r="I1228" s="10" t="n">
        <x:f>IF($I$1210=1,IF(OR(AND(F1228&lt;'00_Arquitectura'!$B$121,G1228&lt;'00_Arquitectura'!$B$122),F1228&lt;'00_Arquitectura'!$B$123),1,0),IF(AND(H1228=1,$H$1210=1),1,0))</x:f>
        <x:v>0</x:v>
      </x:c>
      <x:c r="J1228" s="10" t="n">
        <x:f>0</x:f>
        <x:v>0</x:v>
      </x:c>
      <x:c r="K1228" s="10" t="n">
        <x:f>$K$1223</x:f>
        <x:v>49.572374320503855</x:v>
      </x:c>
      <x:c r="L1228" s="10" t="str">
        <x:v>Canal directo sólo al índice social; sin bono de popularidad.</x:v>
      </x:c>
    </x:row>
    <x:row r="1229" ht="34" customHeight="1">
      <x:c r="A1229" s="5" t="str">
        <x:v>S3_SALARIO</x:v>
      </x:c>
      <x:c r="B1229" s="5" t="n">
        <x:v>6</x:v>
      </x:c>
      <x:c r="C1229" s="5" t="str">
        <x:v>cooperativas</x:v>
      </x:c>
      <x:c r="D1229" s="5" t="n">
        <x:f>$F$1211</x:f>
        <x:v>47.74968444444444</x:v>
      </x:c>
      <x:c r="E1229" s="5" t="n">
        <x:f>(ABS('03_Sensibilidades'!$C$30)*IF('03_Sensibilidades'!$C$30&lt;0,100-$K$422,$K$422)+ABS('03_Sensibilidades'!$C$31)*IF('03_Sensibilidades'!$C$31&lt;0,100-$K$420,$K$420)+ABS('03_Sensibilidades'!$C$32)*IF('03_Sensibilidades'!$C$32&lt;0,100-$K$428,$K$428)+ABS('03_Sensibilidades'!$C$33)*IF('03_Sensibilidades'!$C$33&lt;0,100-$K$431,$K$431))/(ABS('03_Sensibilidades'!$C$30)+ABS('03_Sensibilidades'!$C$31)+ABS('03_Sensibilidades'!$C$32)+ABS('03_Sensibilidades'!$C$33))</x:f>
        <x:v>47.69114888888889</x:v>
      </x:c>
      <x:c r="F1229" s="5" t="n">
        <x:f>(1-'00_Arquitectura'!$B$95)*D1229+'00_Arquitectura'!$B$95*E1229</x:f>
        <x:v>47.729197</x:v>
      </x:c>
      <x:c r="G1229" s="5" t="n">
        <x:f>'02_Actores'!$I$12</x:f>
        <x:v>45</x:v>
      </x:c>
      <x:c r="H1229" s="5" t="n">
        <x:f>IF(OR(AND(F1229&lt;'00_Arquitectura'!$B$118,G1229&lt;'00_Arquitectura'!$B$119),F1229&lt;'00_Arquitectura'!$B$120),1,0)</x:f>
        <x:v>0</x:v>
      </x:c>
      <x:c r="I1229" s="5" t="n">
        <x:f>IF($I$1211=1,IF(OR(AND(F1229&lt;'00_Arquitectura'!$B$121,G1229&lt;'00_Arquitectura'!$B$122),F1229&lt;'00_Arquitectura'!$B$123),1,0),IF(AND(H1229=1,$H$1211=1),1,0))</x:f>
        <x:v>0</x:v>
      </x:c>
      <x:c r="J1229" s="5" t="n">
        <x:f>-I1229*1.5*'02_Actores'!$E$12/10</x:f>
        <x:v>0</x:v>
      </x:c>
      <x:c r="K1229" s="5" t="n">
        <x:f>$K$1223</x:f>
        <x:v>49.572374320503855</x:v>
      </x:c>
      <x:c r="L1229" s="5" t="str">
        <x:v>J programa offset para t+1; efecto sustituible y acotado, sin voto adicional.</x:v>
      </x:c>
    </x:row>
    <x:row r="1230" ht="42" customHeight="1">
      <x:c r="A1230" s="10" t="str">
        <x:v>S3_SALARIO</x:v>
      </x:c>
      <x:c r="B1230" s="10" t="n">
        <x:v>6</x:v>
      </x:c>
      <x:c r="C1230" s="10" t="str">
        <x:v>estudiantes</x:v>
      </x:c>
      <x:c r="D1230" s="10" t="n">
        <x:f>$F$1212</x:f>
        <x:v>50.021493750000005</x:v>
      </x:c>
      <x:c r="E1230" s="10" t="n">
        <x:f>(ABS('03_Sensibilidades'!$C$34)*IF('03_Sensibilidades'!$C$34&lt;0,100-$K$426,$K$426)+ABS('03_Sensibilidades'!$C$35)*IF('03_Sensibilidades'!$C$35&lt;0,100-$K$421,$K$421)+ABS('03_Sensibilidades'!$C$36)*IF('03_Sensibilidades'!$C$36&lt;0,100-$K$431,$K$431)+ABS('03_Sensibilidades'!$C$37)*IF('03_Sensibilidades'!$C$37&lt;0,100-$K$430,$K$430))/(ABS('03_Sensibilidades'!$C$34)+ABS('03_Sensibilidades'!$C$35)+ABS('03_Sensibilidades'!$C$36)+ABS('03_Sensibilidades'!$C$37))</x:f>
        <x:v>51.199712</x:v>
      </x:c>
      <x:c r="F1230" s="10" t="n">
        <x:f>(1-'00_Arquitectura'!$B$95)*D1230+'00_Arquitectura'!$B$95*E1230</x:f>
        <x:v>50.43387013750001</x:v>
      </x:c>
      <x:c r="G1230" s="10" t="n">
        <x:f>'02_Actores'!$I$13</x:f>
        <x:v>45</x:v>
      </x:c>
      <x:c r="H1230" s="10" t="n">
        <x:f>IF(OR(AND(F1230&lt;'00_Arquitectura'!$B$118,G1230&lt;'00_Arquitectura'!$B$119),F1230&lt;'00_Arquitectura'!$B$120),1,0)</x:f>
        <x:v>0</x:v>
      </x:c>
      <x:c r="I1230" s="10" t="n">
        <x:f>IF($I$1212=1,IF(OR(AND(F1230&lt;'00_Arquitectura'!$B$121,G1230&lt;'00_Arquitectura'!$B$122),F1230&lt;'00_Arquitectura'!$B$123),1,0),IF(AND(H1230=1,$H$1212=1),1,0))</x:f>
        <x:v>0</x:v>
      </x:c>
      <x:c r="J1230" s="10" t="n">
        <x:f>0</x:f>
        <x:v>0</x:v>
      </x:c>
      <x:c r="K1230" s="10" t="n">
        <x:f>$K$1223</x:f>
        <x:v>49.572374320503855</x:v>
      </x:c>
      <x:c r="L1230" s="10" t="str">
        <x:v>Conflicto activo captura menor eficacia en políticas ejecutadas en t+1. Magnitud0 en J: no es un offset directo de indicador.</x:v>
      </x:c>
    </x:row>
    <x:row r="1231" ht="34" customHeight="1">
      <x:c r="A1231" s="5" t="str">
        <x:v>S3_SALARIO</x:v>
      </x:c>
      <x:c r="B1231" s="5" t="n">
        <x:v>6</x:v>
      </x:c>
      <x:c r="C1231" s="5" t="str">
        <x:v>docentes</x:v>
      </x:c>
      <x:c r="D1231" s="5" t="n">
        <x:f>$F$1213</x:f>
        <x:v>50.52031385869566</x:v>
      </x:c>
      <x:c r="E1231" s="5" t="n">
        <x:f>(ABS('03_Sensibilidades'!$C$38)*IF('03_Sensibilidades'!$C$38&lt;0,100-$K$426,$K$426)+ABS('03_Sensibilidades'!$C$39)*IF('03_Sensibilidades'!$C$39&lt;0,100-$K$421,$K$421)+ABS('03_Sensibilidades'!$C$40)*IF('03_Sensibilidades'!$C$40&lt;0,100-$K$431,$K$431))/(ABS('03_Sensibilidades'!$C$38)+ABS('03_Sensibilidades'!$C$39)+ABS('03_Sensibilidades'!$C$40))</x:f>
        <x:v>52.82552347826087</x:v>
      </x:c>
      <x:c r="F1231" s="5" t="n">
        <x:f>(1-'00_Arquitectura'!$B$95)*D1231+'00_Arquitectura'!$B$95*E1231</x:f>
        <x:v>51.32713722554348</x:v>
      </x:c>
      <x:c r="G1231" s="5" t="n">
        <x:f>'02_Actores'!$I$14</x:f>
        <x:v>45</x:v>
      </x:c>
      <x:c r="H1231" s="5" t="n">
        <x:f>IF(OR(AND(F1231&lt;'00_Arquitectura'!$B$118,G1231&lt;'00_Arquitectura'!$B$119),F1231&lt;'00_Arquitectura'!$B$120),1,0)</x:f>
        <x:v>0</x:v>
      </x:c>
      <x:c r="I1231" s="5" t="n">
        <x:f>IF($I$1213=1,IF(OR(AND(F1231&lt;'00_Arquitectura'!$B$121,G1231&lt;'00_Arquitectura'!$B$122),F1231&lt;'00_Arquitectura'!$B$123),1,0),IF(AND(H1231=1,$H$1213=1),1,0))</x:f>
        <x:v>0</x:v>
      </x:c>
      <x:c r="J1231" s="5" t="n">
        <x:f>-I1231*1.5*'02_Actores'!$E$14/10</x:f>
        <x:v>0</x:v>
      </x:c>
      <x:c r="K1231" s="5" t="n">
        <x:f>$K$1223</x:f>
        <x:v>49.572374320503855</x:v>
      </x:c>
      <x:c r="L1231" s="5" t="str">
        <x:v>J programa offset para t+1; efecto sustituible y acotado, sin voto adicional.</x:v>
      </x:c>
    </x:row>
    <x:row r="1232" ht="34" customHeight="1">
      <x:c r="A1232" s="10" t="str">
        <x:v>S3_SALARIO</x:v>
      </x:c>
      <x:c r="B1232" s="10" t="n">
        <x:v>6</x:v>
      </x:c>
      <x:c r="C1232" s="10" t="str">
        <x:v>cientificos</x:v>
      </x:c>
      <x:c r="D1232" s="10" t="n">
        <x:f>$F$1214</x:f>
        <x:v>46.59090909090909</x:v>
      </x:c>
      <x:c r="E1232" s="10" t="n">
        <x:f>(ABS('03_Sensibilidades'!$C$41)*IF('03_Sensibilidades'!$C$41&lt;0,100-$K$430,$K$430)+ABS('03_Sensibilidades'!$C$42)*IF('03_Sensibilidades'!$C$42&lt;0,100-$K$426,$K$426)+ABS('03_Sensibilidades'!$C$43)*IF('03_Sensibilidades'!$C$43&lt;0,100-$K$431,$K$431))/(ABS('03_Sensibilidades'!$C$41)+ABS('03_Sensibilidades'!$C$42)+ABS('03_Sensibilidades'!$C$43))</x:f>
        <x:v>46.59090909090909</x:v>
      </x:c>
      <x:c r="F1232" s="10" t="n">
        <x:f>(1-'00_Arquitectura'!$B$95)*D1232+'00_Arquitectura'!$B$95*E1232</x:f>
        <x:v>46.59090909090909</x:v>
      </x:c>
      <x:c r="G1232" s="10" t="n">
        <x:f>'02_Actores'!$I$15</x:f>
        <x:v>45</x:v>
      </x:c>
      <x:c r="H1232" s="10" t="n">
        <x:f>IF(OR(AND(F1232&lt;'00_Arquitectura'!$B$118,G1232&lt;'00_Arquitectura'!$B$119),F1232&lt;'00_Arquitectura'!$B$120),1,0)</x:f>
        <x:v>0</x:v>
      </x:c>
      <x:c r="I1232" s="10" t="n">
        <x:f>IF($I$1214=1,IF(OR(AND(F1232&lt;'00_Arquitectura'!$B$121,G1232&lt;'00_Arquitectura'!$B$122),F1232&lt;'00_Arquitectura'!$B$123),1,0),IF(AND(H1232=1,$H$1214=1),1,0))</x:f>
        <x:v>0</x:v>
      </x:c>
      <x:c r="J1232" s="10" t="n">
        <x:f>-I1232*1.5*'02_Actores'!$E$15/10</x:f>
        <x:v>0</x:v>
      </x:c>
      <x:c r="K1232" s="10" t="n">
        <x:f>$K$1223</x:f>
        <x:v>49.572374320503855</x:v>
      </x:c>
      <x:c r="L1232" s="10" t="str">
        <x:v>J programa offset para t+1; efecto sustituible y acotado, sin voto adicional.</x:v>
      </x:c>
    </x:row>
    <x:row r="1233" ht="34" customHeight="1">
      <x:c r="A1233" s="5" t="str">
        <x:v>S3_SALARIO</x:v>
      </x:c>
      <x:c r="B1233" s="5" t="n">
        <x:v>6</x:v>
      </x:c>
      <x:c r="C1233" s="5" t="str">
        <x:v>organizaciones</x:v>
      </x:c>
      <x:c r="D1233" s="5" t="n">
        <x:f>$F$1215</x:f>
        <x:v>49.10642285714286</x:v>
      </x:c>
      <x:c r="E1233" s="5" t="n">
        <x:f>(ABS('03_Sensibilidades'!$C$44)*IF('03_Sensibilidades'!$C$44&lt;0,100-$K$428,$K$428)+ABS('03_Sensibilidades'!$C$45)*IF('03_Sensibilidades'!$C$45&lt;0,100-$K$427,$K$427)+ABS('03_Sensibilidades'!$C$46)*IF('03_Sensibilidades'!$C$46&lt;0,100-$K$420,$K$420)+ABS('03_Sensibilidades'!$C$47)*IF('03_Sensibilidades'!$C$47&lt;0,100-$K$431,$K$431))/(ABS('03_Sensibilidades'!$C$44)+ABS('03_Sensibilidades'!$C$45)+ABS('03_Sensibilidades'!$C$46)+ABS('03_Sensibilidades'!$C$47))</x:f>
        <x:v>49.10169142857143</x:v>
      </x:c>
      <x:c r="F1233" s="5" t="n">
        <x:f>(1-'00_Arquitectura'!$B$95)*D1233+'00_Arquitectura'!$B$95*E1233</x:f>
        <x:v>49.10476685714286</x:v>
      </x:c>
      <x:c r="G1233" s="5" t="n">
        <x:f>'02_Actores'!$I$16</x:f>
        <x:v>45</x:v>
      </x:c>
      <x:c r="H1233" s="5" t="n">
        <x:f>IF(OR(AND(F1233&lt;'00_Arquitectura'!$B$118,G1233&lt;'00_Arquitectura'!$B$119),F1233&lt;'00_Arquitectura'!$B$120),1,0)</x:f>
        <x:v>0</x:v>
      </x:c>
      <x:c r="I1233" s="5" t="n">
        <x:f>IF($I$1215=1,IF(OR(AND(F1233&lt;'00_Arquitectura'!$B$121,G1233&lt;'00_Arquitectura'!$B$122),F1233&lt;'00_Arquitectura'!$B$123),1,0),IF(AND(H1233=1,$H$1215=1),1,0))</x:f>
        <x:v>0</x:v>
      </x:c>
      <x:c r="J1233" s="5" t="n">
        <x:f>-I1233*1.5*'02_Actores'!$E$16/10</x:f>
        <x:v>0</x:v>
      </x:c>
      <x:c r="K1233" s="5" t="n">
        <x:f>$K$1223</x:f>
        <x:v>49.572374320503855</x:v>
      </x:c>
      <x:c r="L1233" s="5" t="str">
        <x:v>J programa offset para t+1; efecto sustituible y acotado, sin voto adicional.</x:v>
      </x:c>
    </x:row>
    <x:row r="1234" ht="42" customHeight="1">
      <x:c r="A1234" s="10" t="str">
        <x:v>S3_SALARIO</x:v>
      </x:c>
      <x:c r="B1234" s="10" t="n">
        <x:v>6</x:v>
      </x:c>
      <x:c r="C1234" s="10" t="str">
        <x:v>ddhh</x:v>
      </x:c>
      <x:c r="D1234" s="10" t="n">
        <x:f>$F$1216</x:f>
        <x:v>50.88235294117648</x:v>
      </x:c>
      <x:c r="E1234" s="10" t="n">
        <x:f>(ABS('03_Sensibilidades'!$C$48)*IF('03_Sensibilidades'!$C$48&lt;0,100-$K$431,$K$431)+ABS('03_Sensibilidades'!$C$49)*IF('03_Sensibilidades'!$C$49&lt;0,100-$K$429,$K$429)+ABS('03_Sensibilidades'!$C$50)*IF('03_Sensibilidades'!$C$50&lt;0,100-$K$428,$K$428))/(ABS('03_Sensibilidades'!$C$48)+ABS('03_Sensibilidades'!$C$49)+ABS('03_Sensibilidades'!$C$50))</x:f>
        <x:v>50.88235294117647</x:v>
      </x:c>
      <x:c r="F1234" s="10" t="n">
        <x:f>(1-'00_Arquitectura'!$B$95)*D1234+'00_Arquitectura'!$B$95*E1234</x:f>
        <x:v>50.88235294117648</x:v>
      </x:c>
      <x:c r="G1234" s="10" t="n">
        <x:f>'02_Actores'!$I$17</x:f>
        <x:v>45</x:v>
      </x:c>
      <x:c r="H1234" s="10" t="n">
        <x:f>IF(OR(AND(F1234&lt;'00_Arquitectura'!$B$118,G1234&lt;'00_Arquitectura'!$B$119),F1234&lt;'00_Arquitectura'!$B$120),1,0)</x:f>
        <x:v>0</x:v>
      </x:c>
      <x:c r="I1234" s="10" t="n">
        <x:f>IF($I$1216=1,IF(OR(AND(F1234&lt;'00_Arquitectura'!$B$121,G1234&lt;'00_Arquitectura'!$B$122),F1234&lt;'00_Arquitectura'!$B$123),1,0),IF(AND(H1234=1,$H$1216=1),1,0))</x:f>
        <x:v>0</x:v>
      </x:c>
      <x:c r="J1234" s="10" t="n">
        <x:f>0</x:f>
        <x:v>0</x:v>
      </x:c>
      <x:c r="K1234" s="10" t="n">
        <x:f>$K$1223</x:f>
        <x:v>49.572374320503855</x:v>
      </x:c>
      <x:c r="L1234" s="10" t="str">
        <x:v>Conflicto activo captura menor eficacia en políticas ejecutadas en t+1. Magnitud0 en J: no es un offset directo de indicador.</x:v>
      </x:c>
    </x:row>
    <x:row r="1235" ht="42" customHeight="1">
      <x:c r="A1235" s="5" t="str">
        <x:v>S3_SALARIO</x:v>
      </x:c>
      <x:c r="B1235" s="5" t="n">
        <x:v>6</x:v>
      </x:c>
      <x:c r="C1235" s="5" t="str">
        <x:v>ambientalistas</x:v>
      </x:c>
      <x:c r="D1235" s="5" t="n">
        <x:f>$F$1217</x:f>
        <x:v>51.388888888888886</x:v>
      </x:c>
      <x:c r="E1235" s="5" t="n">
        <x:f>(ABS('03_Sensibilidades'!$C$51)*IF('03_Sensibilidades'!$C$51&lt;0,100-$K$432,$K$432)+ABS('03_Sensibilidades'!$C$52)*IF('03_Sensibilidades'!$C$52&lt;0,100-$K$431,$K$431)+ABS('03_Sensibilidades'!$C$53)*IF('03_Sensibilidades'!$C$53&lt;0,100-$K$427,$K$427))/(ABS('03_Sensibilidades'!$C$51)+ABS('03_Sensibilidades'!$C$52)+ABS('03_Sensibilidades'!$C$53))</x:f>
        <x:v>51.388888888888886</x:v>
      </x:c>
      <x:c r="F1235" s="5" t="n">
        <x:f>(1-'00_Arquitectura'!$B$95)*D1235+'00_Arquitectura'!$B$95*E1235</x:f>
        <x:v>51.388888888888886</x:v>
      </x:c>
      <x:c r="G1235" s="5" t="n">
        <x:f>'02_Actores'!$I$18</x:f>
        <x:v>45</x:v>
      </x:c>
      <x:c r="H1235" s="5" t="n">
        <x:f>IF(OR(AND(F1235&lt;'00_Arquitectura'!$B$118,G1235&lt;'00_Arquitectura'!$B$119),F1235&lt;'00_Arquitectura'!$B$120),1,0)</x:f>
        <x:v>0</x:v>
      </x:c>
      <x:c r="I1235" s="5" t="n">
        <x:f>IF($I$1217=1,IF(OR(AND(F1235&lt;'00_Arquitectura'!$B$121,G1235&lt;'00_Arquitectura'!$B$122),F1235&lt;'00_Arquitectura'!$B$123),1,0),IF(AND(H1235=1,$H$1217=1),1,0))</x:f>
        <x:v>0</x:v>
      </x:c>
      <x:c r="J1235" s="5" t="n">
        <x:f>0</x:f>
        <x:v>0</x:v>
      </x:c>
      <x:c r="K1235" s="5" t="n">
        <x:f>$K$1223</x:f>
        <x:v>49.572374320503855</x:v>
      </x:c>
      <x:c r="L1235" s="5" t="str">
        <x:v>Conflicto activo captura menor eficacia en políticas ejecutadas en t+1. Magnitud0 en J: no es un offset directo de indicador.</x:v>
      </x:c>
    </x:row>
    <x:row r="1236" ht="34" customHeight="1">
      <x:c r="A1236" s="10" t="str">
        <x:v>S3_SALARIO</x:v>
      </x:c>
      <x:c r="B1236" s="10" t="n">
        <x:v>6</x:v>
      </x:c>
      <x:c r="C1236" s="10" t="str">
        <x:v>cultura</x:v>
      </x:c>
      <x:c r="D1236" s="10" t="n">
        <x:f>$F$1218</x:f>
        <x:v>51.8703865131579</x:v>
      </x:c>
      <x:c r="E1236" s="10" t="n">
        <x:f>(ABS('03_Sensibilidades'!$C$54)*IF('03_Sensibilidades'!$C$54&lt;0,100-$K$431,$K$431)+ABS('03_Sensibilidades'!$C$55)*IF('03_Sensibilidades'!$C$55&lt;0,100-$K$426,$K$426)+ABS('03_Sensibilidades'!$C$56)*IF('03_Sensibilidades'!$C$56&lt;0,100-$K$421,$K$421))/(ABS('03_Sensibilidades'!$C$54)+ABS('03_Sensibilidades'!$C$55)+ABS('03_Sensibilidades'!$C$56))</x:f>
        <x:v>53.42067368421053</x:v>
      </x:c>
      <x:c r="F1236" s="10" t="n">
        <x:f>(1-'00_Arquitectura'!$B$95)*D1236+'00_Arquitectura'!$B$95*E1236</x:f>
        <x:v>52.41298702302632</x:v>
      </x:c>
      <x:c r="G1236" s="10" t="n">
        <x:f>'02_Actores'!$I$19</x:f>
        <x:v>45</x:v>
      </x:c>
      <x:c r="H1236" s="10" t="n">
        <x:f>IF(OR(AND(F1236&lt;'00_Arquitectura'!$B$118,G1236&lt;'00_Arquitectura'!$B$119),F1236&lt;'00_Arquitectura'!$B$120),1,0)</x:f>
        <x:v>0</x:v>
      </x:c>
      <x:c r="I1236" s="10" t="n">
        <x:f>IF($I$1218=1,IF(OR(AND(F1236&lt;'00_Arquitectura'!$B$121,G1236&lt;'00_Arquitectura'!$B$122),F1236&lt;'00_Arquitectura'!$B$123),1,0),IF(AND(H1236=1,$H$1218=1),1,0))</x:f>
        <x:v>0</x:v>
      </x:c>
      <x:c r="J1236" s="10" t="n">
        <x:f>0</x:f>
        <x:v>0</x:v>
      </x:c>
      <x:c r="K1236" s="10" t="n">
        <x:f>$K$1223</x:f>
        <x:v>49.572374320503855</x:v>
      </x:c>
      <x:c r="L1236" s="10" t="str">
        <x:v>Conflicto activo encarece agenda del turno siguiente; sin castigo electoral adicional.</x:v>
      </x:c>
    </x:row>
    <x:row r="1237" ht="34" customHeight="1">
      <x:c r="A1237" s="5" t="str">
        <x:v>S3_SALARIO</x:v>
      </x:c>
      <x:c r="B1237" s="5" t="n">
        <x:v>6</x:v>
      </x:c>
      <x:c r="C1237" s="5" t="str">
        <x:v>oficialismo</x:v>
      </x:c>
      <x:c r="D1237" s="5" t="n">
        <x:f>$F$1219</x:f>
        <x:v>51.0743848</x:v>
      </x:c>
      <x:c r="E1237" s="5" t="n">
        <x:f>(ABS('03_Sensibilidades'!$C$57)*IF('03_Sensibilidades'!$C$57&lt;0,100-$K$431,$K$431)+ABS('03_Sensibilidades'!$C$58)*IF('03_Sensibilidades'!$C$58&lt;0,100-$K$420,$K$420)+ABS('03_Sensibilidades'!$C$59)*IF('03_Sensibilidades'!$C$59&lt;0,100-$K$423,$K$423)+ABS('03_Sensibilidades'!$C$60)*IF('03_Sensibilidades'!$C$60&lt;0,100-$K$428,$K$428))/(ABS('03_Sensibilidades'!$C$57)+ABS('03_Sensibilidades'!$C$58)+ABS('03_Sensibilidades'!$C$59)+ABS('03_Sensibilidades'!$C$60))</x:f>
        <x:v>50.6713984</x:v>
      </x:c>
      <x:c r="F1237" s="5" t="n">
        <x:f>(1-'00_Arquitectura'!$B$95)*D1237+'00_Arquitectura'!$B$95*E1237</x:f>
        <x:v>50.93333956</x:v>
      </x:c>
      <x:c r="G1237" s="5" t="n">
        <x:f>'02_Actores'!$I$20</x:f>
        <x:v>60</x:v>
      </x:c>
      <x:c r="H1237" s="5" t="n">
        <x:f>IF(OR(AND(F1237&lt;'00_Arquitectura'!$B$118,G1237&lt;'00_Arquitectura'!$B$119),F1237&lt;'00_Arquitectura'!$B$120),1,0)</x:f>
        <x:v>0</x:v>
      </x:c>
      <x:c r="I1237" s="5" t="n">
        <x:f>IF($I$1219=1,IF(OR(AND(F1237&lt;'00_Arquitectura'!$B$121,G1237&lt;'00_Arquitectura'!$B$122),F1237&lt;'00_Arquitectura'!$B$123),1,0),IF(AND(H1237=1,$H$1219=1),1,0))</x:f>
        <x:v>0</x:v>
      </x:c>
      <x:c r="J1237" s="5" t="n">
        <x:f>0</x:f>
        <x:v>0</x:v>
      </x:c>
      <x:c r="K1237" s="5" t="n">
        <x:f>$K$1223</x:f>
        <x:v>49.572374320503855</x:v>
      </x:c>
      <x:c r="L1237" s="5" t="str">
        <x:v>No aporta E_social; S y R alimentan disposición a leyes según07.</x:v>
      </x:c>
    </x:row>
    <x:row r="1238" ht="34" customHeight="1">
      <x:c r="A1238" s="10" t="str">
        <x:v>S3_SALARIO</x:v>
      </x:c>
      <x:c r="B1238" s="10" t="n">
        <x:v>6</x:v>
      </x:c>
      <x:c r="C1238" s="10" t="str">
        <x:v>aliados</x:v>
      </x:c>
      <x:c r="D1238" s="10" t="n">
        <x:f>$F$1220</x:f>
        <x:v>51.69210714285715</x:v>
      </x:c>
      <x:c r="E1238" s="10" t="n">
        <x:f>(ABS('03_Sensibilidades'!$C$61)*IF('03_Sensibilidades'!$C$61&lt;0,100-$K$431,$K$431)+ABS('03_Sensibilidades'!$C$62)*IF('03_Sensibilidades'!$C$62&lt;0,100-$K$423,$K$423)+ABS('03_Sensibilidades'!$C$63)*IF('03_Sensibilidades'!$C$63&lt;0,100-$K$425,$K$425))/(ABS('03_Sensibilidades'!$C$61)+ABS('03_Sensibilidades'!$C$62)+ABS('03_Sensibilidades'!$C$63))</x:f>
        <x:v>51.14221714285715</x:v>
      </x:c>
      <x:c r="F1238" s="10" t="n">
        <x:f>(1-'00_Arquitectura'!$B$95)*D1238+'00_Arquitectura'!$B$95*E1238</x:f>
        <x:v>51.499645642857146</x:v>
      </x:c>
      <x:c r="G1238" s="10" t="n">
        <x:f>'02_Actores'!$I$21</x:f>
        <x:v>45</x:v>
      </x:c>
      <x:c r="H1238" s="10" t="n">
        <x:f>IF(OR(AND(F1238&lt;'00_Arquitectura'!$B$118,G1238&lt;'00_Arquitectura'!$B$119),F1238&lt;'00_Arquitectura'!$B$120),1,0)</x:f>
        <x:v>0</x:v>
      </x:c>
      <x:c r="I1238" s="10" t="n">
        <x:f>IF($I$1220=1,IF(OR(AND(F1238&lt;'00_Arquitectura'!$B$121,G1238&lt;'00_Arquitectura'!$B$122),F1238&lt;'00_Arquitectura'!$B$123),1,0),IF(AND(H1238=1,$H$1220=1),1,0))</x:f>
        <x:v>0</x:v>
      </x:c>
      <x:c r="J1238" s="10" t="n">
        <x:f>0</x:f>
        <x:v>0</x:v>
      </x:c>
      <x:c r="K1238" s="10" t="n">
        <x:f>$K$1223</x:f>
        <x:v>49.572374320503855</x:v>
      </x:c>
      <x:c r="L1238" s="10" t="str">
        <x:v>No aporta E_social; S y R alimentan disposición a leyes según07.</x:v>
      </x:c>
    </x:row>
    <x:row r="1239" ht="34" customHeight="1">
      <x:c r="A1239" s="5" t="str">
        <x:v>S3_SALARIO</x:v>
      </x:c>
      <x:c r="B1239" s="5" t="n">
        <x:v>6</x:v>
      </x:c>
      <x:c r="C1239" s="5" t="str">
        <x:v>oposicion</x:v>
      </x:c>
      <x:c r="D1239" s="5" t="n">
        <x:f>$F$1221</x:f>
        <x:v>52.594325000000005</x:v>
      </x:c>
      <x:c r="E1239" s="5" t="n">
        <x:f>(ABS('03_Sensibilidades'!$C$64)*IF('03_Sensibilidades'!$C$64&lt;0,100-$K$431,$K$431)+ABS('03_Sensibilidades'!$C$65)*IF('03_Sensibilidades'!$C$65&lt;0,100-$K$423,$K$423)+ABS('03_Sensibilidades'!$C$66)*IF('03_Sensibilidades'!$C$66&lt;0,100-$K$429,$K$429))/(ABS('03_Sensibilidades'!$C$64)+ABS('03_Sensibilidades'!$C$65)+ABS('03_Sensibilidades'!$C$66))</x:f>
        <x:v>52.099424</x:v>
      </x:c>
      <x:c r="F1239" s="5" t="n">
        <x:f>(1-'00_Arquitectura'!$B$95)*D1239+'00_Arquitectura'!$B$95*E1239</x:f>
        <x:v>52.421109650000005</x:v>
      </x:c>
      <x:c r="G1239" s="5" t="n">
        <x:f>'02_Actores'!$I$22</x:f>
        <x:v>30</x:v>
      </x:c>
      <x:c r="H1239" s="5" t="n">
        <x:f>IF(OR(AND(F1239&lt;'00_Arquitectura'!$B$118,G1239&lt;'00_Arquitectura'!$B$119),F1239&lt;'00_Arquitectura'!$B$120),1,0)</x:f>
        <x:v>0</x:v>
      </x:c>
      <x:c r="I1239" s="5" t="n">
        <x:f>IF($I$1221=1,IF(OR(AND(F1239&lt;'00_Arquitectura'!$B$121,G1239&lt;'00_Arquitectura'!$B$122),F1239&lt;'00_Arquitectura'!$B$123),1,0),IF(AND(H1239=1,$H$1221=1),1,0))</x:f>
        <x:v>0</x:v>
      </x:c>
      <x:c r="J1239" s="5" t="n">
        <x:f>0</x:f>
        <x:v>0</x:v>
      </x:c>
      <x:c r="K1239" s="5" t="n">
        <x:f>$K$1223</x:f>
        <x:v>49.572374320503855</x:v>
      </x:c>
      <x:c r="L1239" s="5" t="str">
        <x:v>No aporta E_social; S y R alimentan disposición a leyes según07.</x:v>
      </x:c>
    </x:row>
    <x:row r="1240" ht="42" customHeight="1">
      <x:c r="A1240" s="10" t="str">
        <x:v>S3_SALARIO</x:v>
      </x:c>
      <x:c r="B1240" s="10" t="n">
        <x:v>6</x:v>
      </x:c>
      <x:c r="C1240" s="10" t="str">
        <x:v>gobernadores</x:v>
      </x:c>
      <x:c r="D1240" s="10" t="n">
        <x:f>$F$1222</x:f>
        <x:v>49.20298275862069</x:v>
      </x:c>
      <x:c r="E1240" s="10" t="n">
        <x:f>(ABS('03_Sensibilidades'!$C$67)*IF('03_Sensibilidades'!$C$67&lt;0,100-$K$425,$K$425)+ABS('03_Sensibilidades'!$C$68)*IF('03_Sensibilidades'!$C$68&lt;0,100-$K$427,$K$427)+ABS('03_Sensibilidades'!$C$69)*IF('03_Sensibilidades'!$C$69&lt;0,100-$K$426,$K$426)+ABS('03_Sensibilidades'!$C$70)*IF('03_Sensibilidades'!$C$70&lt;0,100-$K$423,$K$423))/(ABS('03_Sensibilidades'!$C$67)+ABS('03_Sensibilidades'!$C$68)+ABS('03_Sensibilidades'!$C$69)+ABS('03_Sensibilidades'!$C$70))</x:f>
        <x:v>48.86167172413793</x:v>
      </x:c>
      <x:c r="F1240" s="10" t="n">
        <x:f>(1-'00_Arquitectura'!$B$95)*D1240+'00_Arquitectura'!$B$95*E1240</x:f>
        <x:v>49.083523896551725</x:v>
      </x:c>
      <x:c r="G1240" s="10" t="n">
        <x:f>'02_Actores'!$I$23</x:f>
        <x:v>45</x:v>
      </x:c>
      <x:c r="H1240" s="10" t="n">
        <x:f>IF(OR(AND(F1240&lt;'00_Arquitectura'!$B$118,G1240&lt;'00_Arquitectura'!$B$119),F1240&lt;'00_Arquitectura'!$B$120),1,0)</x:f>
        <x:v>0</x:v>
      </x:c>
      <x:c r="I1240" s="10" t="n">
        <x:f>IF($I$1222=1,IF(OR(AND(F1240&lt;'00_Arquitectura'!$B$121,G1240&lt;'00_Arquitectura'!$B$122),F1240&lt;'00_Arquitectura'!$B$123),1,0),IF(AND(H1240=1,$H$1222=1),1,0))</x:f>
        <x:v>0</x:v>
      </x:c>
      <x:c r="J1240" s="10" t="n">
        <x:f>0</x:f>
        <x:v>0</x:v>
      </x:c>
      <x:c r="K1240" s="10" t="n">
        <x:f>$K$1223</x:f>
        <x:v>49.572374320503855</x:v>
      </x:c>
      <x:c r="L1240" s="10" t="str">
        <x:v>Conflicto activo captura menor eficacia en políticas ejecutadas en t+1. Magnitud0 en J: no es un offset directo de indicador.</x:v>
      </x:c>
    </x:row>
    <x:row r="1241" ht="34" customHeight="1">
      <x:c r="A1241" s="5" t="str">
        <x:v>S3_SALARIO</x:v>
      </x:c>
      <x:c r="B1241" s="5" t="n">
        <x:v>7</x:v>
      </x:c>
      <x:c r="C1241" s="5" t="str">
        <x:v>industria</x:v>
      </x:c>
      <x:c r="D1241" s="5" t="n">
        <x:f>$F$1223</x:f>
        <x:v>46.425960592592595</x:v>
      </x:c>
      <x:c r="E1241" s="5" t="n">
        <x:f>(ABS('03_Sensibilidades'!$C$6)*IF('03_Sensibilidades'!$C$6&lt;0,100-$K$436,$K$436)+ABS('03_Sensibilidades'!$C$7)*IF('03_Sensibilidades'!$C$7&lt;0,100-$K$434,$K$434)+ABS('03_Sensibilidades'!$C$8)*IF('03_Sensibilidades'!$C$8&lt;0,100-$K$439,$K$439)+ABS('03_Sensibilidades'!$C$9)*IF('03_Sensibilidades'!$C$9&lt;0,100-$K$438,$K$438))/(ABS('03_Sensibilidades'!$C$6)+ABS('03_Sensibilidades'!$C$7)+ABS('03_Sensibilidades'!$C$8)+ABS('03_Sensibilidades'!$C$9))</x:f>
        <x:v>46.35482032592592</x:v>
      </x:c>
      <x:c r="F1241" s="5" t="n">
        <x:f>(1-'00_Arquitectura'!$B$95)*D1241+'00_Arquitectura'!$B$95*E1241</x:f>
        <x:v>46.40106149925926</x:v>
      </x:c>
      <x:c r="G1241" s="5" t="n">
        <x:f>'02_Actores'!$I$6</x:f>
        <x:v>45</x:v>
      </x:c>
      <x:c r="H1241" s="5" t="n">
        <x:f>IF(OR(AND(F1241&lt;'00_Arquitectura'!$B$118,G1241&lt;'00_Arquitectura'!$B$119),F1241&lt;'00_Arquitectura'!$B$120),1,0)</x:f>
        <x:v>0</x:v>
      </x:c>
      <x:c r="I1241" s="5" t="n">
        <x:f>IF($I$1223=1,IF(OR(AND(F1241&lt;'00_Arquitectura'!$B$121,G1241&lt;'00_Arquitectura'!$B$122),F1241&lt;'00_Arquitectura'!$B$123),1,0),IF(AND(H1241=1,$H$1223=1),1,0))</x:f>
        <x:v>0</x:v>
      </x:c>
      <x:c r="J1241" s="5" t="n">
        <x:f>-I1241*2*'02_Actores'!$E$6/10</x:f>
        <x:v>0</x:v>
      </x:c>
      <x:c r="K1241" s="5" t="n">
        <x:f>($F$1241*'02_Actores'!$F$6+$F$1242*'02_Actores'!$F$7+$F$1243*'02_Actores'!$F$8+$F$1244*'02_Actores'!$F$9+$F$1245*'02_Actores'!$F$10+$F$1246*'02_Actores'!$F$11+$F$1247*'02_Actores'!$F$12+$F$1248*'02_Actores'!$F$13+$F$1249*'02_Actores'!$F$14+$F$1250*'02_Actores'!$F$15+$F$1251*'02_Actores'!$F$16+$F$1252*'02_Actores'!$F$17+$F$1253*'02_Actores'!$F$18+$F$1254*'02_Actores'!$F$19)/('02_Actores'!$F$6+'02_Actores'!$F$7+'02_Actores'!$F$8+'02_Actores'!$F$9+'02_Actores'!$F$10+'02_Actores'!$F$11+'02_Actores'!$F$12+'02_Actores'!$F$13+'02_Actores'!$F$14+'02_Actores'!$F$15+'02_Actores'!$F$16+'02_Actores'!$F$17+'02_Actores'!$F$18+'02_Actores'!$F$19)</x:f>
        <x:v>49.72367605240798</x:v>
      </x:c>
      <x:c r="L1241" s="5" t="str">
        <x:v>J programa offset para t+1; efecto sustituible y acotado, sin voto adicional.</x:v>
      </x:c>
    </x:row>
    <x:row r="1242" ht="34" customHeight="1">
      <x:c r="A1242" s="10" t="str">
        <x:v>S3_SALARIO</x:v>
      </x:c>
      <x:c r="B1242" s="10" t="n">
        <x:v>7</x:v>
      </x:c>
      <x:c r="C1242" s="10" t="str">
        <x:v>agro</x:v>
      </x:c>
      <x:c r="D1242" s="10" t="n">
        <x:f>$F$1224</x:f>
        <x:v>45.86137589285714</x:v>
      </x:c>
      <x:c r="E1242" s="10" t="n">
        <x:f>(ABS('03_Sensibilidades'!$C$10)*IF('03_Sensibilidades'!$C$10&lt;0,100-$K$438,$K$438)+ABS('03_Sensibilidades'!$C$11)*IF('03_Sensibilidades'!$C$11&lt;0,100-$K$439,$K$439)+ABS('03_Sensibilidades'!$C$12)*IF('03_Sensibilidades'!$C$12&lt;0,100-$K$446,$K$446)+ABS('03_Sensibilidades'!$C$13)*IF('03_Sensibilidades'!$C$13&lt;0,100-$K$436,$K$436))/(ABS('03_Sensibilidades'!$C$10)+ABS('03_Sensibilidades'!$C$11)+ABS('03_Sensibilidades'!$C$12)+ABS('03_Sensibilidades'!$C$13))</x:f>
        <x:v>45.82456546428572</x:v>
      </x:c>
      <x:c r="F1242" s="10" t="n">
        <x:f>(1-'00_Arquitectura'!$B$95)*D1242+'00_Arquitectura'!$B$95*E1242</x:f>
        <x:v>45.84849224285715</x:v>
      </x:c>
      <x:c r="G1242" s="10" t="n">
        <x:f>'02_Actores'!$I$7</x:f>
        <x:v>45</x:v>
      </x:c>
      <x:c r="H1242" s="10" t="n">
        <x:f>IF(OR(AND(F1242&lt;'00_Arquitectura'!$B$118,G1242&lt;'00_Arquitectura'!$B$119),F1242&lt;'00_Arquitectura'!$B$120),1,0)</x:f>
        <x:v>0</x:v>
      </x:c>
      <x:c r="I1242" s="10" t="n">
        <x:f>IF($I$1224=1,IF(OR(AND(F1242&lt;'00_Arquitectura'!$B$121,G1242&lt;'00_Arquitectura'!$B$122),F1242&lt;'00_Arquitectura'!$B$123),1,0),IF(AND(H1242=1,$H$1224=1),1,0))</x:f>
        <x:v>0</x:v>
      </x:c>
      <x:c r="J1242" s="10" t="n">
        <x:f>-I1242*2*'02_Actores'!$E$7/10</x:f>
        <x:v>0</x:v>
      </x:c>
      <x:c r="K1242" s="10" t="n">
        <x:f>$K$1241</x:f>
        <x:v>49.72367605240798</x:v>
      </x:c>
      <x:c r="L1242" s="10" t="str">
        <x:v>J programa offset para t+1; efecto sustituible y acotado, sin voto adicional.</x:v>
      </x:c>
    </x:row>
    <x:row r="1243" ht="34" customHeight="1">
      <x:c r="A1243" s="5" t="str">
        <x:v>S3_SALARIO</x:v>
      </x:c>
      <x:c r="B1243" s="5" t="n">
        <x:v>7</x:v>
      </x:c>
      <x:c r="C1243" s="5" t="str">
        <x:v>financiero</x:v>
      </x:c>
      <x:c r="D1243" s="5" t="n">
        <x:f>$F$1225</x:f>
        <x:v>53.257572068965516</x:v>
      </x:c>
      <x:c r="E1243" s="5" t="n">
        <x:f>(ABS('03_Sensibilidades'!$C$14)*IF('03_Sensibilidades'!$C$14&lt;0,100-$K$437,$K$437)+ABS('03_Sensibilidades'!$C$15)*IF('03_Sensibilidades'!$C$15&lt;0,100-$K$433,$K$433)+ABS('03_Sensibilidades'!$C$16)*IF('03_Sensibilidades'!$C$16&lt;0,100-$K$436,$K$436)+ABS('03_Sensibilidades'!$C$17)*IF('03_Sensibilidades'!$C$17&lt;0,100-$K$445,$K$445))/(ABS('03_Sensibilidades'!$C$14)+ABS('03_Sensibilidades'!$C$15)+ABS('03_Sensibilidades'!$C$16)+ABS('03_Sensibilidades'!$C$17))</x:f>
        <x:v>50.7680029724138</x:v>
      </x:c>
      <x:c r="F1243" s="5" t="n">
        <x:f>(1-'00_Arquitectura'!$B$95)*D1243+'00_Arquitectura'!$B$95*E1243</x:f>
        <x:v>52.386222885172415</x:v>
      </x:c>
      <x:c r="G1243" s="5" t="n">
        <x:f>'02_Actores'!$I$8</x:f>
        <x:v>45</x:v>
      </x:c>
      <x:c r="H1243" s="5" t="n">
        <x:f>IF(OR(AND(F1243&lt;'00_Arquitectura'!$B$118,G1243&lt;'00_Arquitectura'!$B$119),F1243&lt;'00_Arquitectura'!$B$120),1,0)</x:f>
        <x:v>0</x:v>
      </x:c>
      <x:c r="I1243" s="5" t="n">
        <x:f>IF($I$1225=1,IF(OR(AND(F1243&lt;'00_Arquitectura'!$B$121,G1243&lt;'00_Arquitectura'!$B$122),F1243&lt;'00_Arquitectura'!$B$123),1,0),IF(AND(H1243=1,$H$1225=1),1,0))</x:f>
        <x:v>0</x:v>
      </x:c>
      <x:c r="J1243" s="5" t="n">
        <x:f>-I1243*2*'02_Actores'!$E$8/10</x:f>
        <x:v>0</x:v>
      </x:c>
      <x:c r="K1243" s="5" t="n">
        <x:f>$K$1241</x:f>
        <x:v>49.72367605240798</x:v>
      </x:c>
      <x:c r="L1243" s="5" t="str">
        <x:v>J programa offset para t+1; efecto sustituible y acotado, sin voto adicional.</x:v>
      </x:c>
    </x:row>
    <x:row r="1244" ht="34" customHeight="1">
      <x:c r="A1244" s="10" t="str">
        <x:v>S3_SALARIO</x:v>
      </x:c>
      <x:c r="B1244" s="10" t="n">
        <x:v>7</x:v>
      </x:c>
      <x:c r="C1244" s="10" t="str">
        <x:v>sindicatos</x:v>
      </x:c>
      <x:c r="D1244" s="10" t="n">
        <x:f>$F$1226</x:f>
        <x:v>50.05495568534484</x:v>
      </x:c>
      <x:c r="E1244" s="10" t="n">
        <x:f>(ABS('03_Sensibilidades'!$C$18)*IF('03_Sensibilidades'!$C$18&lt;0,100-$K$435,$K$435)+ABS('03_Sensibilidades'!$C$19)*IF('03_Sensibilidades'!$C$19&lt;0,100-$K$434,$K$434)+ABS('03_Sensibilidades'!$C$20)*IF('03_Sensibilidades'!$C$20&lt;0,100-$K$442,$K$442)+ABS('03_Sensibilidades'!$C$21)*IF('03_Sensibilidades'!$C$21&lt;0,100-$K$445,$K$445))/(ABS('03_Sensibilidades'!$C$18)+ABS('03_Sensibilidades'!$C$19)+ABS('03_Sensibilidades'!$C$20)+ABS('03_Sensibilidades'!$C$21))</x:f>
        <x:v>51.36401406896552</x:v>
      </x:c>
      <x:c r="F1244" s="10" t="n">
        <x:f>(1-'00_Arquitectura'!$B$95)*D1244+'00_Arquitectura'!$B$95*E1244</x:f>
        <x:v>50.513126119612075</x:v>
      </x:c>
      <x:c r="G1244" s="10" t="n">
        <x:f>'02_Actores'!$I$9</x:f>
        <x:v>45</x:v>
      </x:c>
      <x:c r="H1244" s="10" t="n">
        <x:f>IF(OR(AND(F1244&lt;'00_Arquitectura'!$B$118,G1244&lt;'00_Arquitectura'!$B$119),F1244&lt;'00_Arquitectura'!$B$120),1,0)</x:f>
        <x:v>0</x:v>
      </x:c>
      <x:c r="I1244" s="10" t="n">
        <x:f>IF($I$1226=1,IF(OR(AND(F1244&lt;'00_Arquitectura'!$B$121,G1244&lt;'00_Arquitectura'!$B$122),F1244&lt;'00_Arquitectura'!$B$123),1,0),IF(AND(H1244=1,$H$1226=1),1,0))</x:f>
        <x:v>0</x:v>
      </x:c>
      <x:c r="J1244" s="10" t="n">
        <x:f>-I1244*2*'02_Actores'!$E$9/10</x:f>
        <x:v>0</x:v>
      </x:c>
      <x:c r="K1244" s="10" t="n">
        <x:f>$K$1241</x:f>
        <x:v>49.72367605240798</x:v>
      </x:c>
      <x:c r="L1244" s="10" t="str">
        <x:v>J programa offset para t+1; efecto sustituible y acotado, sin voto adicional.</x:v>
      </x:c>
    </x:row>
    <x:row r="1245" ht="34" customHeight="1">
      <x:c r="A1245" s="5" t="str">
        <x:v>S3_SALARIO</x:v>
      </x:c>
      <x:c r="B1245" s="5" t="n">
        <x:v>7</x:v>
      </x:c>
      <x:c r="C1245" s="5" t="str">
        <x:v>pymes</x:v>
      </x:c>
      <x:c r="D1245" s="5" t="n">
        <x:f>$F$1227</x:f>
        <x:v>49.073698551724135</x:v>
      </x:c>
      <x:c r="E1245" s="5" t="n">
        <x:f>(ABS('03_Sensibilidades'!$C$22)*IF('03_Sensibilidades'!$C$22&lt;0,100-$K$436,$K$436)+ABS('03_Sensibilidades'!$C$23)*IF('03_Sensibilidades'!$C$23&lt;0,100-$K$434,$K$434)+ABS('03_Sensibilidades'!$C$24)*IF('03_Sensibilidades'!$C$24&lt;0,100-$K$439,$K$439)+ABS('03_Sensibilidades'!$C$25)*IF('03_Sensibilidades'!$C$25&lt;0,100-$K$433,$K$433))/(ABS('03_Sensibilidades'!$C$22)+ABS('03_Sensibilidades'!$C$23)+ABS('03_Sensibilidades'!$C$24)+ABS('03_Sensibilidades'!$C$25))</x:f>
        <x:v>48.99207703448276</x:v>
      </x:c>
      <x:c r="F1245" s="5" t="n">
        <x:f>(1-'00_Arquitectura'!$B$95)*D1245+'00_Arquitectura'!$B$95*E1245</x:f>
        <x:v>49.04513102068965</x:v>
      </x:c>
      <x:c r="G1245" s="5" t="n">
        <x:f>'02_Actores'!$I$10</x:f>
        <x:v>45</x:v>
      </x:c>
      <x:c r="H1245" s="5" t="n">
        <x:f>IF(OR(AND(F1245&lt;'00_Arquitectura'!$B$118,G1245&lt;'00_Arquitectura'!$B$119),F1245&lt;'00_Arquitectura'!$B$120),1,0)</x:f>
        <x:v>0</x:v>
      </x:c>
      <x:c r="I1245" s="5" t="n">
        <x:f>IF($I$1227=1,IF(OR(AND(F1245&lt;'00_Arquitectura'!$B$121,G1245&lt;'00_Arquitectura'!$B$122),F1245&lt;'00_Arquitectura'!$B$123),1,0),IF(AND(H1245=1,$H$1227=1),1,0))</x:f>
        <x:v>0</x:v>
      </x:c>
      <x:c r="J1245" s="5" t="n">
        <x:f>-I1245*2*'02_Actores'!$E$10/10</x:f>
        <x:v>0</x:v>
      </x:c>
      <x:c r="K1245" s="5" t="n">
        <x:f>$K$1241</x:f>
        <x:v>49.72367605240798</x:v>
      </x:c>
      <x:c r="L1245" s="5" t="str">
        <x:v>J programa offset para t+1; efecto sustituible y acotado, sin voto adicional.</x:v>
      </x:c>
    </x:row>
    <x:row r="1246" ht="34" customHeight="1">
      <x:c r="A1246" s="10" t="str">
        <x:v>S3_SALARIO</x:v>
      </x:c>
      <x:c r="B1246" s="10" t="n">
        <x:v>7</x:v>
      </x:c>
      <x:c r="C1246" s="10" t="str">
        <x:v>clase_media</x:v>
      </x:c>
      <x:c r="D1246" s="10" t="n">
        <x:f>$F$1228</x:f>
        <x:v>50.61827803240742</x:v>
      </x:c>
      <x:c r="E1246" s="10" t="n">
        <x:f>(ABS('03_Sensibilidades'!$C$26)*IF('03_Sensibilidades'!$C$26&lt;0,100-$K$435,$K$435)+ABS('03_Sensibilidades'!$C$27)*IF('03_Sensibilidades'!$C$27&lt;0,100-$K$443,$K$443)+ABS('03_Sensibilidades'!$C$28)*IF('03_Sensibilidades'!$C$28&lt;0,100-$K$440,$K$440)+ABS('03_Sensibilidades'!$C$29)*IF('03_Sensibilidades'!$C$29&lt;0,100-$K$433,$K$433))/(ABS('03_Sensibilidades'!$C$26)+ABS('03_Sensibilidades'!$C$27)+ABS('03_Sensibilidades'!$C$28)+ABS('03_Sensibilidades'!$C$29))</x:f>
        <x:v>52.0356237037037</x:v>
      </x:c>
      <x:c r="F1246" s="10" t="n">
        <x:f>(1-'00_Arquitectura'!$B$95)*D1246+'00_Arquitectura'!$B$95*E1246</x:f>
        <x:v>51.114349017361114</x:v>
      </x:c>
      <x:c r="G1246" s="10" t="n">
        <x:f>'02_Actores'!$I$11</x:f>
        <x:v>45</x:v>
      </x:c>
      <x:c r="H1246" s="10" t="n">
        <x:f>IF(OR(AND(F1246&lt;'00_Arquitectura'!$B$118,G1246&lt;'00_Arquitectura'!$B$119),F1246&lt;'00_Arquitectura'!$B$120),1,0)</x:f>
        <x:v>0</x:v>
      </x:c>
      <x:c r="I1246" s="10" t="n">
        <x:f>IF($I$1228=1,IF(OR(AND(F1246&lt;'00_Arquitectura'!$B$121,G1246&lt;'00_Arquitectura'!$B$122),F1246&lt;'00_Arquitectura'!$B$123),1,0),IF(AND(H1246=1,$H$1228=1),1,0))</x:f>
        <x:v>0</x:v>
      </x:c>
      <x:c r="J1246" s="10" t="n">
        <x:f>0</x:f>
        <x:v>0</x:v>
      </x:c>
      <x:c r="K1246" s="10" t="n">
        <x:f>$K$1241</x:f>
        <x:v>49.72367605240798</x:v>
      </x:c>
      <x:c r="L1246" s="10" t="str">
        <x:v>Canal directo sólo al índice social; sin bono de popularidad.</x:v>
      </x:c>
    </x:row>
    <x:row r="1247" ht="34" customHeight="1">
      <x:c r="A1247" s="5" t="str">
        <x:v>S3_SALARIO</x:v>
      </x:c>
      <x:c r="B1247" s="5" t="n">
        <x:v>7</x:v>
      </x:c>
      <x:c r="C1247" s="5" t="str">
        <x:v>cooperativas</x:v>
      </x:c>
      <x:c r="D1247" s="5" t="n">
        <x:f>$F$1229</x:f>
        <x:v>47.729197</x:v>
      </x:c>
      <x:c r="E1247" s="5" t="n">
        <x:f>(ABS('03_Sensibilidades'!$C$30)*IF('03_Sensibilidades'!$C$30&lt;0,100-$K$436,$K$436)+ABS('03_Sensibilidades'!$C$31)*IF('03_Sensibilidades'!$C$31&lt;0,100-$K$434,$K$434)+ABS('03_Sensibilidades'!$C$32)*IF('03_Sensibilidades'!$C$32&lt;0,100-$K$442,$K$442)+ABS('03_Sensibilidades'!$C$33)*IF('03_Sensibilidades'!$C$33&lt;0,100-$K$445,$K$445))/(ABS('03_Sensibilidades'!$C$30)+ABS('03_Sensibilidades'!$C$31)+ABS('03_Sensibilidades'!$C$32)+ABS('03_Sensibilidades'!$C$33))</x:f>
        <x:v>47.66694926666667</x:v>
      </x:c>
      <x:c r="F1247" s="5" t="n">
        <x:f>(1-'00_Arquitectura'!$B$95)*D1247+'00_Arquitectura'!$B$95*E1247</x:f>
        <x:v>47.70741029333333</x:v>
      </x:c>
      <x:c r="G1247" s="5" t="n">
        <x:f>'02_Actores'!$I$12</x:f>
        <x:v>45</x:v>
      </x:c>
      <x:c r="H1247" s="5" t="n">
        <x:f>IF(OR(AND(F1247&lt;'00_Arquitectura'!$B$118,G1247&lt;'00_Arquitectura'!$B$119),F1247&lt;'00_Arquitectura'!$B$120),1,0)</x:f>
        <x:v>0</x:v>
      </x:c>
      <x:c r="I1247" s="5" t="n">
        <x:f>IF($I$1229=1,IF(OR(AND(F1247&lt;'00_Arquitectura'!$B$121,G1247&lt;'00_Arquitectura'!$B$122),F1247&lt;'00_Arquitectura'!$B$123),1,0),IF(AND(H1247=1,$H$1229=1),1,0))</x:f>
        <x:v>0</x:v>
      </x:c>
      <x:c r="J1247" s="5" t="n">
        <x:f>-I1247*1.5*'02_Actores'!$E$12/10</x:f>
        <x:v>0</x:v>
      </x:c>
      <x:c r="K1247" s="5" t="n">
        <x:f>$K$1241</x:f>
        <x:v>49.72367605240798</x:v>
      </x:c>
      <x:c r="L1247" s="5" t="str">
        <x:v>J programa offset para t+1; efecto sustituible y acotado, sin voto adicional.</x:v>
      </x:c>
    </x:row>
    <x:row r="1248" ht="42" customHeight="1">
      <x:c r="A1248" s="10" t="str">
        <x:v>S3_SALARIO</x:v>
      </x:c>
      <x:c r="B1248" s="10" t="n">
        <x:v>7</x:v>
      </x:c>
      <x:c r="C1248" s="10" t="str">
        <x:v>estudiantes</x:v>
      </x:c>
      <x:c r="D1248" s="10" t="n">
        <x:f>$F$1230</x:f>
        <x:v>50.43387013750001</x:v>
      </x:c>
      <x:c r="E1248" s="10" t="n">
        <x:f>(ABS('03_Sensibilidades'!$C$34)*IF('03_Sensibilidades'!$C$34&lt;0,100-$K$440,$K$440)+ABS('03_Sensibilidades'!$C$35)*IF('03_Sensibilidades'!$C$35&lt;0,100-$K$435,$K$435)+ABS('03_Sensibilidades'!$C$36)*IF('03_Sensibilidades'!$C$36&lt;0,100-$K$445,$K$445)+ABS('03_Sensibilidades'!$C$37)*IF('03_Sensibilidades'!$C$37&lt;0,100-$K$444,$K$444))/(ABS('03_Sensibilidades'!$C$34)+ABS('03_Sensibilidades'!$C$35)+ABS('03_Sensibilidades'!$C$36)+ABS('03_Sensibilidades'!$C$37))</x:f>
        <x:v>51.1992368</x:v>
      </x:c>
      <x:c r="F1248" s="10" t="n">
        <x:f>(1-'00_Arquitectura'!$B$95)*D1248+'00_Arquitectura'!$B$95*E1248</x:f>
        <x:v>50.701748469375005</x:v>
      </x:c>
      <x:c r="G1248" s="10" t="n">
        <x:f>'02_Actores'!$I$13</x:f>
        <x:v>45</x:v>
      </x:c>
      <x:c r="H1248" s="10" t="n">
        <x:f>IF(OR(AND(F1248&lt;'00_Arquitectura'!$B$118,G1248&lt;'00_Arquitectura'!$B$119),F1248&lt;'00_Arquitectura'!$B$120),1,0)</x:f>
        <x:v>0</x:v>
      </x:c>
      <x:c r="I1248" s="10" t="n">
        <x:f>IF($I$1230=1,IF(OR(AND(F1248&lt;'00_Arquitectura'!$B$121,G1248&lt;'00_Arquitectura'!$B$122),F1248&lt;'00_Arquitectura'!$B$123),1,0),IF(AND(H1248=1,$H$1230=1),1,0))</x:f>
        <x:v>0</x:v>
      </x:c>
      <x:c r="J1248" s="10" t="n">
        <x:f>0</x:f>
        <x:v>0</x:v>
      </x:c>
      <x:c r="K1248" s="10" t="n">
        <x:f>$K$1241</x:f>
        <x:v>49.72367605240798</x:v>
      </x:c>
      <x:c r="L1248" s="10" t="str">
        <x:v>Conflicto activo captura menor eficacia en políticas ejecutadas en t+1. Magnitud0 en J: no es un offset directo de indicador.</x:v>
      </x:c>
    </x:row>
    <x:row r="1249" ht="34" customHeight="1">
      <x:c r="A1249" s="5" t="str">
        <x:v>S3_SALARIO</x:v>
      </x:c>
      <x:c r="B1249" s="5" t="n">
        <x:v>7</x:v>
      </x:c>
      <x:c r="C1249" s="5" t="str">
        <x:v>docentes</x:v>
      </x:c>
      <x:c r="D1249" s="5" t="n">
        <x:f>$F$1231</x:f>
        <x:v>51.32713722554348</x:v>
      </x:c>
      <x:c r="E1249" s="5" t="n">
        <x:f>(ABS('03_Sensibilidades'!$C$38)*IF('03_Sensibilidades'!$C$38&lt;0,100-$K$440,$K$440)+ABS('03_Sensibilidades'!$C$39)*IF('03_Sensibilidades'!$C$39&lt;0,100-$K$435,$K$435)+ABS('03_Sensibilidades'!$C$40)*IF('03_Sensibilidades'!$C$40&lt;0,100-$K$445,$K$445))/(ABS('03_Sensibilidades'!$C$38)+ABS('03_Sensibilidades'!$C$39)+ABS('03_Sensibilidades'!$C$40))</x:f>
        <x:v>52.82459373913043</x:v>
      </x:c>
      <x:c r="F1249" s="5" t="n">
        <x:f>(1-'00_Arquitectura'!$B$95)*D1249+'00_Arquitectura'!$B$95*E1249</x:f>
        <x:v>51.85124700529891</x:v>
      </x:c>
      <x:c r="G1249" s="5" t="n">
        <x:f>'02_Actores'!$I$14</x:f>
        <x:v>45</x:v>
      </x:c>
      <x:c r="H1249" s="5" t="n">
        <x:f>IF(OR(AND(F1249&lt;'00_Arquitectura'!$B$118,G1249&lt;'00_Arquitectura'!$B$119),F1249&lt;'00_Arquitectura'!$B$120),1,0)</x:f>
        <x:v>0</x:v>
      </x:c>
      <x:c r="I1249" s="5" t="n">
        <x:f>IF($I$1231=1,IF(OR(AND(F1249&lt;'00_Arquitectura'!$B$121,G1249&lt;'00_Arquitectura'!$B$122),F1249&lt;'00_Arquitectura'!$B$123),1,0),IF(AND(H1249=1,$H$1231=1),1,0))</x:f>
        <x:v>0</x:v>
      </x:c>
      <x:c r="J1249" s="5" t="n">
        <x:f>-I1249*1.5*'02_Actores'!$E$14/10</x:f>
        <x:v>0</x:v>
      </x:c>
      <x:c r="K1249" s="5" t="n">
        <x:f>$K$1241</x:f>
        <x:v>49.72367605240798</x:v>
      </x:c>
      <x:c r="L1249" s="5" t="str">
        <x:v>J programa offset para t+1; efecto sustituible y acotado, sin voto adicional.</x:v>
      </x:c>
    </x:row>
    <x:row r="1250" ht="34" customHeight="1">
      <x:c r="A1250" s="10" t="str">
        <x:v>S3_SALARIO</x:v>
      </x:c>
      <x:c r="B1250" s="10" t="n">
        <x:v>7</x:v>
      </x:c>
      <x:c r="C1250" s="10" t="str">
        <x:v>cientificos</x:v>
      </x:c>
      <x:c r="D1250" s="10" t="n">
        <x:f>$F$1232</x:f>
        <x:v>46.59090909090909</x:v>
      </x:c>
      <x:c r="E1250" s="10" t="n">
        <x:f>(ABS('03_Sensibilidades'!$C$41)*IF('03_Sensibilidades'!$C$41&lt;0,100-$K$444,$K$444)+ABS('03_Sensibilidades'!$C$42)*IF('03_Sensibilidades'!$C$42&lt;0,100-$K$440,$K$440)+ABS('03_Sensibilidades'!$C$43)*IF('03_Sensibilidades'!$C$43&lt;0,100-$K$445,$K$445))/(ABS('03_Sensibilidades'!$C$41)+ABS('03_Sensibilidades'!$C$42)+ABS('03_Sensibilidades'!$C$43))</x:f>
        <x:v>46.59090909090909</x:v>
      </x:c>
      <x:c r="F1250" s="10" t="n">
        <x:f>(1-'00_Arquitectura'!$B$95)*D1250+'00_Arquitectura'!$B$95*E1250</x:f>
        <x:v>46.59090909090909</x:v>
      </x:c>
      <x:c r="G1250" s="10" t="n">
        <x:f>'02_Actores'!$I$15</x:f>
        <x:v>45</x:v>
      </x:c>
      <x:c r="H1250" s="10" t="n">
        <x:f>IF(OR(AND(F1250&lt;'00_Arquitectura'!$B$118,G1250&lt;'00_Arquitectura'!$B$119),F1250&lt;'00_Arquitectura'!$B$120),1,0)</x:f>
        <x:v>0</x:v>
      </x:c>
      <x:c r="I1250" s="10" t="n">
        <x:f>IF($I$1232=1,IF(OR(AND(F1250&lt;'00_Arquitectura'!$B$121,G1250&lt;'00_Arquitectura'!$B$122),F1250&lt;'00_Arquitectura'!$B$123),1,0),IF(AND(H1250=1,$H$1232=1),1,0))</x:f>
        <x:v>0</x:v>
      </x:c>
      <x:c r="J1250" s="10" t="n">
        <x:f>-I1250*1.5*'02_Actores'!$E$15/10</x:f>
        <x:v>0</x:v>
      </x:c>
      <x:c r="K1250" s="10" t="n">
        <x:f>$K$1241</x:f>
        <x:v>49.72367605240798</x:v>
      </x:c>
      <x:c r="L1250" s="10" t="str">
        <x:v>J programa offset para t+1; efecto sustituible y acotado, sin voto adicional.</x:v>
      </x:c>
    </x:row>
    <x:row r="1251" ht="34" customHeight="1">
      <x:c r="A1251" s="5" t="str">
        <x:v>S3_SALARIO</x:v>
      </x:c>
      <x:c r="B1251" s="5" t="n">
        <x:v>7</x:v>
      </x:c>
      <x:c r="C1251" s="5" t="str">
        <x:v>organizaciones</x:v>
      </x:c>
      <x:c r="D1251" s="5" t="n">
        <x:f>$F$1233</x:f>
        <x:v>49.10476685714286</x:v>
      </x:c>
      <x:c r="E1251" s="5" t="n">
        <x:f>(ABS('03_Sensibilidades'!$C$44)*IF('03_Sensibilidades'!$C$44&lt;0,100-$K$442,$K$442)+ABS('03_Sensibilidades'!$C$45)*IF('03_Sensibilidades'!$C$45&lt;0,100-$K$441,$K$441)+ABS('03_Sensibilidades'!$C$46)*IF('03_Sensibilidades'!$C$46&lt;0,100-$K$434,$K$434)+ABS('03_Sensibilidades'!$C$47)*IF('03_Sensibilidades'!$C$47&lt;0,100-$K$445,$K$445))/(ABS('03_Sensibilidades'!$C$44)+ABS('03_Sensibilidades'!$C$45)+ABS('03_Sensibilidades'!$C$46)+ABS('03_Sensibilidades'!$C$47))</x:f>
        <x:v>49.097489714285715</x:v>
      </x:c>
      <x:c r="F1251" s="5" t="n">
        <x:f>(1-'00_Arquitectura'!$B$95)*D1251+'00_Arquitectura'!$B$95*E1251</x:f>
        <x:v>49.102219857142856</x:v>
      </x:c>
      <x:c r="G1251" s="5" t="n">
        <x:f>'02_Actores'!$I$16</x:f>
        <x:v>45</x:v>
      </x:c>
      <x:c r="H1251" s="5" t="n">
        <x:f>IF(OR(AND(F1251&lt;'00_Arquitectura'!$B$118,G1251&lt;'00_Arquitectura'!$B$119),F1251&lt;'00_Arquitectura'!$B$120),1,0)</x:f>
        <x:v>0</x:v>
      </x:c>
      <x:c r="I1251" s="5" t="n">
        <x:f>IF($I$1233=1,IF(OR(AND(F1251&lt;'00_Arquitectura'!$B$121,G1251&lt;'00_Arquitectura'!$B$122),F1251&lt;'00_Arquitectura'!$B$123),1,0),IF(AND(H1251=1,$H$1233=1),1,0))</x:f>
        <x:v>0</x:v>
      </x:c>
      <x:c r="J1251" s="5" t="n">
        <x:f>-I1251*1.5*'02_Actores'!$E$16/10</x:f>
        <x:v>0</x:v>
      </x:c>
      <x:c r="K1251" s="5" t="n">
        <x:f>$K$1241</x:f>
        <x:v>49.72367605240798</x:v>
      </x:c>
      <x:c r="L1251" s="5" t="str">
        <x:v>J programa offset para t+1; efecto sustituible y acotado, sin voto adicional.</x:v>
      </x:c>
    </x:row>
    <x:row r="1252" ht="42" customHeight="1">
      <x:c r="A1252" s="10" t="str">
        <x:v>S3_SALARIO</x:v>
      </x:c>
      <x:c r="B1252" s="10" t="n">
        <x:v>7</x:v>
      </x:c>
      <x:c r="C1252" s="10" t="str">
        <x:v>ddhh</x:v>
      </x:c>
      <x:c r="D1252" s="10" t="n">
        <x:f>$F$1234</x:f>
        <x:v>50.88235294117648</x:v>
      </x:c>
      <x:c r="E1252" s="10" t="n">
        <x:f>(ABS('03_Sensibilidades'!$C$48)*IF('03_Sensibilidades'!$C$48&lt;0,100-$K$445,$K$445)+ABS('03_Sensibilidades'!$C$49)*IF('03_Sensibilidades'!$C$49&lt;0,100-$K$443,$K$443)+ABS('03_Sensibilidades'!$C$50)*IF('03_Sensibilidades'!$C$50&lt;0,100-$K$442,$K$442))/(ABS('03_Sensibilidades'!$C$48)+ABS('03_Sensibilidades'!$C$49)+ABS('03_Sensibilidades'!$C$50))</x:f>
        <x:v>50.88235294117647</x:v>
      </x:c>
      <x:c r="F1252" s="10" t="n">
        <x:f>(1-'00_Arquitectura'!$B$95)*D1252+'00_Arquitectura'!$B$95*E1252</x:f>
        <x:v>50.88235294117648</x:v>
      </x:c>
      <x:c r="G1252" s="10" t="n">
        <x:f>'02_Actores'!$I$17</x:f>
        <x:v>45</x:v>
      </x:c>
      <x:c r="H1252" s="10" t="n">
        <x:f>IF(OR(AND(F1252&lt;'00_Arquitectura'!$B$118,G1252&lt;'00_Arquitectura'!$B$119),F1252&lt;'00_Arquitectura'!$B$120),1,0)</x:f>
        <x:v>0</x:v>
      </x:c>
      <x:c r="I1252" s="10" t="n">
        <x:f>IF($I$1234=1,IF(OR(AND(F1252&lt;'00_Arquitectura'!$B$121,G1252&lt;'00_Arquitectura'!$B$122),F1252&lt;'00_Arquitectura'!$B$123),1,0),IF(AND(H1252=1,$H$1234=1),1,0))</x:f>
        <x:v>0</x:v>
      </x:c>
      <x:c r="J1252" s="10" t="n">
        <x:f>0</x:f>
        <x:v>0</x:v>
      </x:c>
      <x:c r="K1252" s="10" t="n">
        <x:f>$K$1241</x:f>
        <x:v>49.72367605240798</x:v>
      </x:c>
      <x:c r="L1252" s="10" t="str">
        <x:v>Conflicto activo captura menor eficacia en políticas ejecutadas en t+1. Magnitud0 en J: no es un offset directo de indicador.</x:v>
      </x:c>
    </x:row>
    <x:row r="1253" ht="42" customHeight="1">
      <x:c r="A1253" s="5" t="str">
        <x:v>S3_SALARIO</x:v>
      </x:c>
      <x:c r="B1253" s="5" t="n">
        <x:v>7</x:v>
      </x:c>
      <x:c r="C1253" s="5" t="str">
        <x:v>ambientalistas</x:v>
      </x:c>
      <x:c r="D1253" s="5" t="n">
        <x:f>$F$1235</x:f>
        <x:v>51.388888888888886</x:v>
      </x:c>
      <x:c r="E1253" s="5" t="n">
        <x:f>(ABS('03_Sensibilidades'!$C$51)*IF('03_Sensibilidades'!$C$51&lt;0,100-$K$446,$K$446)+ABS('03_Sensibilidades'!$C$52)*IF('03_Sensibilidades'!$C$52&lt;0,100-$K$445,$K$445)+ABS('03_Sensibilidades'!$C$53)*IF('03_Sensibilidades'!$C$53&lt;0,100-$K$441,$K$441))/(ABS('03_Sensibilidades'!$C$51)+ABS('03_Sensibilidades'!$C$52)+ABS('03_Sensibilidades'!$C$53))</x:f>
        <x:v>51.388888888888886</x:v>
      </x:c>
      <x:c r="F1253" s="5" t="n">
        <x:f>(1-'00_Arquitectura'!$B$95)*D1253+'00_Arquitectura'!$B$95*E1253</x:f>
        <x:v>51.388888888888886</x:v>
      </x:c>
      <x:c r="G1253" s="5" t="n">
        <x:f>'02_Actores'!$I$18</x:f>
        <x:v>45</x:v>
      </x:c>
      <x:c r="H1253" s="5" t="n">
        <x:f>IF(OR(AND(F1253&lt;'00_Arquitectura'!$B$118,G1253&lt;'00_Arquitectura'!$B$119),F1253&lt;'00_Arquitectura'!$B$120),1,0)</x:f>
        <x:v>0</x:v>
      </x:c>
      <x:c r="I1253" s="5" t="n">
        <x:f>IF($I$1235=1,IF(OR(AND(F1253&lt;'00_Arquitectura'!$B$121,G1253&lt;'00_Arquitectura'!$B$122),F1253&lt;'00_Arquitectura'!$B$123),1,0),IF(AND(H1253=1,$H$1235=1),1,0))</x:f>
        <x:v>0</x:v>
      </x:c>
      <x:c r="J1253" s="5" t="n">
        <x:f>0</x:f>
        <x:v>0</x:v>
      </x:c>
      <x:c r="K1253" s="5" t="n">
        <x:f>$K$1241</x:f>
        <x:v>49.72367605240798</x:v>
      </x:c>
      <x:c r="L1253" s="5" t="str">
        <x:v>Conflicto activo captura menor eficacia en políticas ejecutadas en t+1. Magnitud0 en J: no es un offset directo de indicador.</x:v>
      </x:c>
    </x:row>
    <x:row r="1254" ht="34" customHeight="1">
      <x:c r="A1254" s="10" t="str">
        <x:v>S3_SALARIO</x:v>
      </x:c>
      <x:c r="B1254" s="10" t="n">
        <x:v>7</x:v>
      </x:c>
      <x:c r="C1254" s="10" t="str">
        <x:v>cultura</x:v>
      </x:c>
      <x:c r="D1254" s="10" t="n">
        <x:f>$F$1236</x:f>
        <x:v>52.41298702302632</x:v>
      </x:c>
      <x:c r="E1254" s="10" t="n">
        <x:f>(ABS('03_Sensibilidades'!$C$54)*IF('03_Sensibilidades'!$C$54&lt;0,100-$K$445,$K$445)+ABS('03_Sensibilidades'!$C$55)*IF('03_Sensibilidades'!$C$55&lt;0,100-$K$440,$K$440)+ABS('03_Sensibilidades'!$C$56)*IF('03_Sensibilidades'!$C$56&lt;0,100-$K$435,$K$435))/(ABS('03_Sensibilidades'!$C$54)+ABS('03_Sensibilidades'!$C$55)+ABS('03_Sensibilidades'!$C$56))</x:f>
        <x:v>53.42004842105263</x:v>
      </x:c>
      <x:c r="F1254" s="10" t="n">
        <x:f>(1-'00_Arquitectura'!$B$95)*D1254+'00_Arquitectura'!$B$95*E1254</x:f>
        <x:v>52.76545851233553</x:v>
      </x:c>
      <x:c r="G1254" s="10" t="n">
        <x:f>'02_Actores'!$I$19</x:f>
        <x:v>45</x:v>
      </x:c>
      <x:c r="H1254" s="10" t="n">
        <x:f>IF(OR(AND(F1254&lt;'00_Arquitectura'!$B$118,G1254&lt;'00_Arquitectura'!$B$119),F1254&lt;'00_Arquitectura'!$B$120),1,0)</x:f>
        <x:v>0</x:v>
      </x:c>
      <x:c r="I1254" s="10" t="n">
        <x:f>IF($I$1236=1,IF(OR(AND(F1254&lt;'00_Arquitectura'!$B$121,G1254&lt;'00_Arquitectura'!$B$122),F1254&lt;'00_Arquitectura'!$B$123),1,0),IF(AND(H1254=1,$H$1236=1),1,0))</x:f>
        <x:v>0</x:v>
      </x:c>
      <x:c r="J1254" s="10" t="n">
        <x:f>0</x:f>
        <x:v>0</x:v>
      </x:c>
      <x:c r="K1254" s="10" t="n">
        <x:f>$K$1241</x:f>
        <x:v>49.72367605240798</x:v>
      </x:c>
      <x:c r="L1254" s="10" t="str">
        <x:v>Conflicto activo encarece agenda del turno siguiente; sin castigo electoral adicional.</x:v>
      </x:c>
    </x:row>
    <x:row r="1255" ht="34" customHeight="1">
      <x:c r="A1255" s="5" t="str">
        <x:v>S3_SALARIO</x:v>
      </x:c>
      <x:c r="B1255" s="5" t="n">
        <x:v>7</x:v>
      </x:c>
      <x:c r="C1255" s="5" t="str">
        <x:v>oficialismo</x:v>
      </x:c>
      <x:c r="D1255" s="5" t="n">
        <x:f>$F$1237</x:f>
        <x:v>50.93333956</x:v>
      </x:c>
      <x:c r="E1255" s="5" t="n">
        <x:f>(ABS('03_Sensibilidades'!$C$57)*IF('03_Sensibilidades'!$C$57&lt;0,100-$K$445,$K$445)+ABS('03_Sensibilidades'!$C$58)*IF('03_Sensibilidades'!$C$58&lt;0,100-$K$434,$K$434)+ABS('03_Sensibilidades'!$C$59)*IF('03_Sensibilidades'!$C$59&lt;0,100-$K$437,$K$437)+ABS('03_Sensibilidades'!$C$60)*IF('03_Sensibilidades'!$C$60&lt;0,100-$K$442,$K$442))/(ABS('03_Sensibilidades'!$C$57)+ABS('03_Sensibilidades'!$C$58)+ABS('03_Sensibilidades'!$C$59)+ABS('03_Sensibilidades'!$C$60))</x:f>
        <x:v>49.224363520000004</x:v>
      </x:c>
      <x:c r="F1255" s="5" t="n">
        <x:f>(1-'00_Arquitectura'!$B$95)*D1255+'00_Arquitectura'!$B$95*E1255</x:f>
        <x:v>50.33519794600001</x:v>
      </x:c>
      <x:c r="G1255" s="5" t="n">
        <x:f>'02_Actores'!$I$20</x:f>
        <x:v>60</x:v>
      </x:c>
      <x:c r="H1255" s="5" t="n">
        <x:f>IF(OR(AND(F1255&lt;'00_Arquitectura'!$B$118,G1255&lt;'00_Arquitectura'!$B$119),F1255&lt;'00_Arquitectura'!$B$120),1,0)</x:f>
        <x:v>0</x:v>
      </x:c>
      <x:c r="I1255" s="5" t="n">
        <x:f>IF($I$1237=1,IF(OR(AND(F1255&lt;'00_Arquitectura'!$B$121,G1255&lt;'00_Arquitectura'!$B$122),F1255&lt;'00_Arquitectura'!$B$123),1,0),IF(AND(H1255=1,$H$1237=1),1,0))</x:f>
        <x:v>0</x:v>
      </x:c>
      <x:c r="J1255" s="5" t="n">
        <x:f>0</x:f>
        <x:v>0</x:v>
      </x:c>
      <x:c r="K1255" s="5" t="n">
        <x:f>$K$1241</x:f>
        <x:v>49.72367605240798</x:v>
      </x:c>
      <x:c r="L1255" s="5" t="str">
        <x:v>No aporta E_social; S y R alimentan disposición a leyes según07.</x:v>
      </x:c>
    </x:row>
    <x:row r="1256" ht="34" customHeight="1">
      <x:c r="A1256" s="10" t="str">
        <x:v>S3_SALARIO</x:v>
      </x:c>
      <x:c r="B1256" s="10" t="n">
        <x:v>7</x:v>
      </x:c>
      <x:c r="C1256" s="10" t="str">
        <x:v>aliados</x:v>
      </x:c>
      <x:c r="D1256" s="10" t="n">
        <x:f>$F$1238</x:f>
        <x:v>51.499645642857146</x:v>
      </x:c>
      <x:c r="E1256" s="10" t="n">
        <x:f>(ABS('03_Sensibilidades'!$C$61)*IF('03_Sensibilidades'!$C$61&lt;0,100-$K$445,$K$445)+ABS('03_Sensibilidades'!$C$62)*IF('03_Sensibilidades'!$C$62&lt;0,100-$K$437,$K$437)+ABS('03_Sensibilidades'!$C$63)*IF('03_Sensibilidades'!$C$63&lt;0,100-$K$439,$K$439))/(ABS('03_Sensibilidades'!$C$61)+ABS('03_Sensibilidades'!$C$62)+ABS('03_Sensibilidades'!$C$63))</x:f>
        <x:v>49.141161142857136</x:v>
      </x:c>
      <x:c r="F1256" s="10" t="n">
        <x:f>(1-'00_Arquitectura'!$B$95)*D1256+'00_Arquitectura'!$B$95*E1256</x:f>
        <x:v>50.67417606785715</x:v>
      </x:c>
      <x:c r="G1256" s="10" t="n">
        <x:f>'02_Actores'!$I$21</x:f>
        <x:v>45</x:v>
      </x:c>
      <x:c r="H1256" s="10" t="n">
        <x:f>IF(OR(AND(F1256&lt;'00_Arquitectura'!$B$118,G1256&lt;'00_Arquitectura'!$B$119),F1256&lt;'00_Arquitectura'!$B$120),1,0)</x:f>
        <x:v>0</x:v>
      </x:c>
      <x:c r="I1256" s="10" t="n">
        <x:f>IF($I$1238=1,IF(OR(AND(F1256&lt;'00_Arquitectura'!$B$121,G1256&lt;'00_Arquitectura'!$B$122),F1256&lt;'00_Arquitectura'!$B$123),1,0),IF(AND(H1256=1,$H$1238=1),1,0))</x:f>
        <x:v>0</x:v>
      </x:c>
      <x:c r="J1256" s="10" t="n">
        <x:f>0</x:f>
        <x:v>0</x:v>
      </x:c>
      <x:c r="K1256" s="10" t="n">
        <x:f>$K$1241</x:f>
        <x:v>49.72367605240798</x:v>
      </x:c>
      <x:c r="L1256" s="10" t="str">
        <x:v>No aporta E_social; S y R alimentan disposición a leyes según07.</x:v>
      </x:c>
    </x:row>
    <x:row r="1257" ht="34" customHeight="1">
      <x:c r="A1257" s="5" t="str">
        <x:v>S3_SALARIO</x:v>
      </x:c>
      <x:c r="B1257" s="5" t="n">
        <x:v>7</x:v>
      </x:c>
      <x:c r="C1257" s="5" t="str">
        <x:v>oposicion</x:v>
      </x:c>
      <x:c r="D1257" s="5" t="n">
        <x:f>$F$1239</x:f>
        <x:v>52.421109650000005</x:v>
      </x:c>
      <x:c r="E1257" s="5" t="n">
        <x:f>(ABS('03_Sensibilidades'!$C$64)*IF('03_Sensibilidades'!$C$64&lt;0,100-$K$445,$K$445)+ABS('03_Sensibilidades'!$C$65)*IF('03_Sensibilidades'!$C$65&lt;0,100-$K$437,$K$437)+ABS('03_Sensibilidades'!$C$66)*IF('03_Sensibilidades'!$C$66&lt;0,100-$K$443,$K$443))/(ABS('03_Sensibilidades'!$C$64)+ABS('03_Sensibilidades'!$C$65)+ABS('03_Sensibilidades'!$C$66))</x:f>
        <x:v>50.2984736</x:v>
      </x:c>
      <x:c r="F1257" s="5" t="n">
        <x:f>(1-'00_Arquitectura'!$B$95)*D1257+'00_Arquitectura'!$B$95*E1257</x:f>
        <x:v>51.678187032500006</x:v>
      </x:c>
      <x:c r="G1257" s="5" t="n">
        <x:f>'02_Actores'!$I$22</x:f>
        <x:v>30</x:v>
      </x:c>
      <x:c r="H1257" s="5" t="n">
        <x:f>IF(OR(AND(F1257&lt;'00_Arquitectura'!$B$118,G1257&lt;'00_Arquitectura'!$B$119),F1257&lt;'00_Arquitectura'!$B$120),1,0)</x:f>
        <x:v>0</x:v>
      </x:c>
      <x:c r="I1257" s="5" t="n">
        <x:f>IF($I$1239=1,IF(OR(AND(F1257&lt;'00_Arquitectura'!$B$121,G1257&lt;'00_Arquitectura'!$B$122),F1257&lt;'00_Arquitectura'!$B$123),1,0),IF(AND(H1257=1,$H$1239=1),1,0))</x:f>
        <x:v>0</x:v>
      </x:c>
      <x:c r="J1257" s="5" t="n">
        <x:f>0</x:f>
        <x:v>0</x:v>
      </x:c>
      <x:c r="K1257" s="5" t="n">
        <x:f>$K$1241</x:f>
        <x:v>49.72367605240798</x:v>
      </x:c>
      <x:c r="L1257" s="5" t="str">
        <x:v>No aporta E_social; S y R alimentan disposición a leyes según07.</x:v>
      </x:c>
    </x:row>
    <x:row r="1258" ht="42" customHeight="1">
      <x:c r="A1258" s="10" t="str">
        <x:v>S3_SALARIO</x:v>
      </x:c>
      <x:c r="B1258" s="10" t="n">
        <x:v>7</x:v>
      </x:c>
      <x:c r="C1258" s="10" t="str">
        <x:v>gobernadores</x:v>
      </x:c>
      <x:c r="D1258" s="10" t="n">
        <x:f>$F$1240</x:f>
        <x:v>49.083523896551725</x:v>
      </x:c>
      <x:c r="E1258" s="10" t="n">
        <x:f>(ABS('03_Sensibilidades'!$C$67)*IF('03_Sensibilidades'!$C$67&lt;0,100-$K$439,$K$439)+ABS('03_Sensibilidades'!$C$68)*IF('03_Sensibilidades'!$C$68&lt;0,100-$K$441,$K$441)+ABS('03_Sensibilidades'!$C$69)*IF('03_Sensibilidades'!$C$69&lt;0,100-$K$440,$K$440)+ABS('03_Sensibilidades'!$C$70)*IF('03_Sensibilidades'!$C$70&lt;0,100-$K$437,$K$437))/(ABS('03_Sensibilidades'!$C$67)+ABS('03_Sensibilidades'!$C$68)+ABS('03_Sensibilidades'!$C$69)+ABS('03_Sensibilidades'!$C$70))</x:f>
        <x:v>47.619636965517245</x:v>
      </x:c>
      <x:c r="F1258" s="10" t="n">
        <x:f>(1-'00_Arquitectura'!$B$95)*D1258+'00_Arquitectura'!$B$95*E1258</x:f>
        <x:v>48.571163470689655</x:v>
      </x:c>
      <x:c r="G1258" s="10" t="n">
        <x:f>'02_Actores'!$I$23</x:f>
        <x:v>45</x:v>
      </x:c>
      <x:c r="H1258" s="10" t="n">
        <x:f>IF(OR(AND(F1258&lt;'00_Arquitectura'!$B$118,G1258&lt;'00_Arquitectura'!$B$119),F1258&lt;'00_Arquitectura'!$B$120),1,0)</x:f>
        <x:v>0</x:v>
      </x:c>
      <x:c r="I1258" s="10" t="n">
        <x:f>IF($I$1240=1,IF(OR(AND(F1258&lt;'00_Arquitectura'!$B$121,G1258&lt;'00_Arquitectura'!$B$122),F1258&lt;'00_Arquitectura'!$B$123),1,0),IF(AND(H1258=1,$H$1240=1),1,0))</x:f>
        <x:v>0</x:v>
      </x:c>
      <x:c r="J1258" s="10" t="n">
        <x:f>0</x:f>
        <x:v>0</x:v>
      </x:c>
      <x:c r="K1258" s="10" t="n">
        <x:f>$K$1241</x:f>
        <x:v>49.72367605240798</x:v>
      </x:c>
      <x:c r="L1258" s="10" t="str">
        <x:v>Conflicto activo captura menor eficacia en políticas ejecutadas en t+1. Magnitud0 en J: no es un offset directo de indicador.</x:v>
      </x:c>
    </x:row>
    <x:row r="1259" ht="34" customHeight="1">
      <x:c r="A1259" s="5" t="str">
        <x:v>S3_SALARIO</x:v>
      </x:c>
      <x:c r="B1259" s="5" t="n">
        <x:v>8</x:v>
      </x:c>
      <x:c r="C1259" s="5" t="str">
        <x:v>industria</x:v>
      </x:c>
      <x:c r="D1259" s="5" t="n">
        <x:f>$F$1241</x:f>
        <x:v>46.40106149925926</x:v>
      </x:c>
      <x:c r="E1259" s="5" t="n">
        <x:f>(ABS('03_Sensibilidades'!$C$6)*IF('03_Sensibilidades'!$C$6&lt;0,100-$K$450,$K$450)+ABS('03_Sensibilidades'!$C$7)*IF('03_Sensibilidades'!$C$7&lt;0,100-$K$448,$K$448)+ABS('03_Sensibilidades'!$C$8)*IF('03_Sensibilidades'!$C$8&lt;0,100-$K$453,$K$453)+ABS('03_Sensibilidades'!$C$9)*IF('03_Sensibilidades'!$C$9&lt;0,100-$K$452,$K$452))/(ABS('03_Sensibilidades'!$C$6)+ABS('03_Sensibilidades'!$C$7)+ABS('03_Sensibilidades'!$C$8)+ABS('03_Sensibilidades'!$C$9))</x:f>
        <x:v>46.294280526814816</x:v>
      </x:c>
      <x:c r="F1259" s="5" t="n">
        <x:f>(1-'00_Arquitectura'!$B$95)*D1259+'00_Arquitectura'!$B$95*E1259</x:f>
        <x:v>46.3636881589037</x:v>
      </x:c>
      <x:c r="G1259" s="5" t="n">
        <x:f>'02_Actores'!$I$6</x:f>
        <x:v>45</x:v>
      </x:c>
      <x:c r="H1259" s="5" t="n">
        <x:f>IF(OR(AND(F1259&lt;'00_Arquitectura'!$B$118,G1259&lt;'00_Arquitectura'!$B$119),F1259&lt;'00_Arquitectura'!$B$120),1,0)</x:f>
        <x:v>0</x:v>
      </x:c>
      <x:c r="I1259" s="5" t="n">
        <x:f>IF($I$1241=1,IF(OR(AND(F1259&lt;'00_Arquitectura'!$B$121,G1259&lt;'00_Arquitectura'!$B$122),F1259&lt;'00_Arquitectura'!$B$123),1,0),IF(AND(H1259=1,$H$1241=1),1,0))</x:f>
        <x:v>0</x:v>
      </x:c>
      <x:c r="J1259" s="5" t="n">
        <x:f>-I1259*2*'02_Actores'!$E$6/10</x:f>
        <x:v>0</x:v>
      </x:c>
      <x:c r="K1259" s="5" t="n">
        <x:f>($F$1259*'02_Actores'!$F$6+$F$1260*'02_Actores'!$F$7+$F$1261*'02_Actores'!$F$8+$F$1262*'02_Actores'!$F$9+$F$1263*'02_Actores'!$F$10+$F$1264*'02_Actores'!$F$11+$F$1265*'02_Actores'!$F$12+$F$1266*'02_Actores'!$F$13+$F$1267*'02_Actores'!$F$14+$F$1268*'02_Actores'!$F$15+$F$1269*'02_Actores'!$F$16+$F$1270*'02_Actores'!$F$17+$F$1271*'02_Actores'!$F$18+$F$1272*'02_Actores'!$F$19)/('02_Actores'!$F$6+'02_Actores'!$F$7+'02_Actores'!$F$8+'02_Actores'!$F$9+'02_Actores'!$F$10+'02_Actores'!$F$11+'02_Actores'!$F$12+'02_Actores'!$F$13+'02_Actores'!$F$14+'02_Actores'!$F$15+'02_Actores'!$F$16+'02_Actores'!$F$17+'02_Actores'!$F$18+'02_Actores'!$F$19)</x:f>
        <x:v>49.81482444377868</x:v>
      </x:c>
      <x:c r="L1259" s="5" t="str">
        <x:v>J programa offset para t+1; efecto sustituible y acotado, sin voto adicional.</x:v>
      </x:c>
    </x:row>
    <x:row r="1260" ht="34" customHeight="1">
      <x:c r="A1260" s="10" t="str">
        <x:v>S3_SALARIO</x:v>
      </x:c>
      <x:c r="B1260" s="10" t="n">
        <x:v>8</x:v>
      </x:c>
      <x:c r="C1260" s="10" t="str">
        <x:v>agro</x:v>
      </x:c>
      <x:c r="D1260" s="10" t="n">
        <x:f>$F$1242</x:f>
        <x:v>45.84849224285715</x:v>
      </x:c>
      <x:c r="E1260" s="10" t="n">
        <x:f>(ABS('03_Sensibilidades'!$C$10)*IF('03_Sensibilidades'!$C$10&lt;0,100-$K$452,$K$452)+ABS('03_Sensibilidades'!$C$11)*IF('03_Sensibilidades'!$C$11&lt;0,100-$K$453,$K$453)+ABS('03_Sensibilidades'!$C$12)*IF('03_Sensibilidades'!$C$12&lt;0,100-$K$460,$K$460)+ABS('03_Sensibilidades'!$C$13)*IF('03_Sensibilidades'!$C$13&lt;0,100-$K$450,$K$450))/(ABS('03_Sensibilidades'!$C$10)+ABS('03_Sensibilidades'!$C$11)+ABS('03_Sensibilidades'!$C$12)+ABS('03_Sensibilidades'!$C$13))</x:f>
        <x:v>45.79193390178572</x:v>
      </x:c>
      <x:c r="F1260" s="10" t="n">
        <x:f>(1-'00_Arquitectura'!$B$95)*D1260+'00_Arquitectura'!$B$95*E1260</x:f>
        <x:v>45.82869682348215</x:v>
      </x:c>
      <x:c r="G1260" s="10" t="n">
        <x:f>'02_Actores'!$I$7</x:f>
        <x:v>45</x:v>
      </x:c>
      <x:c r="H1260" s="10" t="n">
        <x:f>IF(OR(AND(F1260&lt;'00_Arquitectura'!$B$118,G1260&lt;'00_Arquitectura'!$B$119),F1260&lt;'00_Arquitectura'!$B$120),1,0)</x:f>
        <x:v>0</x:v>
      </x:c>
      <x:c r="I1260" s="10" t="n">
        <x:f>IF($I$1242=1,IF(OR(AND(F1260&lt;'00_Arquitectura'!$B$121,G1260&lt;'00_Arquitectura'!$B$122),F1260&lt;'00_Arquitectura'!$B$123),1,0),IF(AND(H1260=1,$H$1242=1),1,0))</x:f>
        <x:v>0</x:v>
      </x:c>
      <x:c r="J1260" s="10" t="n">
        <x:f>-I1260*2*'02_Actores'!$E$7/10</x:f>
        <x:v>0</x:v>
      </x:c>
      <x:c r="K1260" s="10" t="n">
        <x:f>$K$1259</x:f>
        <x:v>49.81482444377868</x:v>
      </x:c>
      <x:c r="L1260" s="10" t="str">
        <x:v>J programa offset para t+1; efecto sustituible y acotado, sin voto adicional.</x:v>
      </x:c>
    </x:row>
    <x:row r="1261" ht="34" customHeight="1">
      <x:c r="A1261" s="5" t="str">
        <x:v>S3_SALARIO</x:v>
      </x:c>
      <x:c r="B1261" s="5" t="n">
        <x:v>8</x:v>
      </x:c>
      <x:c r="C1261" s="5" t="str">
        <x:v>financiero</x:v>
      </x:c>
      <x:c r="D1261" s="5" t="n">
        <x:f>$F$1243</x:f>
        <x:v>52.386222885172415</x:v>
      </x:c>
      <x:c r="E1261" s="5" t="n">
        <x:f>(ABS('03_Sensibilidades'!$C$14)*IF('03_Sensibilidades'!$C$14&lt;0,100-$K$451,$K$451)+ABS('03_Sensibilidades'!$C$15)*IF('03_Sensibilidades'!$C$15&lt;0,100-$K$447,$K$447)+ABS('03_Sensibilidades'!$C$16)*IF('03_Sensibilidades'!$C$16&lt;0,100-$K$450,$K$450)+ABS('03_Sensibilidades'!$C$17)*IF('03_Sensibilidades'!$C$17&lt;0,100-$K$459,$K$459))/(ABS('03_Sensibilidades'!$C$14)+ABS('03_Sensibilidades'!$C$15)+ABS('03_Sensibilidades'!$C$16)+ABS('03_Sensibilidades'!$C$17))</x:f>
        <x:v>50.722541825862066</x:v>
      </x:c>
      <x:c r="F1261" s="5" t="n">
        <x:f>(1-'00_Arquitectura'!$B$95)*D1261+'00_Arquitectura'!$B$95*E1261</x:f>
        <x:v>51.8039345144138</x:v>
      </x:c>
      <x:c r="G1261" s="5" t="n">
        <x:f>'02_Actores'!$I$8</x:f>
        <x:v>45</x:v>
      </x:c>
      <x:c r="H1261" s="5" t="n">
        <x:f>IF(OR(AND(F1261&lt;'00_Arquitectura'!$B$118,G1261&lt;'00_Arquitectura'!$B$119),F1261&lt;'00_Arquitectura'!$B$120),1,0)</x:f>
        <x:v>0</x:v>
      </x:c>
      <x:c r="I1261" s="5" t="n">
        <x:f>IF($I$1243=1,IF(OR(AND(F1261&lt;'00_Arquitectura'!$B$121,G1261&lt;'00_Arquitectura'!$B$122),F1261&lt;'00_Arquitectura'!$B$123),1,0),IF(AND(H1261=1,$H$1243=1),1,0))</x:f>
        <x:v>0</x:v>
      </x:c>
      <x:c r="J1261" s="5" t="n">
        <x:f>-I1261*2*'02_Actores'!$E$8/10</x:f>
        <x:v>0</x:v>
      </x:c>
      <x:c r="K1261" s="5" t="n">
        <x:f>$K$1259</x:f>
        <x:v>49.81482444377868</x:v>
      </x:c>
      <x:c r="L1261" s="5" t="str">
        <x:v>J programa offset para t+1; efecto sustituible y acotado, sin voto adicional.</x:v>
      </x:c>
    </x:row>
    <x:row r="1262" ht="34" customHeight="1">
      <x:c r="A1262" s="10" t="str">
        <x:v>S3_SALARIO</x:v>
      </x:c>
      <x:c r="B1262" s="10" t="n">
        <x:v>8</x:v>
      </x:c>
      <x:c r="C1262" s="10" t="str">
        <x:v>sindicatos</x:v>
      </x:c>
      <x:c r="D1262" s="10" t="n">
        <x:f>$F$1244</x:f>
        <x:v>50.513126119612075</x:v>
      </x:c>
      <x:c r="E1262" s="10" t="n">
        <x:f>(ABS('03_Sensibilidades'!$C$18)*IF('03_Sensibilidades'!$C$18&lt;0,100-$K$449,$K$449)+ABS('03_Sensibilidades'!$C$19)*IF('03_Sensibilidades'!$C$19&lt;0,100-$K$448,$K$448)+ABS('03_Sensibilidades'!$C$20)*IF('03_Sensibilidades'!$C$20&lt;0,100-$K$456,$K$456)+ABS('03_Sensibilidades'!$C$21)*IF('03_Sensibilidades'!$C$21&lt;0,100-$K$459,$K$459))/(ABS('03_Sensibilidades'!$C$18)+ABS('03_Sensibilidades'!$C$19)+ABS('03_Sensibilidades'!$C$20)+ABS('03_Sensibilidades'!$C$21))</x:f>
        <x:v>51.356301046620686</x:v>
      </x:c>
      <x:c r="F1262" s="10" t="n">
        <x:f>(1-'00_Arquitectura'!$B$95)*D1262+'00_Arquitectura'!$B$95*E1262</x:f>
        <x:v>50.80823734406509</x:v>
      </x:c>
      <x:c r="G1262" s="10" t="n">
        <x:f>'02_Actores'!$I$9</x:f>
        <x:v>45</x:v>
      </x:c>
      <x:c r="H1262" s="10" t="n">
        <x:f>IF(OR(AND(F1262&lt;'00_Arquitectura'!$B$118,G1262&lt;'00_Arquitectura'!$B$119),F1262&lt;'00_Arquitectura'!$B$120),1,0)</x:f>
        <x:v>0</x:v>
      </x:c>
      <x:c r="I1262" s="10" t="n">
        <x:f>IF($I$1244=1,IF(OR(AND(F1262&lt;'00_Arquitectura'!$B$121,G1262&lt;'00_Arquitectura'!$B$122),F1262&lt;'00_Arquitectura'!$B$123),1,0),IF(AND(H1262=1,$H$1244=1),1,0))</x:f>
        <x:v>0</x:v>
      </x:c>
      <x:c r="J1262" s="10" t="n">
        <x:f>-I1262*2*'02_Actores'!$E$9/10</x:f>
        <x:v>0</x:v>
      </x:c>
      <x:c r="K1262" s="10" t="n">
        <x:f>$K$1259</x:f>
        <x:v>49.81482444377868</x:v>
      </x:c>
      <x:c r="L1262" s="10" t="str">
        <x:v>J programa offset para t+1; efecto sustituible y acotado, sin voto adicional.</x:v>
      </x:c>
    </x:row>
    <x:row r="1263" ht="34" customHeight="1">
      <x:c r="A1263" s="5" t="str">
        <x:v>S3_SALARIO</x:v>
      </x:c>
      <x:c r="B1263" s="5" t="n">
        <x:v>8</x:v>
      </x:c>
      <x:c r="C1263" s="5" t="str">
        <x:v>pymes</x:v>
      </x:c>
      <x:c r="D1263" s="5" t="n">
        <x:f>$F$1245</x:f>
        <x:v>49.04513102068965</x:v>
      </x:c>
      <x:c r="E1263" s="5" t="n">
        <x:f>(ABS('03_Sensibilidades'!$C$22)*IF('03_Sensibilidades'!$C$22&lt;0,100-$K$450,$K$450)+ABS('03_Sensibilidades'!$C$23)*IF('03_Sensibilidades'!$C$23&lt;0,100-$K$448,$K$448)+ABS('03_Sensibilidades'!$C$24)*IF('03_Sensibilidades'!$C$24&lt;0,100-$K$453,$K$453)+ABS('03_Sensibilidades'!$C$25)*IF('03_Sensibilidades'!$C$25&lt;0,100-$K$447,$K$447))/(ABS('03_Sensibilidades'!$C$22)+ABS('03_Sensibilidades'!$C$23)+ABS('03_Sensibilidades'!$C$24)+ABS('03_Sensibilidades'!$C$25))</x:f>
        <x:v>48.92236554662069</x:v>
      </x:c>
      <x:c r="F1263" s="5" t="n">
        <x:f>(1-'00_Arquitectura'!$B$95)*D1263+'00_Arquitectura'!$B$95*E1263</x:f>
        <x:v>49.002163104765515</x:v>
      </x:c>
      <x:c r="G1263" s="5" t="n">
        <x:f>'02_Actores'!$I$10</x:f>
        <x:v>45</x:v>
      </x:c>
      <x:c r="H1263" s="5" t="n">
        <x:f>IF(OR(AND(F1263&lt;'00_Arquitectura'!$B$118,G1263&lt;'00_Arquitectura'!$B$119),F1263&lt;'00_Arquitectura'!$B$120),1,0)</x:f>
        <x:v>0</x:v>
      </x:c>
      <x:c r="I1263" s="5" t="n">
        <x:f>IF($I$1245=1,IF(OR(AND(F1263&lt;'00_Arquitectura'!$B$121,G1263&lt;'00_Arquitectura'!$B$122),F1263&lt;'00_Arquitectura'!$B$123),1,0),IF(AND(H1263=1,$H$1245=1),1,0))</x:f>
        <x:v>0</x:v>
      </x:c>
      <x:c r="J1263" s="5" t="n">
        <x:f>-I1263*2*'02_Actores'!$E$10/10</x:f>
        <x:v>0</x:v>
      </x:c>
      <x:c r="K1263" s="5" t="n">
        <x:f>$K$1259</x:f>
        <x:v>49.81482444377868</x:v>
      </x:c>
      <x:c r="L1263" s="5" t="str">
        <x:v>J programa offset para t+1; efecto sustituible y acotado, sin voto adicional.</x:v>
      </x:c>
    </x:row>
    <x:row r="1264" ht="34" customHeight="1">
      <x:c r="A1264" s="10" t="str">
        <x:v>S3_SALARIO</x:v>
      </x:c>
      <x:c r="B1264" s="10" t="n">
        <x:v>8</x:v>
      </x:c>
      <x:c r="C1264" s="10" t="str">
        <x:v>clase_media</x:v>
      </x:c>
      <x:c r="D1264" s="10" t="n">
        <x:f>$F$1246</x:f>
        <x:v>51.114349017361114</x:v>
      </x:c>
      <x:c r="E1264" s="10" t="n">
        <x:f>(ABS('03_Sensibilidades'!$C$26)*IF('03_Sensibilidades'!$C$26&lt;0,100-$K$449,$K$449)+ABS('03_Sensibilidades'!$C$27)*IF('03_Sensibilidades'!$C$27&lt;0,100-$K$457,$K$457)+ABS('03_Sensibilidades'!$C$28)*IF('03_Sensibilidades'!$C$28&lt;0,100-$K$454,$K$454)+ABS('03_Sensibilidades'!$C$29)*IF('03_Sensibilidades'!$C$29&lt;0,100-$K$447,$K$447))/(ABS('03_Sensibilidades'!$C$26)+ABS('03_Sensibilidades'!$C$27)+ABS('03_Sensibilidades'!$C$28)+ABS('03_Sensibilidades'!$C$29))</x:f>
        <x:v>52.03453437037037</x:v>
      </x:c>
      <x:c r="F1264" s="10" t="n">
        <x:f>(1-'00_Arquitectura'!$B$95)*D1264+'00_Arquitectura'!$B$95*E1264</x:f>
        <x:v>51.43641389091435</x:v>
      </x:c>
      <x:c r="G1264" s="10" t="n">
        <x:f>'02_Actores'!$I$11</x:f>
        <x:v>45</x:v>
      </x:c>
      <x:c r="H1264" s="10" t="n">
        <x:f>IF(OR(AND(F1264&lt;'00_Arquitectura'!$B$118,G1264&lt;'00_Arquitectura'!$B$119),F1264&lt;'00_Arquitectura'!$B$120),1,0)</x:f>
        <x:v>0</x:v>
      </x:c>
      <x:c r="I1264" s="10" t="n">
        <x:f>IF($I$1246=1,IF(OR(AND(F1264&lt;'00_Arquitectura'!$B$121,G1264&lt;'00_Arquitectura'!$B$122),F1264&lt;'00_Arquitectura'!$B$123),1,0),IF(AND(H1264=1,$H$1246=1),1,0))</x:f>
        <x:v>0</x:v>
      </x:c>
      <x:c r="J1264" s="10" t="n">
        <x:f>0</x:f>
        <x:v>0</x:v>
      </x:c>
      <x:c r="K1264" s="10" t="n">
        <x:f>$K$1259</x:f>
        <x:v>49.81482444377868</x:v>
      </x:c>
      <x:c r="L1264" s="10" t="str">
        <x:v>Canal directo sólo al índice social; sin bono de popularidad.</x:v>
      </x:c>
    </x:row>
    <x:row r="1265" ht="34" customHeight="1">
      <x:c r="A1265" s="5" t="str">
        <x:v>S3_SALARIO</x:v>
      </x:c>
      <x:c r="B1265" s="5" t="n">
        <x:v>8</x:v>
      </x:c>
      <x:c r="C1265" s="5" t="str">
        <x:v>cooperativas</x:v>
      </x:c>
      <x:c r="D1265" s="5" t="n">
        <x:f>$F$1247</x:f>
        <x:v>47.70741029333333</x:v>
      </x:c>
      <x:c r="E1265" s="5" t="n">
        <x:f>(ABS('03_Sensibilidades'!$C$30)*IF('03_Sensibilidades'!$C$30&lt;0,100-$K$450,$K$450)+ABS('03_Sensibilidades'!$C$31)*IF('03_Sensibilidades'!$C$31&lt;0,100-$K$448,$K$448)+ABS('03_Sensibilidades'!$C$32)*IF('03_Sensibilidades'!$C$32&lt;0,100-$K$456,$K$456)+ABS('03_Sensibilidades'!$C$33)*IF('03_Sensibilidades'!$C$33&lt;0,100-$K$459,$K$459))/(ABS('03_Sensibilidades'!$C$30)+ABS('03_Sensibilidades'!$C$31)+ABS('03_Sensibilidades'!$C$32)+ABS('03_Sensibilidades'!$C$33))</x:f>
        <x:v>47.61397694244444</x:v>
      </x:c>
      <x:c r="F1265" s="5" t="n">
        <x:f>(1-'00_Arquitectura'!$B$95)*D1265+'00_Arquitectura'!$B$95*E1265</x:f>
        <x:v>47.674708620522225</x:v>
      </x:c>
      <x:c r="G1265" s="5" t="n">
        <x:f>'02_Actores'!$I$12</x:f>
        <x:v>45</x:v>
      </x:c>
      <x:c r="H1265" s="5" t="n">
        <x:f>IF(OR(AND(F1265&lt;'00_Arquitectura'!$B$118,G1265&lt;'00_Arquitectura'!$B$119),F1265&lt;'00_Arquitectura'!$B$120),1,0)</x:f>
        <x:v>0</x:v>
      </x:c>
      <x:c r="I1265" s="5" t="n">
        <x:f>IF($I$1247=1,IF(OR(AND(F1265&lt;'00_Arquitectura'!$B$121,G1265&lt;'00_Arquitectura'!$B$122),F1265&lt;'00_Arquitectura'!$B$123),1,0),IF(AND(H1265=1,$H$1247=1),1,0))</x:f>
        <x:v>0</x:v>
      </x:c>
      <x:c r="J1265" s="5" t="n">
        <x:f>-I1265*1.5*'02_Actores'!$E$12/10</x:f>
        <x:v>0</x:v>
      </x:c>
      <x:c r="K1265" s="5" t="n">
        <x:f>$K$1259</x:f>
        <x:v>49.81482444377868</x:v>
      </x:c>
      <x:c r="L1265" s="5" t="str">
        <x:v>J programa offset para t+1; efecto sustituible y acotado, sin voto adicional.</x:v>
      </x:c>
    </x:row>
    <x:row r="1266" ht="42" customHeight="1">
      <x:c r="A1266" s="10" t="str">
        <x:v>S3_SALARIO</x:v>
      </x:c>
      <x:c r="B1266" s="10" t="n">
        <x:v>8</x:v>
      </x:c>
      <x:c r="C1266" s="10" t="str">
        <x:v>estudiantes</x:v>
      </x:c>
      <x:c r="D1266" s="10" t="n">
        <x:f>$F$1248</x:f>
        <x:v>50.701748469375005</x:v>
      </x:c>
      <x:c r="E1266" s="10" t="n">
        <x:f>(ABS('03_Sensibilidades'!$C$34)*IF('03_Sensibilidades'!$C$34&lt;0,100-$K$454,$K$454)+ABS('03_Sensibilidades'!$C$35)*IF('03_Sensibilidades'!$C$35&lt;0,100-$K$449,$K$449)+ABS('03_Sensibilidades'!$C$36)*IF('03_Sensibilidades'!$C$36&lt;0,100-$K$459,$K$459)+ABS('03_Sensibilidades'!$C$37)*IF('03_Sensibilidades'!$C$37&lt;0,100-$K$458,$K$458))/(ABS('03_Sensibilidades'!$C$34)+ABS('03_Sensibilidades'!$C$35)+ABS('03_Sensibilidades'!$C$36)+ABS('03_Sensibilidades'!$C$37))</x:f>
        <x:v>51.19864856</x:v>
      </x:c>
      <x:c r="F1266" s="10" t="n">
        <x:f>(1-'00_Arquitectura'!$B$95)*D1266+'00_Arquitectura'!$B$95*E1266</x:f>
        <x:v>50.875663501093754</x:v>
      </x:c>
      <x:c r="G1266" s="10" t="n">
        <x:f>'02_Actores'!$I$13</x:f>
        <x:v>45</x:v>
      </x:c>
      <x:c r="H1266" s="10" t="n">
        <x:f>IF(OR(AND(F1266&lt;'00_Arquitectura'!$B$118,G1266&lt;'00_Arquitectura'!$B$119),F1266&lt;'00_Arquitectura'!$B$120),1,0)</x:f>
        <x:v>0</x:v>
      </x:c>
      <x:c r="I1266" s="10" t="n">
        <x:f>IF($I$1248=1,IF(OR(AND(F1266&lt;'00_Arquitectura'!$B$121,G1266&lt;'00_Arquitectura'!$B$122),F1266&lt;'00_Arquitectura'!$B$123),1,0),IF(AND(H1266=1,$H$1248=1),1,0))</x:f>
        <x:v>0</x:v>
      </x:c>
      <x:c r="J1266" s="10" t="n">
        <x:f>0</x:f>
        <x:v>0</x:v>
      </x:c>
      <x:c r="K1266" s="10" t="n">
        <x:f>$K$1259</x:f>
        <x:v>49.81482444377868</x:v>
      </x:c>
      <x:c r="L1266" s="10" t="str">
        <x:v>Conflicto activo captura menor eficacia en políticas ejecutadas en t+1. Magnitud0 en J: no es un offset directo de indicador.</x:v>
      </x:c>
    </x:row>
    <x:row r="1267" ht="34" customHeight="1">
      <x:c r="A1267" s="5" t="str">
        <x:v>S3_SALARIO</x:v>
      </x:c>
      <x:c r="B1267" s="5" t="n">
        <x:v>8</x:v>
      </x:c>
      <x:c r="C1267" s="5" t="str">
        <x:v>docentes</x:v>
      </x:c>
      <x:c r="D1267" s="5" t="n">
        <x:f>$F$1249</x:f>
        <x:v>51.85124700529891</x:v>
      </x:c>
      <x:c r="E1267" s="5" t="n">
        <x:f>(ABS('03_Sensibilidades'!$C$38)*IF('03_Sensibilidades'!$C$38&lt;0,100-$K$454,$K$454)+ABS('03_Sensibilidades'!$C$39)*IF('03_Sensibilidades'!$C$39&lt;0,100-$K$449,$K$449)+ABS('03_Sensibilidades'!$C$40)*IF('03_Sensibilidades'!$C$40&lt;0,100-$K$459,$K$459))/(ABS('03_Sensibilidades'!$C$38)+ABS('03_Sensibilidades'!$C$39)+ABS('03_Sensibilidades'!$C$40))</x:f>
        <x:v>52.823442834782604</x:v>
      </x:c>
      <x:c r="F1267" s="5" t="n">
        <x:f>(1-'00_Arquitectura'!$B$95)*D1267+'00_Arquitectura'!$B$95*E1267</x:f>
        <x:v>52.1915155456182</x:v>
      </x:c>
      <x:c r="G1267" s="5" t="n">
        <x:f>'02_Actores'!$I$14</x:f>
        <x:v>45</x:v>
      </x:c>
      <x:c r="H1267" s="5" t="n">
        <x:f>IF(OR(AND(F1267&lt;'00_Arquitectura'!$B$118,G1267&lt;'00_Arquitectura'!$B$119),F1267&lt;'00_Arquitectura'!$B$120),1,0)</x:f>
        <x:v>0</x:v>
      </x:c>
      <x:c r="I1267" s="5" t="n">
        <x:f>IF($I$1249=1,IF(OR(AND(F1267&lt;'00_Arquitectura'!$B$121,G1267&lt;'00_Arquitectura'!$B$122),F1267&lt;'00_Arquitectura'!$B$123),1,0),IF(AND(H1267=1,$H$1249=1),1,0))</x:f>
        <x:v>0</x:v>
      </x:c>
      <x:c r="J1267" s="5" t="n">
        <x:f>-I1267*1.5*'02_Actores'!$E$14/10</x:f>
        <x:v>0</x:v>
      </x:c>
      <x:c r="K1267" s="5" t="n">
        <x:f>$K$1259</x:f>
        <x:v>49.81482444377868</x:v>
      </x:c>
      <x:c r="L1267" s="5" t="str">
        <x:v>J programa offset para t+1; efecto sustituible y acotado, sin voto adicional.</x:v>
      </x:c>
    </x:row>
    <x:row r="1268" ht="34" customHeight="1">
      <x:c r="A1268" s="10" t="str">
        <x:v>S3_SALARIO</x:v>
      </x:c>
      <x:c r="B1268" s="10" t="n">
        <x:v>8</x:v>
      </x:c>
      <x:c r="C1268" s="10" t="str">
        <x:v>cientificos</x:v>
      </x:c>
      <x:c r="D1268" s="10" t="n">
        <x:f>$F$1250</x:f>
        <x:v>46.59090909090909</x:v>
      </x:c>
      <x:c r="E1268" s="10" t="n">
        <x:f>(ABS('03_Sensibilidades'!$C$41)*IF('03_Sensibilidades'!$C$41&lt;0,100-$K$458,$K$458)+ABS('03_Sensibilidades'!$C$42)*IF('03_Sensibilidades'!$C$42&lt;0,100-$K$454,$K$454)+ABS('03_Sensibilidades'!$C$43)*IF('03_Sensibilidades'!$C$43&lt;0,100-$K$459,$K$459))/(ABS('03_Sensibilidades'!$C$41)+ABS('03_Sensibilidades'!$C$42)+ABS('03_Sensibilidades'!$C$43))</x:f>
        <x:v>46.59090909090909</x:v>
      </x:c>
      <x:c r="F1268" s="10" t="n">
        <x:f>(1-'00_Arquitectura'!$B$95)*D1268+'00_Arquitectura'!$B$95*E1268</x:f>
        <x:v>46.59090909090909</x:v>
      </x:c>
      <x:c r="G1268" s="10" t="n">
        <x:f>'02_Actores'!$I$15</x:f>
        <x:v>45</x:v>
      </x:c>
      <x:c r="H1268" s="10" t="n">
        <x:f>IF(OR(AND(F1268&lt;'00_Arquitectura'!$B$118,G1268&lt;'00_Arquitectura'!$B$119),F1268&lt;'00_Arquitectura'!$B$120),1,0)</x:f>
        <x:v>0</x:v>
      </x:c>
      <x:c r="I1268" s="10" t="n">
        <x:f>IF($I$1250=1,IF(OR(AND(F1268&lt;'00_Arquitectura'!$B$121,G1268&lt;'00_Arquitectura'!$B$122),F1268&lt;'00_Arquitectura'!$B$123),1,0),IF(AND(H1268=1,$H$1250=1),1,0))</x:f>
        <x:v>0</x:v>
      </x:c>
      <x:c r="J1268" s="10" t="n">
        <x:f>-I1268*1.5*'02_Actores'!$E$15/10</x:f>
        <x:v>0</x:v>
      </x:c>
      <x:c r="K1268" s="10" t="n">
        <x:f>$K$1259</x:f>
        <x:v>49.81482444377868</x:v>
      </x:c>
      <x:c r="L1268" s="10" t="str">
        <x:v>J programa offset para t+1; efecto sustituible y acotado, sin voto adicional.</x:v>
      </x:c>
    </x:row>
    <x:row r="1269" ht="34" customHeight="1">
      <x:c r="A1269" s="5" t="str">
        <x:v>S3_SALARIO</x:v>
      </x:c>
      <x:c r="B1269" s="5" t="n">
        <x:v>8</x:v>
      </x:c>
      <x:c r="C1269" s="5" t="str">
        <x:v>organizaciones</x:v>
      </x:c>
      <x:c r="D1269" s="5" t="n">
        <x:f>$F$1251</x:f>
        <x:v>49.102219857142856</x:v>
      </x:c>
      <x:c r="E1269" s="5" t="n">
        <x:f>(ABS('03_Sensibilidades'!$C$44)*IF('03_Sensibilidades'!$C$44&lt;0,100-$K$456,$K$456)+ABS('03_Sensibilidades'!$C$45)*IF('03_Sensibilidades'!$C$45&lt;0,100-$K$455,$K$455)+ABS('03_Sensibilidades'!$C$46)*IF('03_Sensibilidades'!$C$46&lt;0,100-$K$448,$K$448)+ABS('03_Sensibilidades'!$C$47)*IF('03_Sensibilidades'!$C$47&lt;0,100-$K$459,$K$459))/(ABS('03_Sensibilidades'!$C$44)+ABS('03_Sensibilidades'!$C$45)+ABS('03_Sensibilidades'!$C$46)+ABS('03_Sensibilidades'!$C$47))</x:f>
        <x:v>49.09286434171429</x:v>
      </x:c>
      <x:c r="F1269" s="5" t="n">
        <x:f>(1-'00_Arquitectura'!$B$95)*D1269+'00_Arquitectura'!$B$95*E1269</x:f>
        <x:v>49.09894542674286</x:v>
      </x:c>
      <x:c r="G1269" s="5" t="n">
        <x:f>'02_Actores'!$I$16</x:f>
        <x:v>45</x:v>
      </x:c>
      <x:c r="H1269" s="5" t="n">
        <x:f>IF(OR(AND(F1269&lt;'00_Arquitectura'!$B$118,G1269&lt;'00_Arquitectura'!$B$119),F1269&lt;'00_Arquitectura'!$B$120),1,0)</x:f>
        <x:v>0</x:v>
      </x:c>
      <x:c r="I1269" s="5" t="n">
        <x:f>IF($I$1251=1,IF(OR(AND(F1269&lt;'00_Arquitectura'!$B$121,G1269&lt;'00_Arquitectura'!$B$122),F1269&lt;'00_Arquitectura'!$B$123),1,0),IF(AND(H1269=1,$H$1251=1),1,0))</x:f>
        <x:v>0</x:v>
      </x:c>
      <x:c r="J1269" s="5" t="n">
        <x:f>-I1269*1.5*'02_Actores'!$E$16/10</x:f>
        <x:v>0</x:v>
      </x:c>
      <x:c r="K1269" s="5" t="n">
        <x:f>$K$1259</x:f>
        <x:v>49.81482444377868</x:v>
      </x:c>
      <x:c r="L1269" s="5" t="str">
        <x:v>J programa offset para t+1; efecto sustituible y acotado, sin voto adicional.</x:v>
      </x:c>
    </x:row>
    <x:row r="1270" ht="42" customHeight="1">
      <x:c r="A1270" s="10" t="str">
        <x:v>S3_SALARIO</x:v>
      </x:c>
      <x:c r="B1270" s="10" t="n">
        <x:v>8</x:v>
      </x:c>
      <x:c r="C1270" s="10" t="str">
        <x:v>ddhh</x:v>
      </x:c>
      <x:c r="D1270" s="10" t="n">
        <x:f>$F$1252</x:f>
        <x:v>50.88235294117648</x:v>
      </x:c>
      <x:c r="E1270" s="10" t="n">
        <x:f>(ABS('03_Sensibilidades'!$C$48)*IF('03_Sensibilidades'!$C$48&lt;0,100-$K$459,$K$459)+ABS('03_Sensibilidades'!$C$49)*IF('03_Sensibilidades'!$C$49&lt;0,100-$K$457,$K$457)+ABS('03_Sensibilidades'!$C$50)*IF('03_Sensibilidades'!$C$50&lt;0,100-$K$456,$K$456))/(ABS('03_Sensibilidades'!$C$48)+ABS('03_Sensibilidades'!$C$49)+ABS('03_Sensibilidades'!$C$50))</x:f>
        <x:v>50.88235294117647</x:v>
      </x:c>
      <x:c r="F1270" s="10" t="n">
        <x:f>(1-'00_Arquitectura'!$B$95)*D1270+'00_Arquitectura'!$B$95*E1270</x:f>
        <x:v>50.88235294117648</x:v>
      </x:c>
      <x:c r="G1270" s="10" t="n">
        <x:f>'02_Actores'!$I$17</x:f>
        <x:v>45</x:v>
      </x:c>
      <x:c r="H1270" s="10" t="n">
        <x:f>IF(OR(AND(F1270&lt;'00_Arquitectura'!$B$118,G1270&lt;'00_Arquitectura'!$B$119),F1270&lt;'00_Arquitectura'!$B$120),1,0)</x:f>
        <x:v>0</x:v>
      </x:c>
      <x:c r="I1270" s="10" t="n">
        <x:f>IF($I$1252=1,IF(OR(AND(F1270&lt;'00_Arquitectura'!$B$121,G1270&lt;'00_Arquitectura'!$B$122),F1270&lt;'00_Arquitectura'!$B$123),1,0),IF(AND(H1270=1,$H$1252=1),1,0))</x:f>
        <x:v>0</x:v>
      </x:c>
      <x:c r="J1270" s="10" t="n">
        <x:f>0</x:f>
        <x:v>0</x:v>
      </x:c>
      <x:c r="K1270" s="10" t="n">
        <x:f>$K$1259</x:f>
        <x:v>49.81482444377868</x:v>
      </x:c>
      <x:c r="L1270" s="10" t="str">
        <x:v>Conflicto activo captura menor eficacia en políticas ejecutadas en t+1. Magnitud0 en J: no es un offset directo de indicador.</x:v>
      </x:c>
    </x:row>
    <x:row r="1271" ht="42" customHeight="1">
      <x:c r="A1271" s="5" t="str">
        <x:v>S3_SALARIO</x:v>
      </x:c>
      <x:c r="B1271" s="5" t="n">
        <x:v>8</x:v>
      </x:c>
      <x:c r="C1271" s="5" t="str">
        <x:v>ambientalistas</x:v>
      </x:c>
      <x:c r="D1271" s="5" t="n">
        <x:f>$F$1253</x:f>
        <x:v>51.388888888888886</x:v>
      </x:c>
      <x:c r="E1271" s="5" t="n">
        <x:f>(ABS('03_Sensibilidades'!$C$51)*IF('03_Sensibilidades'!$C$51&lt;0,100-$K$460,$K$460)+ABS('03_Sensibilidades'!$C$52)*IF('03_Sensibilidades'!$C$52&lt;0,100-$K$459,$K$459)+ABS('03_Sensibilidades'!$C$53)*IF('03_Sensibilidades'!$C$53&lt;0,100-$K$455,$K$455))/(ABS('03_Sensibilidades'!$C$51)+ABS('03_Sensibilidades'!$C$52)+ABS('03_Sensibilidades'!$C$53))</x:f>
        <x:v>51.388888888888886</x:v>
      </x:c>
      <x:c r="F1271" s="5" t="n">
        <x:f>(1-'00_Arquitectura'!$B$95)*D1271+'00_Arquitectura'!$B$95*E1271</x:f>
        <x:v>51.388888888888886</x:v>
      </x:c>
      <x:c r="G1271" s="5" t="n">
        <x:f>'02_Actores'!$I$18</x:f>
        <x:v>45</x:v>
      </x:c>
      <x:c r="H1271" s="5" t="n">
        <x:f>IF(OR(AND(F1271&lt;'00_Arquitectura'!$B$118,G1271&lt;'00_Arquitectura'!$B$119),F1271&lt;'00_Arquitectura'!$B$120),1,0)</x:f>
        <x:v>0</x:v>
      </x:c>
      <x:c r="I1271" s="5" t="n">
        <x:f>IF($I$1253=1,IF(OR(AND(F1271&lt;'00_Arquitectura'!$B$121,G1271&lt;'00_Arquitectura'!$B$122),F1271&lt;'00_Arquitectura'!$B$123),1,0),IF(AND(H1271=1,$H$1253=1),1,0))</x:f>
        <x:v>0</x:v>
      </x:c>
      <x:c r="J1271" s="5" t="n">
        <x:f>0</x:f>
        <x:v>0</x:v>
      </x:c>
      <x:c r="K1271" s="5" t="n">
        <x:f>$K$1259</x:f>
        <x:v>49.81482444377868</x:v>
      </x:c>
      <x:c r="L1271" s="5" t="str">
        <x:v>Conflicto activo captura menor eficacia en políticas ejecutadas en t+1. Magnitud0 en J: no es un offset directo de indicador.</x:v>
      </x:c>
    </x:row>
    <x:row r="1272" ht="34" customHeight="1">
      <x:c r="A1272" s="10" t="str">
        <x:v>S3_SALARIO</x:v>
      </x:c>
      <x:c r="B1272" s="10" t="n">
        <x:v>8</x:v>
      </x:c>
      <x:c r="C1272" s="10" t="str">
        <x:v>cultura</x:v>
      </x:c>
      <x:c r="D1272" s="10" t="n">
        <x:f>$F$1254</x:f>
        <x:v>52.76545851233553</x:v>
      </x:c>
      <x:c r="E1272" s="10" t="n">
        <x:f>(ABS('03_Sensibilidades'!$C$54)*IF('03_Sensibilidades'!$C$54&lt;0,100-$K$459,$K$459)+ABS('03_Sensibilidades'!$C$55)*IF('03_Sensibilidades'!$C$55&lt;0,100-$K$454,$K$454)+ABS('03_Sensibilidades'!$C$56)*IF('03_Sensibilidades'!$C$56&lt;0,100-$K$449,$K$449))/(ABS('03_Sensibilidades'!$C$54)+ABS('03_Sensibilidades'!$C$55)+ABS('03_Sensibilidades'!$C$56))</x:f>
        <x:v>53.419274421052634</x:v>
      </x:c>
      <x:c r="F1272" s="10" t="n">
        <x:f>(1-'00_Arquitectura'!$B$95)*D1272+'00_Arquitectura'!$B$95*E1272</x:f>
        <x:v>52.99429408038652</x:v>
      </x:c>
      <x:c r="G1272" s="10" t="n">
        <x:f>'02_Actores'!$I$19</x:f>
        <x:v>45</x:v>
      </x:c>
      <x:c r="H1272" s="10" t="n">
        <x:f>IF(OR(AND(F1272&lt;'00_Arquitectura'!$B$118,G1272&lt;'00_Arquitectura'!$B$119),F1272&lt;'00_Arquitectura'!$B$120),1,0)</x:f>
        <x:v>0</x:v>
      </x:c>
      <x:c r="I1272" s="10" t="n">
        <x:f>IF($I$1254=1,IF(OR(AND(F1272&lt;'00_Arquitectura'!$B$121,G1272&lt;'00_Arquitectura'!$B$122),F1272&lt;'00_Arquitectura'!$B$123),1,0),IF(AND(H1272=1,$H$1254=1),1,0))</x:f>
        <x:v>0</x:v>
      </x:c>
      <x:c r="J1272" s="10" t="n">
        <x:f>0</x:f>
        <x:v>0</x:v>
      </x:c>
      <x:c r="K1272" s="10" t="n">
        <x:f>$K$1259</x:f>
        <x:v>49.81482444377868</x:v>
      </x:c>
      <x:c r="L1272" s="10" t="str">
        <x:v>Conflicto activo encarece agenda del turno siguiente; sin castigo electoral adicional.</x:v>
      </x:c>
    </x:row>
    <x:row r="1273" ht="34" customHeight="1">
      <x:c r="A1273" s="5" t="str">
        <x:v>S3_SALARIO</x:v>
      </x:c>
      <x:c r="B1273" s="5" t="n">
        <x:v>8</x:v>
      </x:c>
      <x:c r="C1273" s="5" t="str">
        <x:v>oficialismo</x:v>
      </x:c>
      <x:c r="D1273" s="5" t="n">
        <x:f>$F$1255</x:f>
        <x:v>50.33519794600001</x:v>
      </x:c>
      <x:c r="E1273" s="5" t="n">
        <x:f>(ABS('03_Sensibilidades'!$C$57)*IF('03_Sensibilidades'!$C$57&lt;0,100-$K$459,$K$459)+ABS('03_Sensibilidades'!$C$58)*IF('03_Sensibilidades'!$C$58&lt;0,100-$K$448,$K$448)+ABS('03_Sensibilidades'!$C$59)*IF('03_Sensibilidades'!$C$59&lt;0,100-$K$451,$K$451)+ABS('03_Sensibilidades'!$C$60)*IF('03_Sensibilidades'!$C$60&lt;0,100-$K$456,$K$456))/(ABS('03_Sensibilidades'!$C$57)+ABS('03_Sensibilidades'!$C$58)+ABS('03_Sensibilidades'!$C$59)+ABS('03_Sensibilidades'!$C$60))</x:f>
        <x:v>49.21651511296</x:v>
      </x:c>
      <x:c r="F1273" s="5" t="n">
        <x:f>(1-'00_Arquitectura'!$B$95)*D1273+'00_Arquitectura'!$B$95*E1273</x:f>
        <x:v>49.943658954436</x:v>
      </x:c>
      <x:c r="G1273" s="5" t="n">
        <x:f>'02_Actores'!$I$20</x:f>
        <x:v>60</x:v>
      </x:c>
      <x:c r="H1273" s="5" t="n">
        <x:f>IF(OR(AND(F1273&lt;'00_Arquitectura'!$B$118,G1273&lt;'00_Arquitectura'!$B$119),F1273&lt;'00_Arquitectura'!$B$120),1,0)</x:f>
        <x:v>0</x:v>
      </x:c>
      <x:c r="I1273" s="5" t="n">
        <x:f>IF($I$1255=1,IF(OR(AND(F1273&lt;'00_Arquitectura'!$B$121,G1273&lt;'00_Arquitectura'!$B$122),F1273&lt;'00_Arquitectura'!$B$123),1,0),IF(AND(H1273=1,$H$1255=1),1,0))</x:f>
        <x:v>0</x:v>
      </x:c>
      <x:c r="J1273" s="5" t="n">
        <x:f>0</x:f>
        <x:v>0</x:v>
      </x:c>
      <x:c r="K1273" s="5" t="n">
        <x:f>$K$1259</x:f>
        <x:v>49.81482444377868</x:v>
      </x:c>
      <x:c r="L1273" s="5" t="str">
        <x:v>No aporta E_social; S y R alimentan disposición a leyes según07.</x:v>
      </x:c>
    </x:row>
    <x:row r="1274" ht="34" customHeight="1">
      <x:c r="A1274" s="10" t="str">
        <x:v>S3_SALARIO</x:v>
      </x:c>
      <x:c r="B1274" s="10" t="n">
        <x:v>8</x:v>
      </x:c>
      <x:c r="C1274" s="10" t="str">
        <x:v>aliados</x:v>
      </x:c>
      <x:c r="D1274" s="10" t="n">
        <x:f>$F$1256</x:f>
        <x:v>50.67417606785715</x:v>
      </x:c>
      <x:c r="E1274" s="10" t="n">
        <x:f>(ABS('03_Sensibilidades'!$C$61)*IF('03_Sensibilidades'!$C$61&lt;0,100-$K$459,$K$459)+ABS('03_Sensibilidades'!$C$62)*IF('03_Sensibilidades'!$C$62&lt;0,100-$K$451,$K$451)+ABS('03_Sensibilidades'!$C$63)*IF('03_Sensibilidades'!$C$63&lt;0,100-$K$453,$K$453))/(ABS('03_Sensibilidades'!$C$61)+ABS('03_Sensibilidades'!$C$62)+ABS('03_Sensibilidades'!$C$63))</x:f>
        <x:v>49.139853942857144</x:v>
      </x:c>
      <x:c r="F1274" s="10" t="n">
        <x:f>(1-'00_Arquitectura'!$B$95)*D1274+'00_Arquitectura'!$B$95*E1274</x:f>
        <x:v>50.13716332410715</x:v>
      </x:c>
      <x:c r="G1274" s="10" t="n">
        <x:f>'02_Actores'!$I$21</x:f>
        <x:v>45</x:v>
      </x:c>
      <x:c r="H1274" s="10" t="n">
        <x:f>IF(OR(AND(F1274&lt;'00_Arquitectura'!$B$118,G1274&lt;'00_Arquitectura'!$B$119),F1274&lt;'00_Arquitectura'!$B$120),1,0)</x:f>
        <x:v>0</x:v>
      </x:c>
      <x:c r="I1274" s="10" t="n">
        <x:f>IF($I$1256=1,IF(OR(AND(F1274&lt;'00_Arquitectura'!$B$121,G1274&lt;'00_Arquitectura'!$B$122),F1274&lt;'00_Arquitectura'!$B$123),1,0),IF(AND(H1274=1,$H$1256=1),1,0))</x:f>
        <x:v>0</x:v>
      </x:c>
      <x:c r="J1274" s="10" t="n">
        <x:f>0</x:f>
        <x:v>0</x:v>
      </x:c>
      <x:c r="K1274" s="10" t="n">
        <x:f>$K$1259</x:f>
        <x:v>49.81482444377868</x:v>
      </x:c>
      <x:c r="L1274" s="10" t="str">
        <x:v>No aporta E_social; S y R alimentan disposición a leyes según07.</x:v>
      </x:c>
    </x:row>
    <x:row r="1275" ht="34" customHeight="1">
      <x:c r="A1275" s="5" t="str">
        <x:v>S3_SALARIO</x:v>
      </x:c>
      <x:c r="B1275" s="5" t="n">
        <x:v>8</x:v>
      </x:c>
      <x:c r="C1275" s="5" t="str">
        <x:v>oposicion</x:v>
      </x:c>
      <x:c r="D1275" s="5" t="n">
        <x:f>$F$1257</x:f>
        <x:v>51.678187032500006</x:v>
      </x:c>
      <x:c r="E1275" s="5" t="n">
        <x:f>(ABS('03_Sensibilidades'!$C$64)*IF('03_Sensibilidades'!$C$64&lt;0,100-$K$459,$K$459)+ABS('03_Sensibilidades'!$C$65)*IF('03_Sensibilidades'!$C$65&lt;0,100-$K$451,$K$451)+ABS('03_Sensibilidades'!$C$66)*IF('03_Sensibilidades'!$C$66&lt;0,100-$K$457,$K$457))/(ABS('03_Sensibilidades'!$C$64)+ABS('03_Sensibilidades'!$C$65)+ABS('03_Sensibilidades'!$C$66))</x:f>
        <x:v>50.29729712</x:v>
      </x:c>
      <x:c r="F1275" s="5" t="n">
        <x:f>(1-'00_Arquitectura'!$B$95)*D1275+'00_Arquitectura'!$B$95*E1275</x:f>
        <x:v>51.19487556312501</x:v>
      </x:c>
      <x:c r="G1275" s="5" t="n">
        <x:f>'02_Actores'!$I$22</x:f>
        <x:v>30</x:v>
      </x:c>
      <x:c r="H1275" s="5" t="n">
        <x:f>IF(OR(AND(F1275&lt;'00_Arquitectura'!$B$118,G1275&lt;'00_Arquitectura'!$B$119),F1275&lt;'00_Arquitectura'!$B$120),1,0)</x:f>
        <x:v>0</x:v>
      </x:c>
      <x:c r="I1275" s="5" t="n">
        <x:f>IF($I$1257=1,IF(OR(AND(F1275&lt;'00_Arquitectura'!$B$121,G1275&lt;'00_Arquitectura'!$B$122),F1275&lt;'00_Arquitectura'!$B$123),1,0),IF(AND(H1275=1,$H$1257=1),1,0))</x:f>
        <x:v>0</x:v>
      </x:c>
      <x:c r="J1275" s="5" t="n">
        <x:f>0</x:f>
        <x:v>0</x:v>
      </x:c>
      <x:c r="K1275" s="5" t="n">
        <x:f>$K$1259</x:f>
        <x:v>49.81482444377868</x:v>
      </x:c>
      <x:c r="L1275" s="5" t="str">
        <x:v>No aporta E_social; S y R alimentan disposición a leyes según07.</x:v>
      </x:c>
    </x:row>
    <x:row r="1276" ht="42" customHeight="1">
      <x:c r="A1276" s="10" t="str">
        <x:v>S3_SALARIO</x:v>
      </x:c>
      <x:c r="B1276" s="10" t="n">
        <x:v>8</x:v>
      </x:c>
      <x:c r="C1276" s="10" t="str">
        <x:v>gobernadores</x:v>
      </x:c>
      <x:c r="D1276" s="10" t="n">
        <x:f>$F$1258</x:f>
        <x:v>48.571163470689655</x:v>
      </x:c>
      <x:c r="E1276" s="10" t="n">
        <x:f>(ABS('03_Sensibilidades'!$C$67)*IF('03_Sensibilidades'!$C$67&lt;0,100-$K$453,$K$453)+ABS('03_Sensibilidades'!$C$68)*IF('03_Sensibilidades'!$C$68&lt;0,100-$K$455,$K$455)+ABS('03_Sensibilidades'!$C$69)*IF('03_Sensibilidades'!$C$69&lt;0,100-$K$454,$K$454)+ABS('03_Sensibilidades'!$C$70)*IF('03_Sensibilidades'!$C$70&lt;0,100-$K$451,$K$451))/(ABS('03_Sensibilidades'!$C$67)+ABS('03_Sensibilidades'!$C$68)+ABS('03_Sensibilidades'!$C$69)+ABS('03_Sensibilidades'!$C$70))</x:f>
        <x:v>47.61882560000001</x:v>
      </x:c>
      <x:c r="F1276" s="10" t="n">
        <x:f>(1-'00_Arquitectura'!$B$95)*D1276+'00_Arquitectura'!$B$95*E1276</x:f>
        <x:v>48.23784521594828</x:v>
      </x:c>
      <x:c r="G1276" s="10" t="n">
        <x:f>'02_Actores'!$I$23</x:f>
        <x:v>45</x:v>
      </x:c>
      <x:c r="H1276" s="10" t="n">
        <x:f>IF(OR(AND(F1276&lt;'00_Arquitectura'!$B$118,G1276&lt;'00_Arquitectura'!$B$119),F1276&lt;'00_Arquitectura'!$B$120),1,0)</x:f>
        <x:v>0</x:v>
      </x:c>
      <x:c r="I1276" s="10" t="n">
        <x:f>IF($I$1258=1,IF(OR(AND(F1276&lt;'00_Arquitectura'!$B$121,G1276&lt;'00_Arquitectura'!$B$122),F1276&lt;'00_Arquitectura'!$B$123),1,0),IF(AND(H1276=1,$H$1258=1),1,0))</x:f>
        <x:v>0</x:v>
      </x:c>
      <x:c r="J1276" s="10" t="n">
        <x:f>0</x:f>
        <x:v>0</x:v>
      </x:c>
      <x:c r="K1276" s="10" t="n">
        <x:f>$K$1259</x:f>
        <x:v>49.81482444377868</x:v>
      </x:c>
      <x:c r="L1276" s="10" t="str">
        <x:v>Conflicto activo captura menor eficacia en políticas ejecutadas en t+1. Magnitud0 en J: no es un offset directo de indicador.</x:v>
      </x:c>
    </x:row>
    <x:row r="1277" ht="34" customHeight="1">
      <x:c r="A1277" s="5" t="str">
        <x:v>S3_SALARIO</x:v>
      </x:c>
      <x:c r="B1277" s="5" t="n">
        <x:v>9</x:v>
      </x:c>
      <x:c r="C1277" s="5" t="str">
        <x:v>industria</x:v>
      </x:c>
      <x:c r="D1277" s="5" t="n">
        <x:f>$F$1259</x:f>
        <x:v>46.3636881589037</x:v>
      </x:c>
      <x:c r="E1277" s="5" t="n">
        <x:f>(ABS('03_Sensibilidades'!$C$6)*IF('03_Sensibilidades'!$C$6&lt;0,100-$K$464,$K$464)+ABS('03_Sensibilidades'!$C$7)*IF('03_Sensibilidades'!$C$7&lt;0,100-$K$462,$K$462)+ABS('03_Sensibilidades'!$C$8)*IF('03_Sensibilidades'!$C$8&lt;0,100-$K$467,$K$467)+ABS('03_Sensibilidades'!$C$9)*IF('03_Sensibilidades'!$C$9&lt;0,100-$K$466,$K$466))/(ABS('03_Sensibilidades'!$C$6)+ABS('03_Sensibilidades'!$C$7)+ABS('03_Sensibilidades'!$C$8)+ABS('03_Sensibilidades'!$C$9))</x:f>
        <x:v>46.238786699525924</x:v>
      </x:c>
      <x:c r="F1277" s="5" t="n">
        <x:f>(1-'00_Arquitectura'!$B$95)*D1277+'00_Arquitectura'!$B$95*E1277</x:f>
        <x:v>46.31997264812148</x:v>
      </x:c>
      <x:c r="G1277" s="5" t="n">
        <x:f>'02_Actores'!$I$6</x:f>
        <x:v>45</x:v>
      </x:c>
      <x:c r="H1277" s="5" t="n">
        <x:f>IF(OR(AND(F1277&lt;'00_Arquitectura'!$B$118,G1277&lt;'00_Arquitectura'!$B$119),F1277&lt;'00_Arquitectura'!$B$120),1,0)</x:f>
        <x:v>0</x:v>
      </x:c>
      <x:c r="I1277" s="5" t="n">
        <x:f>IF($I$1259=1,IF(OR(AND(F1277&lt;'00_Arquitectura'!$B$121,G1277&lt;'00_Arquitectura'!$B$122),F1277&lt;'00_Arquitectura'!$B$123),1,0),IF(AND(H1277=1,$H$1259=1),1,0))</x:f>
        <x:v>0</x:v>
      </x:c>
      <x:c r="J1277" s="5" t="n">
        <x:f>-I1277*2*'02_Actores'!$E$6/10</x:f>
        <x:v>0</x:v>
      </x:c>
      <x:c r="K1277" s="5" t="n">
        <x:f>($F$1277*'02_Actores'!$F$6+$F$1278*'02_Actores'!$F$7+$F$1279*'02_Actores'!$F$8+$F$1280*'02_Actores'!$F$9+$F$1281*'02_Actores'!$F$10+$F$1282*'02_Actores'!$F$11+$F$1283*'02_Actores'!$F$12+$F$1284*'02_Actores'!$F$13+$F$1285*'02_Actores'!$F$14+$F$1286*'02_Actores'!$F$15+$F$1287*'02_Actores'!$F$16+$F$1288*'02_Actores'!$F$17+$F$1289*'02_Actores'!$F$18+$F$1290*'02_Actores'!$F$19)/('02_Actores'!$F$6+'02_Actores'!$F$7+'02_Actores'!$F$8+'02_Actores'!$F$9+'02_Actores'!$F$10+'02_Actores'!$F$11+'02_Actores'!$F$12+'02_Actores'!$F$13+'02_Actores'!$F$14+'02_Actores'!$F$15+'02_Actores'!$F$16+'02_Actores'!$F$17+'02_Actores'!$F$18+'02_Actores'!$F$19)</x:f>
        <x:v>49.86735559216557</x:v>
      </x:c>
      <x:c r="L1277" s="5" t="str">
        <x:v>J programa offset para t+1; efecto sustituible y acotado, sin voto adicional.</x:v>
      </x:c>
    </x:row>
    <x:row r="1278" ht="34" customHeight="1">
      <x:c r="A1278" s="10" t="str">
        <x:v>S3_SALARIO</x:v>
      </x:c>
      <x:c r="B1278" s="10" t="n">
        <x:v>9</x:v>
      </x:c>
      <x:c r="C1278" s="10" t="str">
        <x:v>agro</x:v>
      </x:c>
      <x:c r="D1278" s="10" t="n">
        <x:f>$F$1260</x:f>
        <x:v>45.82869682348215</x:v>
      </x:c>
      <x:c r="E1278" s="10" t="n">
        <x:f>(ABS('03_Sensibilidades'!$C$10)*IF('03_Sensibilidades'!$C$10&lt;0,100-$K$466,$K$466)+ABS('03_Sensibilidades'!$C$11)*IF('03_Sensibilidades'!$C$11&lt;0,100-$K$467,$K$467)+ABS('03_Sensibilidades'!$C$12)*IF('03_Sensibilidades'!$C$12&lt;0,100-$K$474,$K$474)+ABS('03_Sensibilidades'!$C$13)*IF('03_Sensibilidades'!$C$13&lt;0,100-$K$464,$K$464))/(ABS('03_Sensibilidades'!$C$10)+ABS('03_Sensibilidades'!$C$11)+ABS('03_Sensibilidades'!$C$12)+ABS('03_Sensibilidades'!$C$13))</x:f>
        <x:v>45.764183067946426</x:v>
      </x:c>
      <x:c r="F1278" s="10" t="n">
        <x:f>(1-'00_Arquitectura'!$B$95)*D1278+'00_Arquitectura'!$B$95*E1278</x:f>
        <x:v>45.80611700904464</x:v>
      </x:c>
      <x:c r="G1278" s="10" t="n">
        <x:f>'02_Actores'!$I$7</x:f>
        <x:v>45</x:v>
      </x:c>
      <x:c r="H1278" s="10" t="n">
        <x:f>IF(OR(AND(F1278&lt;'00_Arquitectura'!$B$118,G1278&lt;'00_Arquitectura'!$B$119),F1278&lt;'00_Arquitectura'!$B$120),1,0)</x:f>
        <x:v>0</x:v>
      </x:c>
      <x:c r="I1278" s="10" t="n">
        <x:f>IF($I$1260=1,IF(OR(AND(F1278&lt;'00_Arquitectura'!$B$121,G1278&lt;'00_Arquitectura'!$B$122),F1278&lt;'00_Arquitectura'!$B$123),1,0),IF(AND(H1278=1,$H$1260=1),1,0))</x:f>
        <x:v>0</x:v>
      </x:c>
      <x:c r="J1278" s="10" t="n">
        <x:f>-I1278*2*'02_Actores'!$E$7/10</x:f>
        <x:v>0</x:v>
      </x:c>
      <x:c r="K1278" s="10" t="n">
        <x:f>$K$1277</x:f>
        <x:v>49.86735559216557</x:v>
      </x:c>
      <x:c r="L1278" s="10" t="str">
        <x:v>J programa offset para t+1; efecto sustituible y acotado, sin voto adicional.</x:v>
      </x:c>
    </x:row>
    <x:row r="1279" ht="34" customHeight="1">
      <x:c r="A1279" s="5" t="str">
        <x:v>S3_SALARIO</x:v>
      </x:c>
      <x:c r="B1279" s="5" t="n">
        <x:v>9</x:v>
      </x:c>
      <x:c r="C1279" s="5" t="str">
        <x:v>financiero</x:v>
      </x:c>
      <x:c r="D1279" s="5" t="n">
        <x:f>$F$1261</x:f>
        <x:v>51.8039345144138</x:v>
      </x:c>
      <x:c r="E1279" s="5" t="n">
        <x:f>(ABS('03_Sensibilidades'!$C$14)*IF('03_Sensibilidades'!$C$14&lt;0,100-$K$465,$K$465)+ABS('03_Sensibilidades'!$C$15)*IF('03_Sensibilidades'!$C$15&lt;0,100-$K$461,$K$461)+ABS('03_Sensibilidades'!$C$16)*IF('03_Sensibilidades'!$C$16&lt;0,100-$K$464,$K$464)+ABS('03_Sensibilidades'!$C$17)*IF('03_Sensibilidades'!$C$17&lt;0,100-$K$473,$K$473))/(ABS('03_Sensibilidades'!$C$14)+ABS('03_Sensibilidades'!$C$15)+ABS('03_Sensibilidades'!$C$16)+ABS('03_Sensibilidades'!$C$17))</x:f>
        <x:v>50.68354172825862</x:v>
      </x:c>
      <x:c r="F1279" s="5" t="n">
        <x:f>(1-'00_Arquitectura'!$B$95)*D1279+'00_Arquitectura'!$B$95*E1279</x:f>
        <x:v>51.41179703925948</x:v>
      </x:c>
      <x:c r="G1279" s="5" t="n">
        <x:f>'02_Actores'!$I$8</x:f>
        <x:v>45</x:v>
      </x:c>
      <x:c r="H1279" s="5" t="n">
        <x:f>IF(OR(AND(F1279&lt;'00_Arquitectura'!$B$118,G1279&lt;'00_Arquitectura'!$B$119),F1279&lt;'00_Arquitectura'!$B$120),1,0)</x:f>
        <x:v>0</x:v>
      </x:c>
      <x:c r="I1279" s="5" t="n">
        <x:f>IF($I$1261=1,IF(OR(AND(F1279&lt;'00_Arquitectura'!$B$121,G1279&lt;'00_Arquitectura'!$B$122),F1279&lt;'00_Arquitectura'!$B$123),1,0),IF(AND(H1279=1,$H$1261=1),1,0))</x:f>
        <x:v>0</x:v>
      </x:c>
      <x:c r="J1279" s="5" t="n">
        <x:f>-I1279*2*'02_Actores'!$E$8/10</x:f>
        <x:v>0</x:v>
      </x:c>
      <x:c r="K1279" s="5" t="n">
        <x:f>$K$1277</x:f>
        <x:v>49.86735559216557</x:v>
      </x:c>
      <x:c r="L1279" s="5" t="str">
        <x:v>J programa offset para t+1; efecto sustituible y acotado, sin voto adicional.</x:v>
      </x:c>
    </x:row>
    <x:row r="1280" ht="34" customHeight="1">
      <x:c r="A1280" s="10" t="str">
        <x:v>S3_SALARIO</x:v>
      </x:c>
      <x:c r="B1280" s="10" t="n">
        <x:v>9</x:v>
      </x:c>
      <x:c r="C1280" s="10" t="str">
        <x:v>sindicatos</x:v>
      </x:c>
      <x:c r="D1280" s="10" t="n">
        <x:f>$F$1262</x:f>
        <x:v>50.80823734406509</x:v>
      </x:c>
      <x:c r="E1280" s="10" t="n">
        <x:f>(ABS('03_Sensibilidades'!$C$18)*IF('03_Sensibilidades'!$C$18&lt;0,100-$K$463,$K$463)+ABS('03_Sensibilidades'!$C$19)*IF('03_Sensibilidades'!$C$19&lt;0,100-$K$462,$K$462)+ABS('03_Sensibilidades'!$C$20)*IF('03_Sensibilidades'!$C$20&lt;0,100-$K$470,$K$470)+ABS('03_Sensibilidades'!$C$21)*IF('03_Sensibilidades'!$C$21&lt;0,100-$K$473,$K$473))/(ABS('03_Sensibilidades'!$C$18)+ABS('03_Sensibilidades'!$C$19)+ABS('03_Sensibilidades'!$C$20)+ABS('03_Sensibilidades'!$C$21))</x:f>
        <x:v>51.3452886126069</x:v>
      </x:c>
      <x:c r="F1280" s="10" t="n">
        <x:f>(1-'00_Arquitectura'!$B$95)*D1280+'00_Arquitectura'!$B$95*E1280</x:f>
        <x:v>50.996205288054725</x:v>
      </x:c>
      <x:c r="G1280" s="10" t="n">
        <x:f>'02_Actores'!$I$9</x:f>
        <x:v>45</x:v>
      </x:c>
      <x:c r="H1280" s="10" t="n">
        <x:f>IF(OR(AND(F1280&lt;'00_Arquitectura'!$B$118,G1280&lt;'00_Arquitectura'!$B$119),F1280&lt;'00_Arquitectura'!$B$120),1,0)</x:f>
        <x:v>0</x:v>
      </x:c>
      <x:c r="I1280" s="10" t="n">
        <x:f>IF($I$1262=1,IF(OR(AND(F1280&lt;'00_Arquitectura'!$B$121,G1280&lt;'00_Arquitectura'!$B$122),F1280&lt;'00_Arquitectura'!$B$123),1,0),IF(AND(H1280=1,$H$1262=1),1,0))</x:f>
        <x:v>0</x:v>
      </x:c>
      <x:c r="J1280" s="10" t="n">
        <x:f>-I1280*2*'02_Actores'!$E$9/10</x:f>
        <x:v>0</x:v>
      </x:c>
      <x:c r="K1280" s="10" t="n">
        <x:f>$K$1277</x:f>
        <x:v>49.86735559216557</x:v>
      </x:c>
      <x:c r="L1280" s="10" t="str">
        <x:v>J programa offset para t+1; efecto sustituible y acotado, sin voto adicional.</x:v>
      </x:c>
    </x:row>
    <x:row r="1281" ht="34" customHeight="1">
      <x:c r="A1281" s="5" t="str">
        <x:v>S3_SALARIO</x:v>
      </x:c>
      <x:c r="B1281" s="5" t="n">
        <x:v>9</x:v>
      </x:c>
      <x:c r="C1281" s="5" t="str">
        <x:v>pymes</x:v>
      </x:c>
      <x:c r="D1281" s="5" t="n">
        <x:f>$F$1263</x:f>
        <x:v>49.002163104765515</x:v>
      </x:c>
      <x:c r="E1281" s="5" t="n">
        <x:f>(ABS('03_Sensibilidades'!$C$22)*IF('03_Sensibilidades'!$C$22&lt;0,100-$K$464,$K$464)+ABS('03_Sensibilidades'!$C$23)*IF('03_Sensibilidades'!$C$23&lt;0,100-$K$462,$K$462)+ABS('03_Sensibilidades'!$C$24)*IF('03_Sensibilidades'!$C$24&lt;0,100-$K$467,$K$467)+ABS('03_Sensibilidades'!$C$25)*IF('03_Sensibilidades'!$C$25&lt;0,100-$K$461,$K$461))/(ABS('03_Sensibilidades'!$C$22)+ABS('03_Sensibilidades'!$C$23)+ABS('03_Sensibilidades'!$C$24)+ABS('03_Sensibilidades'!$C$25))</x:f>
        <x:v>48.858881764779305</x:v>
      </x:c>
      <x:c r="F1281" s="5" t="n">
        <x:f>(1-'00_Arquitectura'!$B$95)*D1281+'00_Arquitectura'!$B$95*E1281</x:f>
        <x:v>48.95201463577034</x:v>
      </x:c>
      <x:c r="G1281" s="5" t="n">
        <x:f>'02_Actores'!$I$10</x:f>
        <x:v>45</x:v>
      </x:c>
      <x:c r="H1281" s="5" t="n">
        <x:f>IF(OR(AND(F1281&lt;'00_Arquitectura'!$B$118,G1281&lt;'00_Arquitectura'!$B$119),F1281&lt;'00_Arquitectura'!$B$120),1,0)</x:f>
        <x:v>0</x:v>
      </x:c>
      <x:c r="I1281" s="5" t="n">
        <x:f>IF($I$1263=1,IF(OR(AND(F1281&lt;'00_Arquitectura'!$B$121,G1281&lt;'00_Arquitectura'!$B$122),F1281&lt;'00_Arquitectura'!$B$123),1,0),IF(AND(H1281=1,$H$1263=1),1,0))</x:f>
        <x:v>0</x:v>
      </x:c>
      <x:c r="J1281" s="5" t="n">
        <x:f>-I1281*2*'02_Actores'!$E$10/10</x:f>
        <x:v>0</x:v>
      </x:c>
      <x:c r="K1281" s="5" t="n">
        <x:f>$K$1277</x:f>
        <x:v>49.86735559216557</x:v>
      </x:c>
      <x:c r="L1281" s="5" t="str">
        <x:v>J programa offset para t+1; efecto sustituible y acotado, sin voto adicional.</x:v>
      </x:c>
    </x:row>
    <x:row r="1282" ht="34" customHeight="1">
      <x:c r="A1282" s="10" t="str">
        <x:v>S3_SALARIO</x:v>
      </x:c>
      <x:c r="B1282" s="10" t="n">
        <x:v>9</x:v>
      </x:c>
      <x:c r="C1282" s="10" t="str">
        <x:v>clase_media</x:v>
      </x:c>
      <x:c r="D1282" s="10" t="n">
        <x:f>$F$1264</x:f>
        <x:v>51.43641389091435</x:v>
      </x:c>
      <x:c r="E1282" s="10" t="n">
        <x:f>(ABS('03_Sensibilidades'!$C$26)*IF('03_Sensibilidades'!$C$26&lt;0,100-$K$463,$K$463)+ABS('03_Sensibilidades'!$C$27)*IF('03_Sensibilidades'!$C$27&lt;0,100-$K$471,$K$471)+ABS('03_Sensibilidades'!$C$28)*IF('03_Sensibilidades'!$C$28&lt;0,100-$K$468,$K$468)+ABS('03_Sensibilidades'!$C$29)*IF('03_Sensibilidades'!$C$29&lt;0,100-$K$461,$K$461))/(ABS('03_Sensibilidades'!$C$26)+ABS('03_Sensibilidades'!$C$27)+ABS('03_Sensibilidades'!$C$28)+ABS('03_Sensibilidades'!$C$29))</x:f>
        <x:v>52.03333519970371</x:v>
      </x:c>
      <x:c r="F1282" s="10" t="n">
        <x:f>(1-'00_Arquitectura'!$B$95)*D1282+'00_Arquitectura'!$B$95*E1282</x:f>
        <x:v>51.645336348990625</x:v>
      </x:c>
      <x:c r="G1282" s="10" t="n">
        <x:f>'02_Actores'!$I$11</x:f>
        <x:v>45</x:v>
      </x:c>
      <x:c r="H1282" s="10" t="n">
        <x:f>IF(OR(AND(F1282&lt;'00_Arquitectura'!$B$118,G1282&lt;'00_Arquitectura'!$B$119),F1282&lt;'00_Arquitectura'!$B$120),1,0)</x:f>
        <x:v>0</x:v>
      </x:c>
      <x:c r="I1282" s="10" t="n">
        <x:f>IF($I$1264=1,IF(OR(AND(F1282&lt;'00_Arquitectura'!$B$121,G1282&lt;'00_Arquitectura'!$B$122),F1282&lt;'00_Arquitectura'!$B$123),1,0),IF(AND(H1282=1,$H$1264=1),1,0))</x:f>
        <x:v>0</x:v>
      </x:c>
      <x:c r="J1282" s="10" t="n">
        <x:f>0</x:f>
        <x:v>0</x:v>
      </x:c>
      <x:c r="K1282" s="10" t="n">
        <x:f>$K$1277</x:f>
        <x:v>49.86735559216557</x:v>
      </x:c>
      <x:c r="L1282" s="10" t="str">
        <x:v>Canal directo sólo al índice social; sin bono de popularidad.</x:v>
      </x:c>
    </x:row>
    <x:row r="1283" ht="34" customHeight="1">
      <x:c r="A1283" s="5" t="str">
        <x:v>S3_SALARIO</x:v>
      </x:c>
      <x:c r="B1283" s="5" t="n">
        <x:v>9</x:v>
      </x:c>
      <x:c r="C1283" s="5" t="str">
        <x:v>cooperativas</x:v>
      </x:c>
      <x:c r="D1283" s="5" t="n">
        <x:f>$F$1265</x:f>
        <x:v>47.674708620522225</x:v>
      </x:c>
      <x:c r="E1283" s="5" t="n">
        <x:f>(ABS('03_Sensibilidades'!$C$30)*IF('03_Sensibilidades'!$C$30&lt;0,100-$K$464,$K$464)+ABS('03_Sensibilidades'!$C$31)*IF('03_Sensibilidades'!$C$31&lt;0,100-$K$462,$K$462)+ABS('03_Sensibilidades'!$C$32)*IF('03_Sensibilidades'!$C$32&lt;0,100-$K$470,$K$470)+ABS('03_Sensibilidades'!$C$33)*IF('03_Sensibilidades'!$C$33&lt;0,100-$K$473,$K$473))/(ABS('03_Sensibilidades'!$C$30)+ABS('03_Sensibilidades'!$C$31)+ABS('03_Sensibilidades'!$C$32)+ABS('03_Sensibilidades'!$C$33))</x:f>
        <x:v>47.565419843566666</x:v>
      </x:c>
      <x:c r="F1283" s="5" t="n">
        <x:f>(1-'00_Arquitectura'!$B$95)*D1283+'00_Arquitectura'!$B$95*E1283</x:f>
        <x:v>47.63645754858778</x:v>
      </x:c>
      <x:c r="G1283" s="5" t="n">
        <x:f>'02_Actores'!$I$12</x:f>
        <x:v>45</x:v>
      </x:c>
      <x:c r="H1283" s="5" t="n">
        <x:f>IF(OR(AND(F1283&lt;'00_Arquitectura'!$B$118,G1283&lt;'00_Arquitectura'!$B$119),F1283&lt;'00_Arquitectura'!$B$120),1,0)</x:f>
        <x:v>0</x:v>
      </x:c>
      <x:c r="I1283" s="5" t="n">
        <x:f>IF($I$1265=1,IF(OR(AND(F1283&lt;'00_Arquitectura'!$B$121,G1283&lt;'00_Arquitectura'!$B$122),F1283&lt;'00_Arquitectura'!$B$123),1,0),IF(AND(H1283=1,$H$1265=1),1,0))</x:f>
        <x:v>0</x:v>
      </x:c>
      <x:c r="J1283" s="5" t="n">
        <x:f>-I1283*1.5*'02_Actores'!$E$12/10</x:f>
        <x:v>0</x:v>
      </x:c>
      <x:c r="K1283" s="5" t="n">
        <x:f>$K$1277</x:f>
        <x:v>49.86735559216557</x:v>
      </x:c>
      <x:c r="L1283" s="5" t="str">
        <x:v>J programa offset para t+1; efecto sustituible y acotado, sin voto adicional.</x:v>
      </x:c>
    </x:row>
    <x:row r="1284" ht="42" customHeight="1">
      <x:c r="A1284" s="10" t="str">
        <x:v>S3_SALARIO</x:v>
      </x:c>
      <x:c r="B1284" s="10" t="n">
        <x:v>9</x:v>
      </x:c>
      <x:c r="C1284" s="10" t="str">
        <x:v>estudiantes</x:v>
      </x:c>
      <x:c r="D1284" s="10" t="n">
        <x:f>$F$1266</x:f>
        <x:v>50.875663501093754</x:v>
      </x:c>
      <x:c r="E1284" s="10" t="n">
        <x:f>(ABS('03_Sensibilidades'!$C$34)*IF('03_Sensibilidades'!$C$34&lt;0,100-$K$468,$K$468)+ABS('03_Sensibilidades'!$C$35)*IF('03_Sensibilidades'!$C$35&lt;0,100-$K$463,$K$463)+ABS('03_Sensibilidades'!$C$36)*IF('03_Sensibilidades'!$C$36&lt;0,100-$K$473,$K$473)+ABS('03_Sensibilidades'!$C$37)*IF('03_Sensibilidades'!$C$37&lt;0,100-$K$472,$K$472))/(ABS('03_Sensibilidades'!$C$34)+ABS('03_Sensibilidades'!$C$35)+ABS('03_Sensibilidades'!$C$36)+ABS('03_Sensibilidades'!$C$37))</x:f>
        <x:v>51.198001007840006</x:v>
      </x:c>
      <x:c r="F1284" s="10" t="n">
        <x:f>(1-'00_Arquitectura'!$B$95)*D1284+'00_Arquitectura'!$B$95*E1284</x:f>
        <x:v>50.988481628454934</x:v>
      </x:c>
      <x:c r="G1284" s="10" t="n">
        <x:f>'02_Actores'!$I$13</x:f>
        <x:v>45</x:v>
      </x:c>
      <x:c r="H1284" s="10" t="n">
        <x:f>IF(OR(AND(F1284&lt;'00_Arquitectura'!$B$118,G1284&lt;'00_Arquitectura'!$B$119),F1284&lt;'00_Arquitectura'!$B$120),1,0)</x:f>
        <x:v>0</x:v>
      </x:c>
      <x:c r="I1284" s="10" t="n">
        <x:f>IF($I$1266=1,IF(OR(AND(F1284&lt;'00_Arquitectura'!$B$121,G1284&lt;'00_Arquitectura'!$B$122),F1284&lt;'00_Arquitectura'!$B$123),1,0),IF(AND(H1284=1,$H$1266=1),1,0))</x:f>
        <x:v>0</x:v>
      </x:c>
      <x:c r="J1284" s="10" t="n">
        <x:f>0</x:f>
        <x:v>0</x:v>
      </x:c>
      <x:c r="K1284" s="10" t="n">
        <x:f>$K$1277</x:f>
        <x:v>49.86735559216557</x:v>
      </x:c>
      <x:c r="L1284" s="10" t="str">
        <x:v>Conflicto activo captura menor eficacia en políticas ejecutadas en t+1. Magnitud0 en J: no es un offset directo de indicador.</x:v>
      </x:c>
    </x:row>
    <x:row r="1285" ht="34" customHeight="1">
      <x:c r="A1285" s="5" t="str">
        <x:v>S3_SALARIO</x:v>
      </x:c>
      <x:c r="B1285" s="5" t="n">
        <x:v>9</x:v>
      </x:c>
      <x:c r="C1285" s="5" t="str">
        <x:v>docentes</x:v>
      </x:c>
      <x:c r="D1285" s="5" t="n">
        <x:f>$F$1267</x:f>
        <x:v>52.1915155456182</x:v>
      </x:c>
      <x:c r="E1285" s="5" t="n">
        <x:f>(ABS('03_Sensibilidades'!$C$38)*IF('03_Sensibilidades'!$C$38&lt;0,100-$K$468,$K$468)+ABS('03_Sensibilidades'!$C$39)*IF('03_Sensibilidades'!$C$39&lt;0,100-$K$463,$K$463)+ABS('03_Sensibilidades'!$C$40)*IF('03_Sensibilidades'!$C$40&lt;0,100-$K$473,$K$473))/(ABS('03_Sensibilidades'!$C$38)+ABS('03_Sensibilidades'!$C$39)+ABS('03_Sensibilidades'!$C$40))</x:f>
        <x:v>52.82217588490435</x:v>
      </x:c>
      <x:c r="F1285" s="5" t="n">
        <x:f>(1-'00_Arquitectura'!$B$95)*D1285+'00_Arquitectura'!$B$95*E1285</x:f>
        <x:v>52.412246664368354</x:v>
      </x:c>
      <x:c r="G1285" s="5" t="n">
        <x:f>'02_Actores'!$I$14</x:f>
        <x:v>45</x:v>
      </x:c>
      <x:c r="H1285" s="5" t="n">
        <x:f>IF(OR(AND(F1285&lt;'00_Arquitectura'!$B$118,G1285&lt;'00_Arquitectura'!$B$119),F1285&lt;'00_Arquitectura'!$B$120),1,0)</x:f>
        <x:v>0</x:v>
      </x:c>
      <x:c r="I1285" s="5" t="n">
        <x:f>IF($I$1267=1,IF(OR(AND(F1285&lt;'00_Arquitectura'!$B$121,G1285&lt;'00_Arquitectura'!$B$122),F1285&lt;'00_Arquitectura'!$B$123),1,0),IF(AND(H1285=1,$H$1267=1),1,0))</x:f>
        <x:v>0</x:v>
      </x:c>
      <x:c r="J1285" s="5" t="n">
        <x:f>-I1285*1.5*'02_Actores'!$E$14/10</x:f>
        <x:v>0</x:v>
      </x:c>
      <x:c r="K1285" s="5" t="n">
        <x:f>$K$1277</x:f>
        <x:v>49.86735559216557</x:v>
      </x:c>
      <x:c r="L1285" s="5" t="str">
        <x:v>J programa offset para t+1; efecto sustituible y acotado, sin voto adicional.</x:v>
      </x:c>
    </x:row>
    <x:row r="1286" ht="34" customHeight="1">
      <x:c r="A1286" s="10" t="str">
        <x:v>S3_SALARIO</x:v>
      </x:c>
      <x:c r="B1286" s="10" t="n">
        <x:v>9</x:v>
      </x:c>
      <x:c r="C1286" s="10" t="str">
        <x:v>cientificos</x:v>
      </x:c>
      <x:c r="D1286" s="10" t="n">
        <x:f>$F$1268</x:f>
        <x:v>46.59090909090909</x:v>
      </x:c>
      <x:c r="E1286" s="10" t="n">
        <x:f>(ABS('03_Sensibilidades'!$C$41)*IF('03_Sensibilidades'!$C$41&lt;0,100-$K$472,$K$472)+ABS('03_Sensibilidades'!$C$42)*IF('03_Sensibilidades'!$C$42&lt;0,100-$K$468,$K$468)+ABS('03_Sensibilidades'!$C$43)*IF('03_Sensibilidades'!$C$43&lt;0,100-$K$473,$K$473))/(ABS('03_Sensibilidades'!$C$41)+ABS('03_Sensibilidades'!$C$42)+ABS('03_Sensibilidades'!$C$43))</x:f>
        <x:v>46.59090909090909</x:v>
      </x:c>
      <x:c r="F1286" s="10" t="n">
        <x:f>(1-'00_Arquitectura'!$B$95)*D1286+'00_Arquitectura'!$B$95*E1286</x:f>
        <x:v>46.59090909090909</x:v>
      </x:c>
      <x:c r="G1286" s="10" t="n">
        <x:f>'02_Actores'!$I$15</x:f>
        <x:v>45</x:v>
      </x:c>
      <x:c r="H1286" s="10" t="n">
        <x:f>IF(OR(AND(F1286&lt;'00_Arquitectura'!$B$118,G1286&lt;'00_Arquitectura'!$B$119),F1286&lt;'00_Arquitectura'!$B$120),1,0)</x:f>
        <x:v>0</x:v>
      </x:c>
      <x:c r="I1286" s="10" t="n">
        <x:f>IF($I$1268=1,IF(OR(AND(F1286&lt;'00_Arquitectura'!$B$121,G1286&lt;'00_Arquitectura'!$B$122),F1286&lt;'00_Arquitectura'!$B$123),1,0),IF(AND(H1286=1,$H$1268=1),1,0))</x:f>
        <x:v>0</x:v>
      </x:c>
      <x:c r="J1286" s="10" t="n">
        <x:f>-I1286*1.5*'02_Actores'!$E$15/10</x:f>
        <x:v>0</x:v>
      </x:c>
      <x:c r="K1286" s="10" t="n">
        <x:f>$K$1277</x:f>
        <x:v>49.86735559216557</x:v>
      </x:c>
      <x:c r="L1286" s="10" t="str">
        <x:v>J programa offset para t+1; efecto sustituible y acotado, sin voto adicional.</x:v>
      </x:c>
    </x:row>
    <x:row r="1287" ht="34" customHeight="1">
      <x:c r="A1287" s="5" t="str">
        <x:v>S3_SALARIO</x:v>
      </x:c>
      <x:c r="B1287" s="5" t="n">
        <x:v>9</x:v>
      </x:c>
      <x:c r="C1287" s="5" t="str">
        <x:v>organizaciones</x:v>
      </x:c>
      <x:c r="D1287" s="5" t="n">
        <x:f>$F$1269</x:f>
        <x:v>49.09894542674286</x:v>
      </x:c>
      <x:c r="E1287" s="5" t="n">
        <x:f>(ABS('03_Sensibilidades'!$C$44)*IF('03_Sensibilidades'!$C$44&lt;0,100-$K$470,$K$470)+ABS('03_Sensibilidades'!$C$45)*IF('03_Sensibilidades'!$C$45&lt;0,100-$K$469,$K$469)+ABS('03_Sensibilidades'!$C$46)*IF('03_Sensibilidades'!$C$46&lt;0,100-$K$462,$K$462)+ABS('03_Sensibilidades'!$C$47)*IF('03_Sensibilidades'!$C$47&lt;0,100-$K$473,$K$473))/(ABS('03_Sensibilidades'!$C$44)+ABS('03_Sensibilidades'!$C$45)+ABS('03_Sensibilidades'!$C$46)+ABS('03_Sensibilidades'!$C$47))</x:f>
        <x:v>49.086031413657146</x:v>
      </x:c>
      <x:c r="F1287" s="5" t="n">
        <x:f>(1-'00_Arquitectura'!$B$95)*D1287+'00_Arquitectura'!$B$95*E1287</x:f>
        <x:v>49.094425522162865</x:v>
      </x:c>
      <x:c r="G1287" s="5" t="n">
        <x:f>'02_Actores'!$I$16</x:f>
        <x:v>45</x:v>
      </x:c>
      <x:c r="H1287" s="5" t="n">
        <x:f>IF(OR(AND(F1287&lt;'00_Arquitectura'!$B$118,G1287&lt;'00_Arquitectura'!$B$119),F1287&lt;'00_Arquitectura'!$B$120),1,0)</x:f>
        <x:v>0</x:v>
      </x:c>
      <x:c r="I1287" s="5" t="n">
        <x:f>IF($I$1269=1,IF(OR(AND(F1287&lt;'00_Arquitectura'!$B$121,G1287&lt;'00_Arquitectura'!$B$122),F1287&lt;'00_Arquitectura'!$B$123),1,0),IF(AND(H1287=1,$H$1269=1),1,0))</x:f>
        <x:v>0</x:v>
      </x:c>
      <x:c r="J1287" s="5" t="n">
        <x:f>-I1287*1.5*'02_Actores'!$E$16/10</x:f>
        <x:v>0</x:v>
      </x:c>
      <x:c r="K1287" s="5" t="n">
        <x:f>$K$1277</x:f>
        <x:v>49.86735559216557</x:v>
      </x:c>
      <x:c r="L1287" s="5" t="str">
        <x:v>J programa offset para t+1; efecto sustituible y acotado, sin voto adicional.</x:v>
      </x:c>
    </x:row>
    <x:row r="1288" ht="42" customHeight="1">
      <x:c r="A1288" s="10" t="str">
        <x:v>S3_SALARIO</x:v>
      </x:c>
      <x:c r="B1288" s="10" t="n">
        <x:v>9</x:v>
      </x:c>
      <x:c r="C1288" s="10" t="str">
        <x:v>ddhh</x:v>
      </x:c>
      <x:c r="D1288" s="10" t="n">
        <x:f>$F$1270</x:f>
        <x:v>50.88235294117648</x:v>
      </x:c>
      <x:c r="E1288" s="10" t="n">
        <x:f>(ABS('03_Sensibilidades'!$C$48)*IF('03_Sensibilidades'!$C$48&lt;0,100-$K$473,$K$473)+ABS('03_Sensibilidades'!$C$49)*IF('03_Sensibilidades'!$C$49&lt;0,100-$K$471,$K$471)+ABS('03_Sensibilidades'!$C$50)*IF('03_Sensibilidades'!$C$50&lt;0,100-$K$470,$K$470))/(ABS('03_Sensibilidades'!$C$48)+ABS('03_Sensibilidades'!$C$49)+ABS('03_Sensibilidades'!$C$50))</x:f>
        <x:v>50.88235294117647</x:v>
      </x:c>
      <x:c r="F1288" s="10" t="n">
        <x:f>(1-'00_Arquitectura'!$B$95)*D1288+'00_Arquitectura'!$B$95*E1288</x:f>
        <x:v>50.88235294117648</x:v>
      </x:c>
      <x:c r="G1288" s="10" t="n">
        <x:f>'02_Actores'!$I$17</x:f>
        <x:v>45</x:v>
      </x:c>
      <x:c r="H1288" s="10" t="n">
        <x:f>IF(OR(AND(F1288&lt;'00_Arquitectura'!$B$118,G1288&lt;'00_Arquitectura'!$B$119),F1288&lt;'00_Arquitectura'!$B$120),1,0)</x:f>
        <x:v>0</x:v>
      </x:c>
      <x:c r="I1288" s="10" t="n">
        <x:f>IF($I$1270=1,IF(OR(AND(F1288&lt;'00_Arquitectura'!$B$121,G1288&lt;'00_Arquitectura'!$B$122),F1288&lt;'00_Arquitectura'!$B$123),1,0),IF(AND(H1288=1,$H$1270=1),1,0))</x:f>
        <x:v>0</x:v>
      </x:c>
      <x:c r="J1288" s="10" t="n">
        <x:f>0</x:f>
        <x:v>0</x:v>
      </x:c>
      <x:c r="K1288" s="10" t="n">
        <x:f>$K$1277</x:f>
        <x:v>49.86735559216557</x:v>
      </x:c>
      <x:c r="L1288" s="10" t="str">
        <x:v>Conflicto activo captura menor eficacia en políticas ejecutadas en t+1. Magnitud0 en J: no es un offset directo de indicador.</x:v>
      </x:c>
    </x:row>
    <x:row r="1289" ht="42" customHeight="1">
      <x:c r="A1289" s="5" t="str">
        <x:v>S3_SALARIO</x:v>
      </x:c>
      <x:c r="B1289" s="5" t="n">
        <x:v>9</x:v>
      </x:c>
      <x:c r="C1289" s="5" t="str">
        <x:v>ambientalistas</x:v>
      </x:c>
      <x:c r="D1289" s="5" t="n">
        <x:f>$F$1271</x:f>
        <x:v>51.388888888888886</x:v>
      </x:c>
      <x:c r="E1289" s="5" t="n">
        <x:f>(ABS('03_Sensibilidades'!$C$51)*IF('03_Sensibilidades'!$C$51&lt;0,100-$K$474,$K$474)+ABS('03_Sensibilidades'!$C$52)*IF('03_Sensibilidades'!$C$52&lt;0,100-$K$473,$K$473)+ABS('03_Sensibilidades'!$C$53)*IF('03_Sensibilidades'!$C$53&lt;0,100-$K$469,$K$469))/(ABS('03_Sensibilidades'!$C$51)+ABS('03_Sensibilidades'!$C$52)+ABS('03_Sensibilidades'!$C$53))</x:f>
        <x:v>51.388888888888886</x:v>
      </x:c>
      <x:c r="F1289" s="5" t="n">
        <x:f>(1-'00_Arquitectura'!$B$95)*D1289+'00_Arquitectura'!$B$95*E1289</x:f>
        <x:v>51.388888888888886</x:v>
      </x:c>
      <x:c r="G1289" s="5" t="n">
        <x:f>'02_Actores'!$I$18</x:f>
        <x:v>45</x:v>
      </x:c>
      <x:c r="H1289" s="5" t="n">
        <x:f>IF(OR(AND(F1289&lt;'00_Arquitectura'!$B$118,G1289&lt;'00_Arquitectura'!$B$119),F1289&lt;'00_Arquitectura'!$B$120),1,0)</x:f>
        <x:v>0</x:v>
      </x:c>
      <x:c r="I1289" s="5" t="n">
        <x:f>IF($I$1271=1,IF(OR(AND(F1289&lt;'00_Arquitectura'!$B$121,G1289&lt;'00_Arquitectura'!$B$122),F1289&lt;'00_Arquitectura'!$B$123),1,0),IF(AND(H1289=1,$H$1271=1),1,0))</x:f>
        <x:v>0</x:v>
      </x:c>
      <x:c r="J1289" s="5" t="n">
        <x:f>0</x:f>
        <x:v>0</x:v>
      </x:c>
      <x:c r="K1289" s="5" t="n">
        <x:f>$K$1277</x:f>
        <x:v>49.86735559216557</x:v>
      </x:c>
      <x:c r="L1289" s="5" t="str">
        <x:v>Conflicto activo captura menor eficacia en políticas ejecutadas en t+1. Magnitud0 en J: no es un offset directo de indicador.</x:v>
      </x:c>
    </x:row>
    <x:row r="1290" ht="34" customHeight="1">
      <x:c r="A1290" s="10" t="str">
        <x:v>S3_SALARIO</x:v>
      </x:c>
      <x:c r="B1290" s="10" t="n">
        <x:v>9</x:v>
      </x:c>
      <x:c r="C1290" s="10" t="str">
        <x:v>cultura</x:v>
      </x:c>
      <x:c r="D1290" s="10" t="n">
        <x:f>$F$1272</x:f>
        <x:v>52.99429408038652</x:v>
      </x:c>
      <x:c r="E1290" s="10" t="n">
        <x:f>(ABS('03_Sensibilidades'!$C$54)*IF('03_Sensibilidades'!$C$54&lt;0,100-$K$473,$K$473)+ABS('03_Sensibilidades'!$C$55)*IF('03_Sensibilidades'!$C$55&lt;0,100-$K$468,$K$468)+ABS('03_Sensibilidades'!$C$56)*IF('03_Sensibilidades'!$C$56&lt;0,100-$K$463,$K$463))/(ABS('03_Sensibilidades'!$C$54)+ABS('03_Sensibilidades'!$C$55)+ABS('03_Sensibilidades'!$C$56))</x:f>
        <x:v>53.41842237873684</x:v>
      </x:c>
      <x:c r="F1290" s="10" t="n">
        <x:f>(1-'00_Arquitectura'!$B$95)*D1290+'00_Arquitectura'!$B$95*E1290</x:f>
        <x:v>53.14273898480913</x:v>
      </x:c>
      <x:c r="G1290" s="10" t="n">
        <x:f>'02_Actores'!$I$19</x:f>
        <x:v>45</x:v>
      </x:c>
      <x:c r="H1290" s="10" t="n">
        <x:f>IF(OR(AND(F1290&lt;'00_Arquitectura'!$B$118,G1290&lt;'00_Arquitectura'!$B$119),F1290&lt;'00_Arquitectura'!$B$120),1,0)</x:f>
        <x:v>0</x:v>
      </x:c>
      <x:c r="I1290" s="10" t="n">
        <x:f>IF($I$1272=1,IF(OR(AND(F1290&lt;'00_Arquitectura'!$B$121,G1290&lt;'00_Arquitectura'!$B$122),F1290&lt;'00_Arquitectura'!$B$123),1,0),IF(AND(H1290=1,$H$1272=1),1,0))</x:f>
        <x:v>0</x:v>
      </x:c>
      <x:c r="J1290" s="10" t="n">
        <x:f>0</x:f>
        <x:v>0</x:v>
      </x:c>
      <x:c r="K1290" s="10" t="n">
        <x:f>$K$1277</x:f>
        <x:v>49.86735559216557</x:v>
      </x:c>
      <x:c r="L1290" s="10" t="str">
        <x:v>Conflicto activo encarece agenda del turno siguiente; sin castigo electoral adicional.</x:v>
      </x:c>
    </x:row>
    <x:row r="1291" ht="34" customHeight="1">
      <x:c r="A1291" s="5" t="str">
        <x:v>S3_SALARIO</x:v>
      </x:c>
      <x:c r="B1291" s="5" t="n">
        <x:v>9</x:v>
      </x:c>
      <x:c r="C1291" s="5" t="str">
        <x:v>oficialismo</x:v>
      </x:c>
      <x:c r="D1291" s="5" t="n">
        <x:f>$F$1273</x:f>
        <x:v>49.943658954436</x:v>
      </x:c>
      <x:c r="E1291" s="5" t="n">
        <x:f>(ABS('03_Sensibilidades'!$C$57)*IF('03_Sensibilidades'!$C$57&lt;0,100-$K$473,$K$473)+ABS('03_Sensibilidades'!$C$58)*IF('03_Sensibilidades'!$C$58&lt;0,100-$K$462,$K$462)+ABS('03_Sensibilidades'!$C$59)*IF('03_Sensibilidades'!$C$59&lt;0,100-$K$465,$K$465)+ABS('03_Sensibilidades'!$C$60)*IF('03_Sensibilidades'!$C$60&lt;0,100-$K$470,$K$470))/(ABS('03_Sensibilidades'!$C$57)+ABS('03_Sensibilidades'!$C$58)+ABS('03_Sensibilidades'!$C$59)+ABS('03_Sensibilidades'!$C$60))</x:f>
        <x:v>49.205275190272005</x:v>
      </x:c>
      <x:c r="F1291" s="5" t="n">
        <x:f>(1-'00_Arquitectura'!$B$95)*D1291+'00_Arquitectura'!$B$95*E1291</x:f>
        <x:v>49.6852246369786</x:v>
      </x:c>
      <x:c r="G1291" s="5" t="n">
        <x:f>'02_Actores'!$I$20</x:f>
        <x:v>60</x:v>
      </x:c>
      <x:c r="H1291" s="5" t="n">
        <x:f>IF(OR(AND(F1291&lt;'00_Arquitectura'!$B$118,G1291&lt;'00_Arquitectura'!$B$119),F1291&lt;'00_Arquitectura'!$B$120),1,0)</x:f>
        <x:v>0</x:v>
      </x:c>
      <x:c r="I1291" s="5" t="n">
        <x:f>IF($I$1273=1,IF(OR(AND(F1291&lt;'00_Arquitectura'!$B$121,G1291&lt;'00_Arquitectura'!$B$122),F1291&lt;'00_Arquitectura'!$B$123),1,0),IF(AND(H1291=1,$H$1273=1),1,0))</x:f>
        <x:v>0</x:v>
      </x:c>
      <x:c r="J1291" s="5" t="n">
        <x:f>0</x:f>
        <x:v>0</x:v>
      </x:c>
      <x:c r="K1291" s="5" t="n">
        <x:f>$K$1277</x:f>
        <x:v>49.86735559216557</x:v>
      </x:c>
      <x:c r="L1291" s="5" t="str">
        <x:v>No aporta E_social; S y R alimentan disposición a leyes según07.</x:v>
      </x:c>
    </x:row>
    <x:row r="1292" ht="34" customHeight="1">
      <x:c r="A1292" s="10" t="str">
        <x:v>S3_SALARIO</x:v>
      </x:c>
      <x:c r="B1292" s="10" t="n">
        <x:v>9</x:v>
      </x:c>
      <x:c r="C1292" s="10" t="str">
        <x:v>aliados</x:v>
      </x:c>
      <x:c r="D1292" s="10" t="n">
        <x:f>$F$1274</x:f>
        <x:v>50.13716332410715</x:v>
      </x:c>
      <x:c r="E1292" s="10" t="n">
        <x:f>(ABS('03_Sensibilidades'!$C$61)*IF('03_Sensibilidades'!$C$61&lt;0,100-$K$473,$K$473)+ABS('03_Sensibilidades'!$C$62)*IF('03_Sensibilidades'!$C$62&lt;0,100-$K$465,$K$465)+ABS('03_Sensibilidades'!$C$63)*IF('03_Sensibilidades'!$C$63&lt;0,100-$K$467,$K$467))/(ABS('03_Sensibilidades'!$C$61)+ABS('03_Sensibilidades'!$C$62)+ABS('03_Sensibilidades'!$C$63))</x:f>
        <x:v>49.138414938057146</x:v>
      </x:c>
      <x:c r="F1292" s="10" t="n">
        <x:f>(1-'00_Arquitectura'!$B$95)*D1292+'00_Arquitectura'!$B$95*E1292</x:f>
        <x:v>49.78760138898964</x:v>
      </x:c>
      <x:c r="G1292" s="10" t="n">
        <x:f>'02_Actores'!$I$21</x:f>
        <x:v>45</x:v>
      </x:c>
      <x:c r="H1292" s="10" t="n">
        <x:f>IF(OR(AND(F1292&lt;'00_Arquitectura'!$B$118,G1292&lt;'00_Arquitectura'!$B$119),F1292&lt;'00_Arquitectura'!$B$120),1,0)</x:f>
        <x:v>0</x:v>
      </x:c>
      <x:c r="I1292" s="10" t="n">
        <x:f>IF($I$1274=1,IF(OR(AND(F1292&lt;'00_Arquitectura'!$B$121,G1292&lt;'00_Arquitectura'!$B$122),F1292&lt;'00_Arquitectura'!$B$123),1,0),IF(AND(H1292=1,$H$1274=1),1,0))</x:f>
        <x:v>0</x:v>
      </x:c>
      <x:c r="J1292" s="10" t="n">
        <x:f>0</x:f>
        <x:v>0</x:v>
      </x:c>
      <x:c r="K1292" s="10" t="n">
        <x:f>$K$1277</x:f>
        <x:v>49.86735559216557</x:v>
      </x:c>
      <x:c r="L1292" s="10" t="str">
        <x:v>No aporta E_social; S y R alimentan disposición a leyes según07.</x:v>
      </x:c>
    </x:row>
    <x:row r="1293" ht="34" customHeight="1">
      <x:c r="A1293" s="5" t="str">
        <x:v>S3_SALARIO</x:v>
      </x:c>
      <x:c r="B1293" s="5" t="n">
        <x:v>9</x:v>
      </x:c>
      <x:c r="C1293" s="5" t="str">
        <x:v>oposicion</x:v>
      </x:c>
      <x:c r="D1293" s="5" t="n">
        <x:f>$F$1275</x:f>
        <x:v>51.19487556312501</x:v>
      </x:c>
      <x:c r="E1293" s="5" t="n">
        <x:f>(ABS('03_Sensibilidades'!$C$64)*IF('03_Sensibilidades'!$C$64&lt;0,100-$K$473,$K$473)+ABS('03_Sensibilidades'!$C$65)*IF('03_Sensibilidades'!$C$65&lt;0,100-$K$465,$K$465)+ABS('03_Sensibilidades'!$C$66)*IF('03_Sensibilidades'!$C$66&lt;0,100-$K$471,$K$471))/(ABS('03_Sensibilidades'!$C$64)+ABS('03_Sensibilidades'!$C$65)+ABS('03_Sensibilidades'!$C$66))</x:f>
        <x:v>50.29600201568</x:v>
      </x:c>
      <x:c r="F1293" s="5" t="n">
        <x:f>(1-'00_Arquitectura'!$B$95)*D1293+'00_Arquitectura'!$B$95*E1293</x:f>
        <x:v>50.880269821519256</x:v>
      </x:c>
      <x:c r="G1293" s="5" t="n">
        <x:f>'02_Actores'!$I$22</x:f>
        <x:v>30</x:v>
      </x:c>
      <x:c r="H1293" s="5" t="n">
        <x:f>IF(OR(AND(F1293&lt;'00_Arquitectura'!$B$118,G1293&lt;'00_Arquitectura'!$B$119),F1293&lt;'00_Arquitectura'!$B$120),1,0)</x:f>
        <x:v>0</x:v>
      </x:c>
      <x:c r="I1293" s="5" t="n">
        <x:f>IF($I$1275=1,IF(OR(AND(F1293&lt;'00_Arquitectura'!$B$121,G1293&lt;'00_Arquitectura'!$B$122),F1293&lt;'00_Arquitectura'!$B$123),1,0),IF(AND(H1293=1,$H$1275=1),1,0))</x:f>
        <x:v>0</x:v>
      </x:c>
      <x:c r="J1293" s="5" t="n">
        <x:f>0</x:f>
        <x:v>0</x:v>
      </x:c>
      <x:c r="K1293" s="5" t="n">
        <x:f>$K$1277</x:f>
        <x:v>49.86735559216557</x:v>
      </x:c>
      <x:c r="L1293" s="5" t="str">
        <x:v>No aporta E_social; S y R alimentan disposición a leyes según07.</x:v>
      </x:c>
    </x:row>
    <x:row r="1294" ht="42" customHeight="1">
      <x:c r="A1294" s="10" t="str">
        <x:v>S3_SALARIO</x:v>
      </x:c>
      <x:c r="B1294" s="10" t="n">
        <x:v>9</x:v>
      </x:c>
      <x:c r="C1294" s="10" t="str">
        <x:v>gobernadores</x:v>
      </x:c>
      <x:c r="D1294" s="10" t="n">
        <x:f>$F$1276</x:f>
        <x:v>48.23784521594828</x:v>
      </x:c>
      <x:c r="E1294" s="10" t="n">
        <x:f>(ABS('03_Sensibilidades'!$C$67)*IF('03_Sensibilidades'!$C$67&lt;0,100-$K$467,$K$467)+ABS('03_Sensibilidades'!$C$68)*IF('03_Sensibilidades'!$C$68&lt;0,100-$K$469,$K$469)+ABS('03_Sensibilidades'!$C$69)*IF('03_Sensibilidades'!$C$69&lt;0,100-$K$468,$K$468)+ABS('03_Sensibilidades'!$C$70)*IF('03_Sensibilidades'!$C$70&lt;0,100-$K$465,$K$465))/(ABS('03_Sensibilidades'!$C$67)+ABS('03_Sensibilidades'!$C$68)+ABS('03_Sensibilidades'!$C$69)+ABS('03_Sensibilidades'!$C$70))</x:f>
        <x:v>47.6179324246069</x:v>
      </x:c>
      <x:c r="F1294" s="10" t="n">
        <x:f>(1-'00_Arquitectura'!$B$95)*D1294+'00_Arquitectura'!$B$95*E1294</x:f>
        <x:v>48.0208757389788</x:v>
      </x:c>
      <x:c r="G1294" s="10" t="n">
        <x:f>'02_Actores'!$I$23</x:f>
        <x:v>45</x:v>
      </x:c>
      <x:c r="H1294" s="10" t="n">
        <x:f>IF(OR(AND(F1294&lt;'00_Arquitectura'!$B$118,G1294&lt;'00_Arquitectura'!$B$119),F1294&lt;'00_Arquitectura'!$B$120),1,0)</x:f>
        <x:v>0</x:v>
      </x:c>
      <x:c r="I1294" s="10" t="n">
        <x:f>IF($I$1276=1,IF(OR(AND(F1294&lt;'00_Arquitectura'!$B$121,G1294&lt;'00_Arquitectura'!$B$122),F1294&lt;'00_Arquitectura'!$B$123),1,0),IF(AND(H1294=1,$H$1276=1),1,0))</x:f>
        <x:v>0</x:v>
      </x:c>
      <x:c r="J1294" s="10" t="n">
        <x:f>0</x:f>
        <x:v>0</x:v>
      </x:c>
      <x:c r="K1294" s="10" t="n">
        <x:f>$K$1277</x:f>
        <x:v>49.86735559216557</x:v>
      </x:c>
      <x:c r="L1294" s="10" t="str">
        <x:v>Conflicto activo captura menor eficacia en políticas ejecutadas en t+1. Magnitud0 en J: no es un offset directo de indicador.</x:v>
      </x:c>
    </x:row>
    <x:row r="1295" ht="34" customHeight="1">
      <x:c r="A1295" s="5" t="str">
        <x:v>S3_SALARIO</x:v>
      </x:c>
      <x:c r="B1295" s="5" t="n">
        <x:v>10</x:v>
      </x:c>
      <x:c r="C1295" s="5" t="str">
        <x:v>industria</x:v>
      </x:c>
      <x:c r="D1295" s="5" t="n">
        <x:f>$F$1277</x:f>
        <x:v>46.31997264812148</x:v>
      </x:c>
      <x:c r="E1295" s="5" t="n">
        <x:f>(ABS('03_Sensibilidades'!$C$6)*IF('03_Sensibilidades'!$C$6&lt;0,100-$K$478,$K$478)+ABS('03_Sensibilidades'!$C$7)*IF('03_Sensibilidades'!$C$7&lt;0,100-$K$476,$K$476)+ABS('03_Sensibilidades'!$C$8)*IF('03_Sensibilidades'!$C$8&lt;0,100-$K$481,$K$481)+ABS('03_Sensibilidades'!$C$9)*IF('03_Sensibilidades'!$C$9&lt;0,100-$K$480,$K$480))/(ABS('03_Sensibilidades'!$C$6)+ABS('03_Sensibilidades'!$C$7)+ABS('03_Sensibilidades'!$C$8)+ABS('03_Sensibilidades'!$C$9))</x:f>
        <x:v>46.188380097747256</x:v>
      </x:c>
      <x:c r="F1295" s="5" t="n">
        <x:f>(1-'00_Arquitectura'!$B$95)*D1295+'00_Arquitectura'!$B$95*E1295</x:f>
        <x:v>46.2739152554905</x:v>
      </x:c>
      <x:c r="G1295" s="5" t="n">
        <x:f>'02_Actores'!$I$6</x:f>
        <x:v>45</x:v>
      </x:c>
      <x:c r="H1295" s="5" t="n">
        <x:f>IF(OR(AND(F1295&lt;'00_Arquitectura'!$B$118,G1295&lt;'00_Arquitectura'!$B$119),F1295&lt;'00_Arquitectura'!$B$120),1,0)</x:f>
        <x:v>0</x:v>
      </x:c>
      <x:c r="I1295" s="5" t="n">
        <x:f>IF($I$1277=1,IF(OR(AND(F1295&lt;'00_Arquitectura'!$B$121,G1295&lt;'00_Arquitectura'!$B$122),F1295&lt;'00_Arquitectura'!$B$123),1,0),IF(AND(H1295=1,$H$1277=1),1,0))</x:f>
        <x:v>0</x:v>
      </x:c>
      <x:c r="J1295" s="5" t="n">
        <x:f>-I1295*2*'02_Actores'!$E$6/10</x:f>
        <x:v>0</x:v>
      </x:c>
      <x:c r="K1295" s="5" t="n">
        <x:f>($F$1295*'02_Actores'!$F$6+$F$1296*'02_Actores'!$F$7+$F$1297*'02_Actores'!$F$8+$F$1298*'02_Actores'!$F$9+$F$1299*'02_Actores'!$F$10+$F$1300*'02_Actores'!$F$11+$F$1301*'02_Actores'!$F$12+$F$1302*'02_Actores'!$F$13+$F$1303*'02_Actores'!$F$14+$F$1304*'02_Actores'!$F$15+$F$1305*'02_Actores'!$F$16+$F$1306*'02_Actores'!$F$17+$F$1307*'02_Actores'!$F$18+$F$1308*'02_Actores'!$F$19)/('02_Actores'!$F$6+'02_Actores'!$F$7+'02_Actores'!$F$8+'02_Actores'!$F$9+'02_Actores'!$F$10+'02_Actores'!$F$11+'02_Actores'!$F$12+'02_Actores'!$F$13+'02_Actores'!$F$14+'02_Actores'!$F$15+'02_Actores'!$F$16+'02_Actores'!$F$17+'02_Actores'!$F$18+'02_Actores'!$F$19)</x:f>
        <x:v>49.895230183912034</x:v>
      </x:c>
      <x:c r="L1295" s="5" t="str">
        <x:v>J programa offset para t+1; efecto sustituible y acotado, sin voto adicional.</x:v>
      </x:c>
    </x:row>
    <x:row r="1296" ht="34" customHeight="1">
      <x:c r="A1296" s="10" t="str">
        <x:v>S3_SALARIO</x:v>
      </x:c>
      <x:c r="B1296" s="10" t="n">
        <x:v>10</x:v>
      </x:c>
      <x:c r="C1296" s="10" t="str">
        <x:v>agro</x:v>
      </x:c>
      <x:c r="D1296" s="10" t="n">
        <x:f>$F$1278</x:f>
        <x:v>45.80611700904464</x:v>
      </x:c>
      <x:c r="E1296" s="10" t="n">
        <x:f>(ABS('03_Sensibilidades'!$C$10)*IF('03_Sensibilidades'!$C$10&lt;0,100-$K$480,$K$480)+ABS('03_Sensibilidades'!$C$11)*IF('03_Sensibilidades'!$C$11&lt;0,100-$K$481,$K$481)+ABS('03_Sensibilidades'!$C$12)*IF('03_Sensibilidades'!$C$12&lt;0,100-$K$488,$K$488)+ABS('03_Sensibilidades'!$C$13)*IF('03_Sensibilidades'!$C$13&lt;0,100-$K$478,$K$478))/(ABS('03_Sensibilidades'!$C$10)+ABS('03_Sensibilidades'!$C$11)+ABS('03_Sensibilidades'!$C$12)+ABS('03_Sensibilidades'!$C$13))</x:f>
        <x:v>45.74057944127446</x:v>
      </x:c>
      <x:c r="F1296" s="10" t="n">
        <x:f>(1-'00_Arquitectura'!$B$95)*D1296+'00_Arquitectura'!$B$95*E1296</x:f>
        <x:v>45.78317886032508</x:v>
      </x:c>
      <x:c r="G1296" s="10" t="n">
        <x:f>'02_Actores'!$I$7</x:f>
        <x:v>45</x:v>
      </x:c>
      <x:c r="H1296" s="10" t="n">
        <x:f>IF(OR(AND(F1296&lt;'00_Arquitectura'!$B$118,G1296&lt;'00_Arquitectura'!$B$119),F1296&lt;'00_Arquitectura'!$B$120),1,0)</x:f>
        <x:v>0</x:v>
      </x:c>
      <x:c r="I1296" s="10" t="n">
        <x:f>IF($I$1278=1,IF(OR(AND(F1296&lt;'00_Arquitectura'!$B$121,G1296&lt;'00_Arquitectura'!$B$122),F1296&lt;'00_Arquitectura'!$B$123),1,0),IF(AND(H1296=1,$H$1278=1),1,0))</x:f>
        <x:v>0</x:v>
      </x:c>
      <x:c r="J1296" s="10" t="n">
        <x:f>-I1296*2*'02_Actores'!$E$7/10</x:f>
        <x:v>0</x:v>
      </x:c>
      <x:c r="K1296" s="10" t="n">
        <x:f>$K$1295</x:f>
        <x:v>49.895230183912034</x:v>
      </x:c>
      <x:c r="L1296" s="10" t="str">
        <x:v>J programa offset para t+1; efecto sustituible y acotado, sin voto adicional.</x:v>
      </x:c>
    </x:row>
    <x:row r="1297" ht="34" customHeight="1">
      <x:c r="A1297" s="5" t="str">
        <x:v>S3_SALARIO</x:v>
      </x:c>
      <x:c r="B1297" s="5" t="n">
        <x:v>10</x:v>
      </x:c>
      <x:c r="C1297" s="5" t="str">
        <x:v>financiero</x:v>
      </x:c>
      <x:c r="D1297" s="5" t="n">
        <x:f>$F$1279</x:f>
        <x:v>51.41179703925948</x:v>
      </x:c>
      <x:c r="E1297" s="5" t="n">
        <x:f>(ABS('03_Sensibilidades'!$C$14)*IF('03_Sensibilidades'!$C$14&lt;0,100-$K$479,$K$479)+ABS('03_Sensibilidades'!$C$15)*IF('03_Sensibilidades'!$C$15&lt;0,100-$K$475,$K$475)+ABS('03_Sensibilidades'!$C$16)*IF('03_Sensibilidades'!$C$16&lt;0,100-$K$478,$K$478)+ABS('03_Sensibilidades'!$C$17)*IF('03_Sensibilidades'!$C$17&lt;0,100-$K$487,$K$487))/(ABS('03_Sensibilidades'!$C$14)+ABS('03_Sensibilidades'!$C$15)+ABS('03_Sensibilidades'!$C$16)+ABS('03_Sensibilidades'!$C$17))</x:f>
        <x:v>50.64943703306065</x:v>
      </x:c>
      <x:c r="F1297" s="5" t="n">
        <x:f>(1-'00_Arquitectura'!$B$95)*D1297+'00_Arquitectura'!$B$95*E1297</x:f>
        <x:v>51.14497103708989</x:v>
      </x:c>
      <x:c r="G1297" s="5" t="n">
        <x:f>'02_Actores'!$I$8</x:f>
        <x:v>45</x:v>
      </x:c>
      <x:c r="H1297" s="5" t="n">
        <x:f>IF(OR(AND(F1297&lt;'00_Arquitectura'!$B$118,G1297&lt;'00_Arquitectura'!$B$119),F1297&lt;'00_Arquitectura'!$B$120),1,0)</x:f>
        <x:v>0</x:v>
      </x:c>
      <x:c r="I1297" s="5" t="n">
        <x:f>IF($I$1279=1,IF(OR(AND(F1297&lt;'00_Arquitectura'!$B$121,G1297&lt;'00_Arquitectura'!$B$122),F1297&lt;'00_Arquitectura'!$B$123),1,0),IF(AND(H1297=1,$H$1279=1),1,0))</x:f>
        <x:v>0</x:v>
      </x:c>
      <x:c r="J1297" s="5" t="n">
        <x:f>-I1297*2*'02_Actores'!$E$8/10</x:f>
        <x:v>0</x:v>
      </x:c>
      <x:c r="K1297" s="5" t="n">
        <x:f>$K$1295</x:f>
        <x:v>49.895230183912034</x:v>
      </x:c>
      <x:c r="L1297" s="5" t="str">
        <x:v>J programa offset para t+1; efecto sustituible y acotado, sin voto adicional.</x:v>
      </x:c>
    </x:row>
    <x:row r="1298" ht="34" customHeight="1">
      <x:c r="A1298" s="10" t="str">
        <x:v>S3_SALARIO</x:v>
      </x:c>
      <x:c r="B1298" s="10" t="n">
        <x:v>10</x:v>
      </x:c>
      <x:c r="C1298" s="10" t="str">
        <x:v>sindicatos</x:v>
      </x:c>
      <x:c r="D1298" s="10" t="n">
        <x:f>$F$1280</x:f>
        <x:v>50.996205288054725</x:v>
      </x:c>
      <x:c r="E1298" s="10" t="n">
        <x:f>(ABS('03_Sensibilidades'!$C$18)*IF('03_Sensibilidades'!$C$18&lt;0,100-$K$477,$K$477)+ABS('03_Sensibilidades'!$C$19)*IF('03_Sensibilidades'!$C$19&lt;0,100-$K$476,$K$476)+ABS('03_Sensibilidades'!$C$20)*IF('03_Sensibilidades'!$C$20&lt;0,100-$K$484,$K$484)+ABS('03_Sensibilidades'!$C$21)*IF('03_Sensibilidades'!$C$21&lt;0,100-$K$487,$K$487))/(ABS('03_Sensibilidades'!$C$18)+ABS('03_Sensibilidades'!$C$19)+ABS('03_Sensibilidades'!$C$20)+ABS('03_Sensibilidades'!$C$21))</x:f>
        <x:v>51.33186419049793</x:v>
      </x:c>
      <x:c r="F1298" s="10" t="n">
        <x:f>(1-'00_Arquitectura'!$B$95)*D1298+'00_Arquitectura'!$B$95*E1298</x:f>
        <x:v>51.11368590390985</x:v>
      </x:c>
      <x:c r="G1298" s="10" t="n">
        <x:f>'02_Actores'!$I$9</x:f>
        <x:v>45</x:v>
      </x:c>
      <x:c r="H1298" s="10" t="n">
        <x:f>IF(OR(AND(F1298&lt;'00_Arquitectura'!$B$118,G1298&lt;'00_Arquitectura'!$B$119),F1298&lt;'00_Arquitectura'!$B$120),1,0)</x:f>
        <x:v>0</x:v>
      </x:c>
      <x:c r="I1298" s="10" t="n">
        <x:f>IF($I$1280=1,IF(OR(AND(F1298&lt;'00_Arquitectura'!$B$121,G1298&lt;'00_Arquitectura'!$B$122),F1298&lt;'00_Arquitectura'!$B$123),1,0),IF(AND(H1298=1,$H$1280=1),1,0))</x:f>
        <x:v>0</x:v>
      </x:c>
      <x:c r="J1298" s="10" t="n">
        <x:f>-I1298*2*'02_Actores'!$E$9/10</x:f>
        <x:v>0</x:v>
      </x:c>
      <x:c r="K1298" s="10" t="n">
        <x:f>$K$1295</x:f>
        <x:v>49.895230183912034</x:v>
      </x:c>
      <x:c r="L1298" s="10" t="str">
        <x:v>J programa offset para t+1; efecto sustituible y acotado, sin voto adicional.</x:v>
      </x:c>
    </x:row>
    <x:row r="1299" ht="34" customHeight="1">
      <x:c r="A1299" s="5" t="str">
        <x:v>S3_SALARIO</x:v>
      </x:c>
      <x:c r="B1299" s="5" t="n">
        <x:v>10</x:v>
      </x:c>
      <x:c r="C1299" s="5" t="str">
        <x:v>pymes</x:v>
      </x:c>
      <x:c r="D1299" s="5" t="n">
        <x:f>$F$1281</x:f>
        <x:v>48.95201463577034</x:v>
      </x:c>
      <x:c r="E1299" s="5" t="n">
        <x:f>(ABS('03_Sensibilidades'!$C$22)*IF('03_Sensibilidades'!$C$22&lt;0,100-$K$478,$K$478)+ABS('03_Sensibilidades'!$C$23)*IF('03_Sensibilidades'!$C$23&lt;0,100-$K$476,$K$476)+ABS('03_Sensibilidades'!$C$24)*IF('03_Sensibilidades'!$C$24&lt;0,100-$K$481,$K$481)+ABS('03_Sensibilidades'!$C$25)*IF('03_Sensibilidades'!$C$25&lt;0,100-$K$475,$K$475))/(ABS('03_Sensibilidades'!$C$22)+ABS('03_Sensibilidades'!$C$23)+ABS('03_Sensibilidades'!$C$24)+ABS('03_Sensibilidades'!$C$25))</x:f>
        <x:v>48.80152725311069</x:v>
      </x:c>
      <x:c r="F1299" s="5" t="n">
        <x:f>(1-'00_Arquitectura'!$B$95)*D1299+'00_Arquitectura'!$B$95*E1299</x:f>
        <x:v>48.89934405183946</x:v>
      </x:c>
      <x:c r="G1299" s="5" t="n">
        <x:f>'02_Actores'!$I$10</x:f>
        <x:v>45</x:v>
      </x:c>
      <x:c r="H1299" s="5" t="n">
        <x:f>IF(OR(AND(F1299&lt;'00_Arquitectura'!$B$118,G1299&lt;'00_Arquitectura'!$B$119),F1299&lt;'00_Arquitectura'!$B$120),1,0)</x:f>
        <x:v>0</x:v>
      </x:c>
      <x:c r="I1299" s="5" t="n">
        <x:f>IF($I$1281=1,IF(OR(AND(F1299&lt;'00_Arquitectura'!$B$121,G1299&lt;'00_Arquitectura'!$B$122),F1299&lt;'00_Arquitectura'!$B$123),1,0),IF(AND(H1299=1,$H$1281=1),1,0))</x:f>
        <x:v>0</x:v>
      </x:c>
      <x:c r="J1299" s="5" t="n">
        <x:f>-I1299*2*'02_Actores'!$E$10/10</x:f>
        <x:v>0</x:v>
      </x:c>
      <x:c r="K1299" s="5" t="n">
        <x:f>$K$1295</x:f>
        <x:v>49.895230183912034</x:v>
      </x:c>
      <x:c r="L1299" s="5" t="str">
        <x:v>J programa offset para t+1; efecto sustituible y acotado, sin voto adicional.</x:v>
      </x:c>
    </x:row>
    <x:row r="1300" ht="34" customHeight="1">
      <x:c r="A1300" s="10" t="str">
        <x:v>S3_SALARIO</x:v>
      </x:c>
      <x:c r="B1300" s="10" t="n">
        <x:v>10</x:v>
      </x:c>
      <x:c r="C1300" s="10" t="str">
        <x:v>clase_media</x:v>
      </x:c>
      <x:c r="D1300" s="10" t="n">
        <x:f>$F$1282</x:f>
        <x:v>51.645336348990625</x:v>
      </x:c>
      <x:c r="E1300" s="10" t="n">
        <x:f>(ABS('03_Sensibilidades'!$C$26)*IF('03_Sensibilidades'!$C$26&lt;0,100-$K$477,$K$477)+ABS('03_Sensibilidades'!$C$27)*IF('03_Sensibilidades'!$C$27&lt;0,100-$K$485,$K$485)+ABS('03_Sensibilidades'!$C$28)*IF('03_Sensibilidades'!$C$28&lt;0,100-$K$482,$K$482)+ABS('03_Sensibilidades'!$C$29)*IF('03_Sensibilidades'!$C$29&lt;0,100-$K$475,$K$475))/(ABS('03_Sensibilidades'!$C$26)+ABS('03_Sensibilidades'!$C$27)+ABS('03_Sensibilidades'!$C$28)+ABS('03_Sensibilidades'!$C$29))</x:f>
        <x:v>52.03156369983704</x:v>
      </x:c>
      <x:c r="F1300" s="10" t="n">
        <x:f>(1-'00_Arquitectura'!$B$95)*D1300+'00_Arquitectura'!$B$95*E1300</x:f>
        <x:v>51.78051592178687</x:v>
      </x:c>
      <x:c r="G1300" s="10" t="n">
        <x:f>'02_Actores'!$I$11</x:f>
        <x:v>45</x:v>
      </x:c>
      <x:c r="H1300" s="10" t="n">
        <x:f>IF(OR(AND(F1300&lt;'00_Arquitectura'!$B$118,G1300&lt;'00_Arquitectura'!$B$119),F1300&lt;'00_Arquitectura'!$B$120),1,0)</x:f>
        <x:v>0</x:v>
      </x:c>
      <x:c r="I1300" s="10" t="n">
        <x:f>IF($I$1282=1,IF(OR(AND(F1300&lt;'00_Arquitectura'!$B$121,G1300&lt;'00_Arquitectura'!$B$122),F1300&lt;'00_Arquitectura'!$B$123),1,0),IF(AND(H1300=1,$H$1282=1),1,0))</x:f>
        <x:v>0</x:v>
      </x:c>
      <x:c r="J1300" s="10" t="n">
        <x:f>0</x:f>
        <x:v>0</x:v>
      </x:c>
      <x:c r="K1300" s="10" t="n">
        <x:f>$K$1295</x:f>
        <x:v>49.895230183912034</x:v>
      </x:c>
      <x:c r="L1300" s="10" t="str">
        <x:v>Canal directo sólo al índice social; sin bono de popularidad.</x:v>
      </x:c>
    </x:row>
    <x:row r="1301" ht="34" customHeight="1">
      <x:c r="A1301" s="5" t="str">
        <x:v>S3_SALARIO</x:v>
      </x:c>
      <x:c r="B1301" s="5" t="n">
        <x:v>10</x:v>
      </x:c>
      <x:c r="C1301" s="5" t="str">
        <x:v>cooperativas</x:v>
      </x:c>
      <x:c r="D1301" s="5" t="n">
        <x:f>$F$1283</x:f>
        <x:v>47.63645754858778</x:v>
      </x:c>
      <x:c r="E1301" s="5" t="n">
        <x:f>(ABS('03_Sensibilidades'!$C$30)*IF('03_Sensibilidades'!$C$30&lt;0,100-$K$478,$K$478)+ABS('03_Sensibilidades'!$C$31)*IF('03_Sensibilidades'!$C$31&lt;0,100-$K$476,$K$476)+ABS('03_Sensibilidades'!$C$32)*IF('03_Sensibilidades'!$C$32&lt;0,100-$K$484,$K$484)+ABS('03_Sensibilidades'!$C$33)*IF('03_Sensibilidades'!$C$33&lt;0,100-$K$487,$K$487))/(ABS('03_Sensibilidades'!$C$30)+ABS('03_Sensibilidades'!$C$31)+ABS('03_Sensibilidades'!$C$32)+ABS('03_Sensibilidades'!$C$33))</x:f>
        <x:v>47.52131406701033</x:v>
      </x:c>
      <x:c r="F1301" s="5" t="n">
        <x:f>(1-'00_Arquitectura'!$B$95)*D1301+'00_Arquitectura'!$B$95*E1301</x:f>
        <x:v>47.596157330035666</x:v>
      </x:c>
      <x:c r="G1301" s="5" t="n">
        <x:f>'02_Actores'!$I$12</x:f>
        <x:v>45</x:v>
      </x:c>
      <x:c r="H1301" s="5" t="n">
        <x:f>IF(OR(AND(F1301&lt;'00_Arquitectura'!$B$118,G1301&lt;'00_Arquitectura'!$B$119),F1301&lt;'00_Arquitectura'!$B$120),1,0)</x:f>
        <x:v>0</x:v>
      </x:c>
      <x:c r="I1301" s="5" t="n">
        <x:f>IF($I$1283=1,IF(OR(AND(F1301&lt;'00_Arquitectura'!$B$121,G1301&lt;'00_Arquitectura'!$B$122),F1301&lt;'00_Arquitectura'!$B$123),1,0),IF(AND(H1301=1,$H$1283=1),1,0))</x:f>
        <x:v>0</x:v>
      </x:c>
      <x:c r="J1301" s="5" t="n">
        <x:f>-I1301*1.5*'02_Actores'!$E$12/10</x:f>
        <x:v>0</x:v>
      </x:c>
      <x:c r="K1301" s="5" t="n">
        <x:f>$K$1295</x:f>
        <x:v>49.895230183912034</x:v>
      </x:c>
      <x:c r="L1301" s="5" t="str">
        <x:v>J programa offset para t+1; efecto sustituible y acotado, sin voto adicional.</x:v>
      </x:c>
    </x:row>
    <x:row r="1302" ht="42" customHeight="1">
      <x:c r="A1302" s="10" t="str">
        <x:v>S3_SALARIO</x:v>
      </x:c>
      <x:c r="B1302" s="10" t="n">
        <x:v>10</x:v>
      </x:c>
      <x:c r="C1302" s="10" t="str">
        <x:v>estudiantes</x:v>
      </x:c>
      <x:c r="D1302" s="10" t="n">
        <x:f>$F$1284</x:f>
        <x:v>50.988481628454934</x:v>
      </x:c>
      <x:c r="E1302" s="10" t="n">
        <x:f>(ABS('03_Sensibilidades'!$C$34)*IF('03_Sensibilidades'!$C$34&lt;0,100-$K$482,$K$482)+ABS('03_Sensibilidades'!$C$35)*IF('03_Sensibilidades'!$C$35&lt;0,100-$K$477,$K$477)+ABS('03_Sensibilidades'!$C$36)*IF('03_Sensibilidades'!$C$36&lt;0,100-$K$487,$K$487)+ABS('03_Sensibilidades'!$C$37)*IF('03_Sensibilidades'!$C$37&lt;0,100-$K$486,$K$486))/(ABS('03_Sensibilidades'!$C$34)+ABS('03_Sensibilidades'!$C$35)+ABS('03_Sensibilidades'!$C$36)+ABS('03_Sensibilidades'!$C$37))</x:f>
        <x:v>51.197044397911995</x:v>
      </x:c>
      <x:c r="F1302" s="10" t="n">
        <x:f>(1-'00_Arquitectura'!$B$95)*D1302+'00_Arquitectura'!$B$95*E1302</x:f>
        <x:v>51.0614785977649</x:v>
      </x:c>
      <x:c r="G1302" s="10" t="n">
        <x:f>'02_Actores'!$I$13</x:f>
        <x:v>45</x:v>
      </x:c>
      <x:c r="H1302" s="10" t="n">
        <x:f>IF(OR(AND(F1302&lt;'00_Arquitectura'!$B$118,G1302&lt;'00_Arquitectura'!$B$119),F1302&lt;'00_Arquitectura'!$B$120),1,0)</x:f>
        <x:v>0</x:v>
      </x:c>
      <x:c r="I1302" s="10" t="n">
        <x:f>IF($I$1284=1,IF(OR(AND(F1302&lt;'00_Arquitectura'!$B$121,G1302&lt;'00_Arquitectura'!$B$122),F1302&lt;'00_Arquitectura'!$B$123),1,0),IF(AND(H1302=1,$H$1284=1),1,0))</x:f>
        <x:v>0</x:v>
      </x:c>
      <x:c r="J1302" s="10" t="n">
        <x:f>0</x:f>
        <x:v>0</x:v>
      </x:c>
      <x:c r="K1302" s="10" t="n">
        <x:f>$K$1295</x:f>
        <x:v>49.895230183912034</x:v>
      </x:c>
      <x:c r="L1302" s="10" t="str">
        <x:v>Conflicto activo captura menor eficacia en políticas ejecutadas en t+1. Magnitud0 en J: no es un offset directo de indicador.</x:v>
      </x:c>
    </x:row>
    <x:row r="1303" ht="34" customHeight="1">
      <x:c r="A1303" s="5" t="str">
        <x:v>S3_SALARIO</x:v>
      </x:c>
      <x:c r="B1303" s="5" t="n">
        <x:v>10</x:v>
      </x:c>
      <x:c r="C1303" s="5" t="str">
        <x:v>docentes</x:v>
      </x:c>
      <x:c r="D1303" s="5" t="n">
        <x:f>$F$1285</x:f>
        <x:v>52.412246664368354</x:v>
      </x:c>
      <x:c r="E1303" s="5" t="n">
        <x:f>(ABS('03_Sensibilidades'!$C$38)*IF('03_Sensibilidades'!$C$38&lt;0,100-$K$482,$K$482)+ABS('03_Sensibilidades'!$C$39)*IF('03_Sensibilidades'!$C$39&lt;0,100-$K$477,$K$477)+ABS('03_Sensibilidades'!$C$40)*IF('03_Sensibilidades'!$C$40&lt;0,100-$K$487,$K$487))/(ABS('03_Sensibilidades'!$C$38)+ABS('03_Sensibilidades'!$C$39)+ABS('03_Sensibilidades'!$C$40))</x:f>
        <x:v>52.820304256784354</x:v>
      </x:c>
      <x:c r="F1303" s="5" t="n">
        <x:f>(1-'00_Arquitectura'!$B$95)*D1303+'00_Arquitectura'!$B$95*E1303</x:f>
        <x:v>52.55506682171395</x:v>
      </x:c>
      <x:c r="G1303" s="5" t="n">
        <x:f>'02_Actores'!$I$14</x:f>
        <x:v>45</x:v>
      </x:c>
      <x:c r="H1303" s="5" t="n">
        <x:f>IF(OR(AND(F1303&lt;'00_Arquitectura'!$B$118,G1303&lt;'00_Arquitectura'!$B$119),F1303&lt;'00_Arquitectura'!$B$120),1,0)</x:f>
        <x:v>0</x:v>
      </x:c>
      <x:c r="I1303" s="5" t="n">
        <x:f>IF($I$1285=1,IF(OR(AND(F1303&lt;'00_Arquitectura'!$B$121,G1303&lt;'00_Arquitectura'!$B$122),F1303&lt;'00_Arquitectura'!$B$123),1,0),IF(AND(H1303=1,$H$1285=1),1,0))</x:f>
        <x:v>0</x:v>
      </x:c>
      <x:c r="J1303" s="5" t="n">
        <x:f>-I1303*1.5*'02_Actores'!$E$14/10</x:f>
        <x:v>0</x:v>
      </x:c>
      <x:c r="K1303" s="5" t="n">
        <x:f>$K$1295</x:f>
        <x:v>49.895230183912034</x:v>
      </x:c>
      <x:c r="L1303" s="5" t="str">
        <x:v>J programa offset para t+1; efecto sustituible y acotado, sin voto adicional.</x:v>
      </x:c>
    </x:row>
    <x:row r="1304" ht="34" customHeight="1">
      <x:c r="A1304" s="10" t="str">
        <x:v>S3_SALARIO</x:v>
      </x:c>
      <x:c r="B1304" s="10" t="n">
        <x:v>10</x:v>
      </x:c>
      <x:c r="C1304" s="10" t="str">
        <x:v>cientificos</x:v>
      </x:c>
      <x:c r="D1304" s="10" t="n">
        <x:f>$F$1286</x:f>
        <x:v>46.59090909090909</x:v>
      </x:c>
      <x:c r="E1304" s="10" t="n">
        <x:f>(ABS('03_Sensibilidades'!$C$41)*IF('03_Sensibilidades'!$C$41&lt;0,100-$K$486,$K$486)+ABS('03_Sensibilidades'!$C$42)*IF('03_Sensibilidades'!$C$42&lt;0,100-$K$482,$K$482)+ABS('03_Sensibilidades'!$C$43)*IF('03_Sensibilidades'!$C$43&lt;0,100-$K$487,$K$487))/(ABS('03_Sensibilidades'!$C$41)+ABS('03_Sensibilidades'!$C$42)+ABS('03_Sensibilidades'!$C$43))</x:f>
        <x:v>46.59090909090909</x:v>
      </x:c>
      <x:c r="F1304" s="10" t="n">
        <x:f>(1-'00_Arquitectura'!$B$95)*D1304+'00_Arquitectura'!$B$95*E1304</x:f>
        <x:v>46.59090909090909</x:v>
      </x:c>
      <x:c r="G1304" s="10" t="n">
        <x:f>'02_Actores'!$I$15</x:f>
        <x:v>45</x:v>
      </x:c>
      <x:c r="H1304" s="10" t="n">
        <x:f>IF(OR(AND(F1304&lt;'00_Arquitectura'!$B$118,G1304&lt;'00_Arquitectura'!$B$119),F1304&lt;'00_Arquitectura'!$B$120),1,0)</x:f>
        <x:v>0</x:v>
      </x:c>
      <x:c r="I1304" s="10" t="n">
        <x:f>IF($I$1286=1,IF(OR(AND(F1304&lt;'00_Arquitectura'!$B$121,G1304&lt;'00_Arquitectura'!$B$122),F1304&lt;'00_Arquitectura'!$B$123),1,0),IF(AND(H1304=1,$H$1286=1),1,0))</x:f>
        <x:v>0</x:v>
      </x:c>
      <x:c r="J1304" s="10" t="n">
        <x:f>-I1304*1.5*'02_Actores'!$E$15/10</x:f>
        <x:v>0</x:v>
      </x:c>
      <x:c r="K1304" s="10" t="n">
        <x:f>$K$1295</x:f>
        <x:v>49.895230183912034</x:v>
      </x:c>
      <x:c r="L1304" s="10" t="str">
        <x:v>J programa offset para t+1; efecto sustituible y acotado, sin voto adicional.</x:v>
      </x:c>
    </x:row>
    <x:row r="1305" ht="34" customHeight="1">
      <x:c r="A1305" s="5" t="str">
        <x:v>S3_SALARIO</x:v>
      </x:c>
      <x:c r="B1305" s="5" t="n">
        <x:v>10</x:v>
      </x:c>
      <x:c r="C1305" s="5" t="str">
        <x:v>organizaciones</x:v>
      </x:c>
      <x:c r="D1305" s="5" t="n">
        <x:f>$F$1287</x:f>
        <x:v>49.094425522162865</x:v>
      </x:c>
      <x:c r="E1305" s="5" t="n">
        <x:f>(ABS('03_Sensibilidades'!$C$44)*IF('03_Sensibilidades'!$C$44&lt;0,100-$K$484,$K$484)+ABS('03_Sensibilidades'!$C$45)*IF('03_Sensibilidades'!$C$45&lt;0,100-$K$483,$K$483)+ABS('03_Sensibilidades'!$C$46)*IF('03_Sensibilidades'!$C$46&lt;0,100-$K$476,$K$476)+ABS('03_Sensibilidades'!$C$47)*IF('03_Sensibilidades'!$C$47&lt;0,100-$K$487,$K$487))/(ABS('03_Sensibilidades'!$C$44)+ABS('03_Sensibilidades'!$C$45)+ABS('03_Sensibilidades'!$C$46)+ABS('03_Sensibilidades'!$C$47))</x:f>
        <x:v>49.077900991162856</x:v>
      </x:c>
      <x:c r="F1305" s="5" t="n">
        <x:f>(1-'00_Arquitectura'!$B$95)*D1305+'00_Arquitectura'!$B$95*E1305</x:f>
        <x:v>49.08864193631287</x:v>
      </x:c>
      <x:c r="G1305" s="5" t="n">
        <x:f>'02_Actores'!$I$16</x:f>
        <x:v>45</x:v>
      </x:c>
      <x:c r="H1305" s="5" t="n">
        <x:f>IF(OR(AND(F1305&lt;'00_Arquitectura'!$B$118,G1305&lt;'00_Arquitectura'!$B$119),F1305&lt;'00_Arquitectura'!$B$120),1,0)</x:f>
        <x:v>0</x:v>
      </x:c>
      <x:c r="I1305" s="5" t="n">
        <x:f>IF($I$1287=1,IF(OR(AND(F1305&lt;'00_Arquitectura'!$B$121,G1305&lt;'00_Arquitectura'!$B$122),F1305&lt;'00_Arquitectura'!$B$123),1,0),IF(AND(H1305=1,$H$1287=1),1,0))</x:f>
        <x:v>0</x:v>
      </x:c>
      <x:c r="J1305" s="5" t="n">
        <x:f>-I1305*1.5*'02_Actores'!$E$16/10</x:f>
        <x:v>0</x:v>
      </x:c>
      <x:c r="K1305" s="5" t="n">
        <x:f>$K$1295</x:f>
        <x:v>49.895230183912034</x:v>
      </x:c>
      <x:c r="L1305" s="5" t="str">
        <x:v>J programa offset para t+1; efecto sustituible y acotado, sin voto adicional.</x:v>
      </x:c>
    </x:row>
    <x:row r="1306" ht="42" customHeight="1">
      <x:c r="A1306" s="10" t="str">
        <x:v>S3_SALARIO</x:v>
      </x:c>
      <x:c r="B1306" s="10" t="n">
        <x:v>10</x:v>
      </x:c>
      <x:c r="C1306" s="10" t="str">
        <x:v>ddhh</x:v>
      </x:c>
      <x:c r="D1306" s="10" t="n">
        <x:f>$F$1288</x:f>
        <x:v>50.88235294117648</x:v>
      </x:c>
      <x:c r="E1306" s="10" t="n">
        <x:f>(ABS('03_Sensibilidades'!$C$48)*IF('03_Sensibilidades'!$C$48&lt;0,100-$K$487,$K$487)+ABS('03_Sensibilidades'!$C$49)*IF('03_Sensibilidades'!$C$49&lt;0,100-$K$485,$K$485)+ABS('03_Sensibilidades'!$C$50)*IF('03_Sensibilidades'!$C$50&lt;0,100-$K$484,$K$484))/(ABS('03_Sensibilidades'!$C$48)+ABS('03_Sensibilidades'!$C$49)+ABS('03_Sensibilidades'!$C$50))</x:f>
        <x:v>50.88235294117647</x:v>
      </x:c>
      <x:c r="F1306" s="10" t="n">
        <x:f>(1-'00_Arquitectura'!$B$95)*D1306+'00_Arquitectura'!$B$95*E1306</x:f>
        <x:v>50.88235294117648</x:v>
      </x:c>
      <x:c r="G1306" s="10" t="n">
        <x:f>'02_Actores'!$I$17</x:f>
        <x:v>45</x:v>
      </x:c>
      <x:c r="H1306" s="10" t="n">
        <x:f>IF(OR(AND(F1306&lt;'00_Arquitectura'!$B$118,G1306&lt;'00_Arquitectura'!$B$119),F1306&lt;'00_Arquitectura'!$B$120),1,0)</x:f>
        <x:v>0</x:v>
      </x:c>
      <x:c r="I1306" s="10" t="n">
        <x:f>IF($I$1288=1,IF(OR(AND(F1306&lt;'00_Arquitectura'!$B$121,G1306&lt;'00_Arquitectura'!$B$122),F1306&lt;'00_Arquitectura'!$B$123),1,0),IF(AND(H1306=1,$H$1288=1),1,0))</x:f>
        <x:v>0</x:v>
      </x:c>
      <x:c r="J1306" s="10" t="n">
        <x:f>0</x:f>
        <x:v>0</x:v>
      </x:c>
      <x:c r="K1306" s="10" t="n">
        <x:f>$K$1295</x:f>
        <x:v>49.895230183912034</x:v>
      </x:c>
      <x:c r="L1306" s="10" t="str">
        <x:v>Conflicto activo captura menor eficacia en políticas ejecutadas en t+1. Magnitud0 en J: no es un offset directo de indicador.</x:v>
      </x:c>
    </x:row>
    <x:row r="1307" ht="42" customHeight="1">
      <x:c r="A1307" s="5" t="str">
        <x:v>S3_SALARIO</x:v>
      </x:c>
      <x:c r="B1307" s="5" t="n">
        <x:v>10</x:v>
      </x:c>
      <x:c r="C1307" s="5" t="str">
        <x:v>ambientalistas</x:v>
      </x:c>
      <x:c r="D1307" s="5" t="n">
        <x:f>$F$1289</x:f>
        <x:v>51.388888888888886</x:v>
      </x:c>
      <x:c r="E1307" s="5" t="n">
        <x:f>(ABS('03_Sensibilidades'!$C$51)*IF('03_Sensibilidades'!$C$51&lt;0,100-$K$488,$K$488)+ABS('03_Sensibilidades'!$C$52)*IF('03_Sensibilidades'!$C$52&lt;0,100-$K$487,$K$487)+ABS('03_Sensibilidades'!$C$53)*IF('03_Sensibilidades'!$C$53&lt;0,100-$K$483,$K$483))/(ABS('03_Sensibilidades'!$C$51)+ABS('03_Sensibilidades'!$C$52)+ABS('03_Sensibilidades'!$C$53))</x:f>
        <x:v>51.388888888888886</x:v>
      </x:c>
      <x:c r="F1307" s="5" t="n">
        <x:f>(1-'00_Arquitectura'!$B$95)*D1307+'00_Arquitectura'!$B$95*E1307</x:f>
        <x:v>51.388888888888886</x:v>
      </x:c>
      <x:c r="G1307" s="5" t="n">
        <x:f>'02_Actores'!$I$18</x:f>
        <x:v>45</x:v>
      </x:c>
      <x:c r="H1307" s="5" t="n">
        <x:f>IF(OR(AND(F1307&lt;'00_Arquitectura'!$B$118,G1307&lt;'00_Arquitectura'!$B$119),F1307&lt;'00_Arquitectura'!$B$120),1,0)</x:f>
        <x:v>0</x:v>
      </x:c>
      <x:c r="I1307" s="5" t="n">
        <x:f>IF($I$1289=1,IF(OR(AND(F1307&lt;'00_Arquitectura'!$B$121,G1307&lt;'00_Arquitectura'!$B$122),F1307&lt;'00_Arquitectura'!$B$123),1,0),IF(AND(H1307=1,$H$1289=1),1,0))</x:f>
        <x:v>0</x:v>
      </x:c>
      <x:c r="J1307" s="5" t="n">
        <x:f>0</x:f>
        <x:v>0</x:v>
      </x:c>
      <x:c r="K1307" s="5" t="n">
        <x:f>$K$1295</x:f>
        <x:v>49.895230183912034</x:v>
      </x:c>
      <x:c r="L1307" s="5" t="str">
        <x:v>Conflicto activo captura menor eficacia en políticas ejecutadas en t+1. Magnitud0 en J: no es un offset directo de indicador.</x:v>
      </x:c>
    </x:row>
    <x:row r="1308" ht="34" customHeight="1">
      <x:c r="A1308" s="10" t="str">
        <x:v>S3_SALARIO</x:v>
      </x:c>
      <x:c r="B1308" s="10" t="n">
        <x:v>10</x:v>
      </x:c>
      <x:c r="C1308" s="10" t="str">
        <x:v>cultura</x:v>
      </x:c>
      <x:c r="D1308" s="10" t="n">
        <x:f>$F$1290</x:f>
        <x:v>53.14273898480913</x:v>
      </x:c>
      <x:c r="E1308" s="10" t="n">
        <x:f>(ABS('03_Sensibilidades'!$C$54)*IF('03_Sensibilidades'!$C$54&lt;0,100-$K$487,$K$487)+ABS('03_Sensibilidades'!$C$55)*IF('03_Sensibilidades'!$C$55&lt;0,100-$K$482,$K$482)+ABS('03_Sensibilidades'!$C$56)*IF('03_Sensibilidades'!$C$56&lt;0,100-$K$477,$K$477))/(ABS('03_Sensibilidades'!$C$54)+ABS('03_Sensibilidades'!$C$55)+ABS('03_Sensibilidades'!$C$56))</x:f>
        <x:v>53.41716368146316</x:v>
      </x:c>
      <x:c r="F1308" s="10" t="n">
        <x:f>(1-'00_Arquitectura'!$B$95)*D1308+'00_Arquitectura'!$B$95*E1308</x:f>
        <x:v>53.238787628638036</x:v>
      </x:c>
      <x:c r="G1308" s="10" t="n">
        <x:f>'02_Actores'!$I$19</x:f>
        <x:v>45</x:v>
      </x:c>
      <x:c r="H1308" s="10" t="n">
        <x:f>IF(OR(AND(F1308&lt;'00_Arquitectura'!$B$118,G1308&lt;'00_Arquitectura'!$B$119),F1308&lt;'00_Arquitectura'!$B$120),1,0)</x:f>
        <x:v>0</x:v>
      </x:c>
      <x:c r="I1308" s="10" t="n">
        <x:f>IF($I$1290=1,IF(OR(AND(F1308&lt;'00_Arquitectura'!$B$121,G1308&lt;'00_Arquitectura'!$B$122),F1308&lt;'00_Arquitectura'!$B$123),1,0),IF(AND(H1308=1,$H$1290=1),1,0))</x:f>
        <x:v>0</x:v>
      </x:c>
      <x:c r="J1308" s="10" t="n">
        <x:f>0</x:f>
        <x:v>0</x:v>
      </x:c>
      <x:c r="K1308" s="10" t="n">
        <x:f>$K$1295</x:f>
        <x:v>49.895230183912034</x:v>
      </x:c>
      <x:c r="L1308" s="10" t="str">
        <x:v>Conflicto activo encarece agenda del turno siguiente; sin castigo electoral adicional.</x:v>
      </x:c>
    </x:row>
    <x:row r="1309" ht="34" customHeight="1">
      <x:c r="A1309" s="5" t="str">
        <x:v>S3_SALARIO</x:v>
      </x:c>
      <x:c r="B1309" s="5" t="n">
        <x:v>10</x:v>
      </x:c>
      <x:c r="C1309" s="5" t="str">
        <x:v>oficialismo</x:v>
      </x:c>
      <x:c r="D1309" s="5" t="n">
        <x:f>$F$1291</x:f>
        <x:v>49.6852246369786</x:v>
      </x:c>
      <x:c r="E1309" s="5" t="n">
        <x:f>(ABS('03_Sensibilidades'!$C$57)*IF('03_Sensibilidades'!$C$57&lt;0,100-$K$487,$K$487)+ABS('03_Sensibilidades'!$C$58)*IF('03_Sensibilidades'!$C$58&lt;0,100-$K$476,$K$476)+ABS('03_Sensibilidades'!$C$59)*IF('03_Sensibilidades'!$C$59&lt;0,100-$K$479,$K$479)+ABS('03_Sensibilidades'!$C$60)*IF('03_Sensibilidades'!$C$60&lt;0,100-$K$484,$K$484))/(ABS('03_Sensibilidades'!$C$57)+ABS('03_Sensibilidades'!$C$58)+ABS('03_Sensibilidades'!$C$59)+ABS('03_Sensibilidades'!$C$60))</x:f>
        <x:v>49.19160318346239</x:v>
      </x:c>
      <x:c r="F1309" s="5" t="n">
        <x:f>(1-'00_Arquitectura'!$B$95)*D1309+'00_Arquitectura'!$B$95*E1309</x:f>
        <x:v>49.51245712824793</x:v>
      </x:c>
      <x:c r="G1309" s="5" t="n">
        <x:f>'02_Actores'!$I$20</x:f>
        <x:v>60</x:v>
      </x:c>
      <x:c r="H1309" s="5" t="n">
        <x:f>IF(OR(AND(F1309&lt;'00_Arquitectura'!$B$118,G1309&lt;'00_Arquitectura'!$B$119),F1309&lt;'00_Arquitectura'!$B$120),1,0)</x:f>
        <x:v>0</x:v>
      </x:c>
      <x:c r="I1309" s="5" t="n">
        <x:f>IF($I$1291=1,IF(OR(AND(F1309&lt;'00_Arquitectura'!$B$121,G1309&lt;'00_Arquitectura'!$B$122),F1309&lt;'00_Arquitectura'!$B$123),1,0),IF(AND(H1309=1,$H$1291=1),1,0))</x:f>
        <x:v>0</x:v>
      </x:c>
      <x:c r="J1309" s="5" t="n">
        <x:f>0</x:f>
        <x:v>0</x:v>
      </x:c>
      <x:c r="K1309" s="5" t="n">
        <x:f>$K$1295</x:f>
        <x:v>49.895230183912034</x:v>
      </x:c>
      <x:c r="L1309" s="5" t="str">
        <x:v>No aporta E_social; S y R alimentan disposición a leyes según07.</x:v>
      </x:c>
    </x:row>
    <x:row r="1310" ht="34" customHeight="1">
      <x:c r="A1310" s="10" t="str">
        <x:v>S3_SALARIO</x:v>
      </x:c>
      <x:c r="B1310" s="10" t="n">
        <x:v>10</x:v>
      </x:c>
      <x:c r="C1310" s="10" t="str">
        <x:v>aliados</x:v>
      </x:c>
      <x:c r="D1310" s="10" t="n">
        <x:f>$F$1292</x:f>
        <x:v>49.78760138898964</x:v>
      </x:c>
      <x:c r="E1310" s="10" t="n">
        <x:f>(ABS('03_Sensibilidades'!$C$61)*IF('03_Sensibilidades'!$C$61&lt;0,100-$K$487,$K$487)+ABS('03_Sensibilidades'!$C$62)*IF('03_Sensibilidades'!$C$62&lt;0,100-$K$479,$K$479)+ABS('03_Sensibilidades'!$C$63)*IF('03_Sensibilidades'!$C$63&lt;0,100-$K$481,$K$481))/(ABS('03_Sensibilidades'!$C$61)+ABS('03_Sensibilidades'!$C$62)+ABS('03_Sensibilidades'!$C$63))</x:f>
        <x:v>49.136289138217144</x:v>
      </x:c>
      <x:c r="F1310" s="10" t="n">
        <x:f>(1-'00_Arquitectura'!$B$95)*D1310+'00_Arquitectura'!$B$95*E1310</x:f>
        <x:v>49.55964210121927</x:v>
      </x:c>
      <x:c r="G1310" s="10" t="n">
        <x:f>'02_Actores'!$I$21</x:f>
        <x:v>45</x:v>
      </x:c>
      <x:c r="H1310" s="10" t="n">
        <x:f>IF(OR(AND(F1310&lt;'00_Arquitectura'!$B$118,G1310&lt;'00_Arquitectura'!$B$119),F1310&lt;'00_Arquitectura'!$B$120),1,0)</x:f>
        <x:v>0</x:v>
      </x:c>
      <x:c r="I1310" s="10" t="n">
        <x:f>IF($I$1292=1,IF(OR(AND(F1310&lt;'00_Arquitectura'!$B$121,G1310&lt;'00_Arquitectura'!$B$122),F1310&lt;'00_Arquitectura'!$B$123),1,0),IF(AND(H1310=1,$H$1292=1),1,0))</x:f>
        <x:v>0</x:v>
      </x:c>
      <x:c r="J1310" s="10" t="n">
        <x:f>0</x:f>
        <x:v>0</x:v>
      </x:c>
      <x:c r="K1310" s="10" t="n">
        <x:f>$K$1295</x:f>
        <x:v>49.895230183912034</x:v>
      </x:c>
      <x:c r="L1310" s="10" t="str">
        <x:v>No aporta E_social; S y R alimentan disposición a leyes según07.</x:v>
      </x:c>
    </x:row>
    <x:row r="1311" ht="34" customHeight="1">
      <x:c r="A1311" s="5" t="str">
        <x:v>S3_SALARIO</x:v>
      </x:c>
      <x:c r="B1311" s="5" t="n">
        <x:v>10</x:v>
      </x:c>
      <x:c r="C1311" s="5" t="str">
        <x:v>oposicion</x:v>
      </x:c>
      <x:c r="D1311" s="5" t="n">
        <x:f>$F$1293</x:f>
        <x:v>50.880269821519256</x:v>
      </x:c>
      <x:c r="E1311" s="5" t="n">
        <x:f>(ABS('03_Sensibilidades'!$C$64)*IF('03_Sensibilidades'!$C$64&lt;0,100-$K$487,$K$487)+ABS('03_Sensibilidades'!$C$65)*IF('03_Sensibilidades'!$C$65&lt;0,100-$K$479,$K$479)+ABS('03_Sensibilidades'!$C$66)*IF('03_Sensibilidades'!$C$66&lt;0,100-$K$485,$K$485))/(ABS('03_Sensibilidades'!$C$64)+ABS('03_Sensibilidades'!$C$65)+ABS('03_Sensibilidades'!$C$66))</x:f>
        <x:v>50.294088795824</x:v>
      </x:c>
      <x:c r="F1311" s="5" t="n">
        <x:f>(1-'00_Arquitectura'!$B$95)*D1311+'00_Arquitectura'!$B$95*E1311</x:f>
        <x:v>50.67510646252592</x:v>
      </x:c>
      <x:c r="G1311" s="5" t="n">
        <x:f>'02_Actores'!$I$22</x:f>
        <x:v>30</x:v>
      </x:c>
      <x:c r="H1311" s="5" t="n">
        <x:f>IF(OR(AND(F1311&lt;'00_Arquitectura'!$B$118,G1311&lt;'00_Arquitectura'!$B$119),F1311&lt;'00_Arquitectura'!$B$120),1,0)</x:f>
        <x:v>0</x:v>
      </x:c>
      <x:c r="I1311" s="5" t="n">
        <x:f>IF($I$1293=1,IF(OR(AND(F1311&lt;'00_Arquitectura'!$B$121,G1311&lt;'00_Arquitectura'!$B$122),F1311&lt;'00_Arquitectura'!$B$123),1,0),IF(AND(H1311=1,$H$1293=1),1,0))</x:f>
        <x:v>0</x:v>
      </x:c>
      <x:c r="J1311" s="5" t="n">
        <x:f>0</x:f>
        <x:v>0</x:v>
      </x:c>
      <x:c r="K1311" s="5" t="n">
        <x:f>$K$1295</x:f>
        <x:v>49.895230183912034</x:v>
      </x:c>
      <x:c r="L1311" s="5" t="str">
        <x:v>No aporta E_social; S y R alimentan disposición a leyes según07.</x:v>
      </x:c>
    </x:row>
    <x:row r="1312" ht="42" customHeight="1">
      <x:c r="A1312" s="10" t="str">
        <x:v>S3_SALARIO</x:v>
      </x:c>
      <x:c r="B1312" s="10" t="n">
        <x:v>10</x:v>
      </x:c>
      <x:c r="C1312" s="10" t="str">
        <x:v>gobernadores</x:v>
      </x:c>
      <x:c r="D1312" s="10" t="n">
        <x:f>$F$1294</x:f>
        <x:v>48.0208757389788</x:v>
      </x:c>
      <x:c r="E1312" s="10" t="n">
        <x:f>(ABS('03_Sensibilidades'!$C$67)*IF('03_Sensibilidades'!$C$67&lt;0,100-$K$481,$K$481)+ABS('03_Sensibilidades'!$C$68)*IF('03_Sensibilidades'!$C$68&lt;0,100-$K$483,$K$483)+ABS('03_Sensibilidades'!$C$69)*IF('03_Sensibilidades'!$C$69&lt;0,100-$K$482,$K$482)+ABS('03_Sensibilidades'!$C$70)*IF('03_Sensibilidades'!$C$70&lt;0,100-$K$479,$K$479))/(ABS('03_Sensibilidades'!$C$67)+ABS('03_Sensibilidades'!$C$68)+ABS('03_Sensibilidades'!$C$69)+ABS('03_Sensibilidades'!$C$70))</x:f>
        <x:v>47.61661296263724</x:v>
      </x:c>
      <x:c r="F1312" s="10" t="n">
        <x:f>(1-'00_Arquitectura'!$B$95)*D1312+'00_Arquitectura'!$B$95*E1312</x:f>
        <x:v>47.879383767259256</x:v>
      </x:c>
      <x:c r="G1312" s="10" t="n">
        <x:f>'02_Actores'!$I$23</x:f>
        <x:v>45</x:v>
      </x:c>
      <x:c r="H1312" s="10" t="n">
        <x:f>IF(OR(AND(F1312&lt;'00_Arquitectura'!$B$118,G1312&lt;'00_Arquitectura'!$B$119),F1312&lt;'00_Arquitectura'!$B$120),1,0)</x:f>
        <x:v>0</x:v>
      </x:c>
      <x:c r="I1312" s="10" t="n">
        <x:f>IF($I$1294=1,IF(OR(AND(F1312&lt;'00_Arquitectura'!$B$121,G1312&lt;'00_Arquitectura'!$B$122),F1312&lt;'00_Arquitectura'!$B$123),1,0),IF(AND(H1312=1,$H$1294=1),1,0))</x:f>
        <x:v>0</x:v>
      </x:c>
      <x:c r="J1312" s="10" t="n">
        <x:f>0</x:f>
        <x:v>0</x:v>
      </x:c>
      <x:c r="K1312" s="10" t="n">
        <x:f>$K$1295</x:f>
        <x:v>49.895230183912034</x:v>
      </x:c>
      <x:c r="L1312" s="10" t="str">
        <x:v>Conflicto activo captura menor eficacia en políticas ejecutadas en t+1. Magnitud0 en J: no es un offset directo de indicador.</x:v>
      </x:c>
    </x:row>
    <x:row r="1313" ht="34" customHeight="1">
      <x:c r="A1313" s="5" t="str">
        <x:v>S4_PRESTAMO</x:v>
      </x:c>
      <x:c r="B1313" s="5" t="n">
        <x:v>1</x:v>
      </x:c>
      <x:c r="C1313" s="5" t="str">
        <x:v>industria</x:v>
      </x:c>
      <x:c r="D1313" s="5"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E1313" s="5" t="n">
        <x:f>(ABS('03_Sensibilidades'!$C$6)*IF('03_Sensibilidades'!$C$6&lt;0,100-$K$492,$K$492)+ABS('03_Sensibilidades'!$C$7)*IF('03_Sensibilidades'!$C$7&lt;0,100-$K$490,$K$490)+ABS('03_Sensibilidades'!$C$8)*IF('03_Sensibilidades'!$C$8&lt;0,100-$K$495,$K$495)+ABS('03_Sensibilidades'!$C$9)*IF('03_Sensibilidades'!$C$9&lt;0,100-$K$494,$K$494))/(ABS('03_Sensibilidades'!$C$6)+ABS('03_Sensibilidades'!$C$7)+ABS('03_Sensibilidades'!$C$8)+ABS('03_Sensibilidades'!$C$9))</x:f>
        <x:v>46.48148148148148</x:v>
      </x:c>
      <x:c r="F1313" s="5" t="n">
        <x:f>(1-'00_Arquitectura'!$B$95)*D1313+'00_Arquitectura'!$B$95*E1313</x:f>
        <x:v>46.48148148148148</x:v>
      </x:c>
      <x:c r="G1313" s="5" t="n">
        <x:f>'02_Actores'!$I$6</x:f>
        <x:v>45</x:v>
      </x:c>
      <x:c r="H1313" s="5" t="n">
        <x:f>IF(OR(AND(F1313&lt;'00_Arquitectura'!$B$118,G1313&lt;'00_Arquitectura'!$B$119),F1313&lt;'00_Arquitectura'!$B$120),1,0)</x:f>
        <x:v>0</x:v>
      </x:c>
      <x:c r="I1313" s="5" t="n">
        <x:f>0</x:f>
        <x:v>0</x:v>
      </x:c>
      <x:c r="J1313" s="5" t="n">
        <x:f>-I1313*2*'02_Actores'!$E$6/10</x:f>
        <x:v>0</x:v>
      </x:c>
      <x:c r="K1313" s="5" t="n">
        <x:f>($F$1313*'02_Actores'!$F$6+$F$1314*'02_Actores'!$F$7+$F$1315*'02_Actores'!$F$8+$F$1316*'02_Actores'!$F$9+$F$1317*'02_Actores'!$F$10+$F$1318*'02_Actores'!$F$11+$F$1319*'02_Actores'!$F$12+$F$1320*'02_Actores'!$F$13+$F$1321*'02_Actores'!$F$14+$F$1322*'02_Actores'!$F$15+$F$1323*'02_Actores'!$F$16+$F$1324*'02_Actores'!$F$17+$F$1325*'02_Actores'!$F$18+$F$1326*'02_Actores'!$F$19)/('02_Actores'!$F$6+'02_Actores'!$F$7+'02_Actores'!$F$8+'02_Actores'!$F$9+'02_Actores'!$F$10+'02_Actores'!$F$11+'02_Actores'!$F$12+'02_Actores'!$F$13+'02_Actores'!$F$14+'02_Actores'!$F$15+'02_Actores'!$F$16+'02_Actores'!$F$17+'02_Actores'!$F$18+'02_Actores'!$F$19)</x:f>
        <x:v>48.759669086667884</x:v>
      </x:c>
      <x:c r="L1313" s="5" t="str">
        <x:v>J programa offset para t+1; efecto sustituible y acotado, sin voto adicional.</x:v>
      </x:c>
    </x:row>
    <x:row r="1314" ht="34" customHeight="1">
      <x:c r="A1314" s="10" t="str">
        <x:v>S4_PRESTAMO</x:v>
      </x:c>
      <x:c r="B1314" s="10" t="n">
        <x:v>1</x:v>
      </x:c>
      <x:c r="C1314" s="10" t="str">
        <x:v>agro</x:v>
      </x:c>
      <x:c r="D1314" s="10"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E1314" s="10" t="n">
        <x:f>(ABS('03_Sensibilidades'!$C$10)*IF('03_Sensibilidades'!$C$10&lt;0,100-$K$494,$K$494)+ABS('03_Sensibilidades'!$C$11)*IF('03_Sensibilidades'!$C$11&lt;0,100-$K$495,$K$495)+ABS('03_Sensibilidades'!$C$12)*IF('03_Sensibilidades'!$C$12&lt;0,100-$K$502,$K$502)+ABS('03_Sensibilidades'!$C$13)*IF('03_Sensibilidades'!$C$13&lt;0,100-$K$492,$K$492))/(ABS('03_Sensibilidades'!$C$10)+ABS('03_Sensibilidades'!$C$11)+ABS('03_Sensibilidades'!$C$12)+ABS('03_Sensibilidades'!$C$13))</x:f>
        <x:v>45.892857142857146</x:v>
      </x:c>
      <x:c r="F1314" s="10" t="n">
        <x:f>(1-'00_Arquitectura'!$B$95)*D1314+'00_Arquitectura'!$B$95*E1314</x:f>
        <x:v>45.892857142857146</x:v>
      </x:c>
      <x:c r="G1314" s="10" t="n">
        <x:f>'02_Actores'!$I$7</x:f>
        <x:v>45</x:v>
      </x:c>
      <x:c r="H1314" s="10" t="n">
        <x:f>IF(OR(AND(F1314&lt;'00_Arquitectura'!$B$118,G1314&lt;'00_Arquitectura'!$B$119),F1314&lt;'00_Arquitectura'!$B$120),1,0)</x:f>
        <x:v>0</x:v>
      </x:c>
      <x:c r="I1314" s="10" t="n">
        <x:f>0</x:f>
        <x:v>0</x:v>
      </x:c>
      <x:c r="J1314" s="10" t="n">
        <x:f>-I1314*2*'02_Actores'!$E$7/10</x:f>
        <x:v>0</x:v>
      </x:c>
      <x:c r="K1314" s="10" t="n">
        <x:f>$K$1313</x:f>
        <x:v>48.759669086667884</x:v>
      </x:c>
      <x:c r="L1314" s="10" t="str">
        <x:v>J programa offset para t+1; efecto sustituible y acotado, sin voto adicional.</x:v>
      </x:c>
    </x:row>
    <x:row r="1315" ht="34" customHeight="1">
      <x:c r="A1315" s="5" t="str">
        <x:v>S4_PRESTAMO</x:v>
      </x:c>
      <x:c r="B1315" s="5" t="n">
        <x:v>1</x:v>
      </x:c>
      <x:c r="C1315" s="5" t="str">
        <x:v>financiero</x:v>
      </x:c>
      <x:c r="D1315" s="5"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01_Indicadores'!$H$18,'01_Indicadores'!$H$18))/(ABS('03_Sensibilidades'!$C$14)+ABS('03_Sensibilidades'!$C$15)+ABS('03_Sensibilidades'!$C$16)+ABS('03_Sensibilidades'!$C$17))</x:f>
        <x:v>55</x:v>
      </x:c>
      <x:c r="E1315" s="5" t="n">
        <x:f>(ABS('03_Sensibilidades'!$C$14)*IF('03_Sensibilidades'!$C$14&lt;0,100-$K$493,$K$493)+ABS('03_Sensibilidades'!$C$15)*IF('03_Sensibilidades'!$C$15&lt;0,100-$K$489,$K$489)+ABS('03_Sensibilidades'!$C$16)*IF('03_Sensibilidades'!$C$16&lt;0,100-$K$492,$K$492)+ABS('03_Sensibilidades'!$C$17)*IF('03_Sensibilidades'!$C$17&lt;0,100-$K$501,$K$501))/(ABS('03_Sensibilidades'!$C$14)+ABS('03_Sensibilidades'!$C$15)+ABS('03_Sensibilidades'!$C$16)+ABS('03_Sensibilidades'!$C$17))</x:f>
        <x:v>55</x:v>
      </x:c>
      <x:c r="F1315" s="5" t="n">
        <x:f>(1-'00_Arquitectura'!$B$95)*D1315+'00_Arquitectura'!$B$95*E1315</x:f>
        <x:v>55</x:v>
      </x:c>
      <x:c r="G1315" s="5" t="n">
        <x:f>'02_Actores'!$I$8</x:f>
        <x:v>45</x:v>
      </x:c>
      <x:c r="H1315" s="5" t="n">
        <x:f>IF(OR(AND(F1315&lt;'00_Arquitectura'!$B$118,G1315&lt;'00_Arquitectura'!$B$119),F1315&lt;'00_Arquitectura'!$B$120),1,0)</x:f>
        <x:v>0</x:v>
      </x:c>
      <x:c r="I1315" s="5" t="n">
        <x:f>0</x:f>
        <x:v>0</x:v>
      </x:c>
      <x:c r="J1315" s="5" t="n">
        <x:f>-I1315*2*'02_Actores'!$E$8/10</x:f>
        <x:v>0</x:v>
      </x:c>
      <x:c r="K1315" s="5" t="n">
        <x:f>$K$1313</x:f>
        <x:v>48.759669086667884</x:v>
      </x:c>
      <x:c r="L1315" s="5" t="str">
        <x:v>J programa offset para t+1; efecto sustituible y acotado, sin voto adicional.</x:v>
      </x:c>
    </x:row>
    <x:row r="1316" ht="34" customHeight="1">
      <x:c r="A1316" s="10" t="str">
        <x:v>S4_PRESTAMO</x:v>
      </x:c>
      <x:c r="B1316" s="10" t="n">
        <x:v>1</x:v>
      </x:c>
      <x:c r="C1316" s="10" t="str">
        <x:v>sindicatos</x:v>
      </x:c>
      <x:c r="D1316" s="10"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01_Indicadores'!$H$18,'01_Indicadores'!$H$18))/(ABS('03_Sensibilidades'!$C$18)+ABS('03_Sensibilidades'!$C$19)+ABS('03_Sensibilidades'!$C$20)+ABS('03_Sensibilidades'!$C$21))</x:f>
        <x:v>47.93103448275862</x:v>
      </x:c>
      <x:c r="E1316" s="10" t="n">
        <x:f>(ABS('03_Sensibilidades'!$C$18)*IF('03_Sensibilidades'!$C$18&lt;0,100-$K$491,$K$491)+ABS('03_Sensibilidades'!$C$19)*IF('03_Sensibilidades'!$C$19&lt;0,100-$K$490,$K$490)+ABS('03_Sensibilidades'!$C$20)*IF('03_Sensibilidades'!$C$20&lt;0,100-$K$498,$K$498)+ABS('03_Sensibilidades'!$C$21)*IF('03_Sensibilidades'!$C$21&lt;0,100-$K$501,$K$501))/(ABS('03_Sensibilidades'!$C$18)+ABS('03_Sensibilidades'!$C$19)+ABS('03_Sensibilidades'!$C$20)+ABS('03_Sensibilidades'!$C$21))</x:f>
        <x:v>47.93103448275862</x:v>
      </x:c>
      <x:c r="F1316" s="10" t="n">
        <x:f>(1-'00_Arquitectura'!$B$95)*D1316+'00_Arquitectura'!$B$95*E1316</x:f>
        <x:v>47.93103448275862</x:v>
      </x:c>
      <x:c r="G1316" s="10" t="n">
        <x:f>'02_Actores'!$I$9</x:f>
        <x:v>45</x:v>
      </x:c>
      <x:c r="H1316" s="10" t="n">
        <x:f>IF(OR(AND(F1316&lt;'00_Arquitectura'!$B$118,G1316&lt;'00_Arquitectura'!$B$119),F1316&lt;'00_Arquitectura'!$B$120),1,0)</x:f>
        <x:v>0</x:v>
      </x:c>
      <x:c r="I1316" s="10" t="n">
        <x:f>0</x:f>
        <x:v>0</x:v>
      </x:c>
      <x:c r="J1316" s="10" t="n">
        <x:f>-I1316*2*'02_Actores'!$E$9/10</x:f>
        <x:v>0</x:v>
      </x:c>
      <x:c r="K1316" s="10" t="n">
        <x:f>$K$1313</x:f>
        <x:v>48.759669086667884</x:v>
      </x:c>
      <x:c r="L1316" s="10" t="str">
        <x:v>J programa offset para t+1; efecto sustituible y acotado, sin voto adicional.</x:v>
      </x:c>
    </x:row>
    <x:row r="1317" ht="34" customHeight="1">
      <x:c r="A1317" s="5" t="str">
        <x:v>S4_PRESTAMO</x:v>
      </x:c>
      <x:c r="B1317" s="5" t="n">
        <x:v>1</x:v>
      </x:c>
      <x:c r="C1317" s="5" t="str">
        <x:v>pymes</x:v>
      </x:c>
      <x:c r="D1317" s="5"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E1317" s="5" t="n">
        <x:f>(ABS('03_Sensibilidades'!$C$22)*IF('03_Sensibilidades'!$C$22&lt;0,100-$K$492,$K$492)+ABS('03_Sensibilidades'!$C$23)*IF('03_Sensibilidades'!$C$23&lt;0,100-$K$490,$K$490)+ABS('03_Sensibilidades'!$C$24)*IF('03_Sensibilidades'!$C$24&lt;0,100-$K$495,$K$495)+ABS('03_Sensibilidades'!$C$25)*IF('03_Sensibilidades'!$C$25&lt;0,100-$K$489,$K$489))/(ABS('03_Sensibilidades'!$C$22)+ABS('03_Sensibilidades'!$C$23)+ABS('03_Sensibilidades'!$C$24)+ABS('03_Sensibilidades'!$C$25))</x:f>
        <x:v>49.13793103448276</x:v>
      </x:c>
      <x:c r="F1317" s="5" t="n">
        <x:f>(1-'00_Arquitectura'!$B$95)*D1317+'00_Arquitectura'!$B$95*E1317</x:f>
        <x:v>49.13793103448276</x:v>
      </x:c>
      <x:c r="G1317" s="5" t="n">
        <x:f>'02_Actores'!$I$10</x:f>
        <x:v>45</x:v>
      </x:c>
      <x:c r="H1317" s="5" t="n">
        <x:f>IF(OR(AND(F1317&lt;'00_Arquitectura'!$B$118,G1317&lt;'00_Arquitectura'!$B$119),F1317&lt;'00_Arquitectura'!$B$120),1,0)</x:f>
        <x:v>0</x:v>
      </x:c>
      <x:c r="I1317" s="5" t="n">
        <x:f>0</x:f>
        <x:v>0</x:v>
      </x:c>
      <x:c r="J1317" s="5" t="n">
        <x:f>-I1317*2*'02_Actores'!$E$10/10</x:f>
        <x:v>0</x:v>
      </x:c>
      <x:c r="K1317" s="5" t="n">
        <x:f>$K$1313</x:f>
        <x:v>48.759669086667884</x:v>
      </x:c>
      <x:c r="L1317" s="5" t="str">
        <x:v>J programa offset para t+1; efecto sustituible y acotado, sin voto adicional.</x:v>
      </x:c>
    </x:row>
    <x:row r="1318" ht="34" customHeight="1">
      <x:c r="A1318" s="10" t="str">
        <x:v>S4_PRESTAMO</x:v>
      </x:c>
      <x:c r="B1318" s="10" t="n">
        <x:v>1</x:v>
      </x:c>
      <x:c r="C1318" s="10" t="str">
        <x:v>clase_media</x:v>
      </x:c>
      <x:c r="D1318" s="10"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E1318" s="10" t="n">
        <x:f>(ABS('03_Sensibilidades'!$C$26)*IF('03_Sensibilidades'!$C$26&lt;0,100-$K$491,$K$491)+ABS('03_Sensibilidades'!$C$27)*IF('03_Sensibilidades'!$C$27&lt;0,100-$K$499,$K$499)+ABS('03_Sensibilidades'!$C$28)*IF('03_Sensibilidades'!$C$28&lt;0,100-$K$496,$K$496)+ABS('03_Sensibilidades'!$C$29)*IF('03_Sensibilidades'!$C$29&lt;0,100-$K$489,$K$489))/(ABS('03_Sensibilidades'!$C$26)+ABS('03_Sensibilidades'!$C$27)+ABS('03_Sensibilidades'!$C$28)+ABS('03_Sensibilidades'!$C$29))</x:f>
        <x:v>48.333333333333336</x:v>
      </x:c>
      <x:c r="F1318" s="10" t="n">
        <x:f>(1-'00_Arquitectura'!$B$95)*D1318+'00_Arquitectura'!$B$95*E1318</x:f>
        <x:v>48.333333333333336</x:v>
      </x:c>
      <x:c r="G1318" s="10" t="n">
        <x:f>'02_Actores'!$I$11</x:f>
        <x:v>45</x:v>
      </x:c>
      <x:c r="H1318" s="10" t="n">
        <x:f>IF(OR(AND(F1318&lt;'00_Arquitectura'!$B$118,G1318&lt;'00_Arquitectura'!$B$119),F1318&lt;'00_Arquitectura'!$B$120),1,0)</x:f>
        <x:v>0</x:v>
      </x:c>
      <x:c r="I1318" s="10" t="n">
        <x:f>0</x:f>
        <x:v>0</x:v>
      </x:c>
      <x:c r="J1318" s="10" t="n">
        <x:f>0</x:f>
        <x:v>0</x:v>
      </x:c>
      <x:c r="K1318" s="10" t="n">
        <x:f>$K$1313</x:f>
        <x:v>48.759669086667884</x:v>
      </x:c>
      <x:c r="L1318" s="10" t="str">
        <x:v>Canal directo sólo al índice social; sin bono de popularidad.</x:v>
      </x:c>
    </x:row>
    <x:row r="1319" ht="34" customHeight="1">
      <x:c r="A1319" s="5" t="str">
        <x:v>S4_PRESTAMO</x:v>
      </x:c>
      <x:c r="B1319" s="5" t="n">
        <x:v>1</x:v>
      </x:c>
      <x:c r="C1319" s="5" t="str">
        <x:v>cooperativas</x:v>
      </x:c>
      <x:c r="D1319" s="5"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01_Indicadores'!$H$18,'01_Indicadores'!$H$18))/(ABS('03_Sensibilidades'!$C$30)+ABS('03_Sensibilidades'!$C$31)+ABS('03_Sensibilidades'!$C$32)+ABS('03_Sensibilidades'!$C$33))</x:f>
        <x:v>47.77777777777778</x:v>
      </x:c>
      <x:c r="E1319" s="5" t="n">
        <x:f>(ABS('03_Sensibilidades'!$C$30)*IF('03_Sensibilidades'!$C$30&lt;0,100-$K$492,$K$492)+ABS('03_Sensibilidades'!$C$31)*IF('03_Sensibilidades'!$C$31&lt;0,100-$K$490,$K$490)+ABS('03_Sensibilidades'!$C$32)*IF('03_Sensibilidades'!$C$32&lt;0,100-$K$498,$K$498)+ABS('03_Sensibilidades'!$C$33)*IF('03_Sensibilidades'!$C$33&lt;0,100-$K$501,$K$501))/(ABS('03_Sensibilidades'!$C$30)+ABS('03_Sensibilidades'!$C$31)+ABS('03_Sensibilidades'!$C$32)+ABS('03_Sensibilidades'!$C$33))</x:f>
        <x:v>47.77777777777778</x:v>
      </x:c>
      <x:c r="F1319" s="5" t="n">
        <x:f>(1-'00_Arquitectura'!$B$95)*D1319+'00_Arquitectura'!$B$95*E1319</x:f>
        <x:v>47.77777777777778</x:v>
      </x:c>
      <x:c r="G1319" s="5" t="n">
        <x:f>'02_Actores'!$I$12</x:f>
        <x:v>45</x:v>
      </x:c>
      <x:c r="H1319" s="5" t="n">
        <x:f>IF(OR(AND(F1319&lt;'00_Arquitectura'!$B$118,G1319&lt;'00_Arquitectura'!$B$119),F1319&lt;'00_Arquitectura'!$B$120),1,0)</x:f>
        <x:v>0</x:v>
      </x:c>
      <x:c r="I1319" s="5" t="n">
        <x:f>0</x:f>
        <x:v>0</x:v>
      </x:c>
      <x:c r="J1319" s="5" t="n">
        <x:f>-I1319*1.5*'02_Actores'!$E$12/10</x:f>
        <x:v>0</x:v>
      </x:c>
      <x:c r="K1319" s="5" t="n">
        <x:f>$K$1313</x:f>
        <x:v>48.759669086667884</x:v>
      </x:c>
      <x:c r="L1319" s="5" t="str">
        <x:v>J programa offset para t+1; efecto sustituible y acotado, sin voto adicional.</x:v>
      </x:c>
    </x:row>
    <x:row r="1320" ht="42" customHeight="1">
      <x:c r="A1320" s="10" t="str">
        <x:v>S4_PRESTAMO</x:v>
      </x:c>
      <x:c r="B1320" s="10" t="n">
        <x:v>1</x:v>
      </x:c>
      <x:c r="C1320" s="10" t="str">
        <x:v>estudiantes</x:v>
      </x:c>
      <x:c r="D1320" s="10" t="n">
        <x:f>(ABS('03_Sensibilidades'!$C$34)*IF('03_Sensibilidades'!$C$34&lt;0,100-'01_Indicadores'!$H$13,'01_Indicadores'!$H$13)+ABS('03_Sensibilidades'!$C$35)*IF('03_Sensibilidades'!$C$35&lt;0,100-'01_Indicadores'!$H$8,'01_Indicadores'!$H$8)+ABS('03_Sensibilidades'!$C$36)*IF('03_Sensibilidades'!$C$36&lt;0,100-'01_Indicadores'!$H$18,'01_Indicadores'!$H$18)+ABS('03_Sensibilidades'!$C$37)*IF('03_Sensibilidades'!$C$37&lt;0,100-'01_Indicadores'!$H$17,'01_Indicadores'!$H$17))/(ABS('03_Sensibilidades'!$C$34)+ABS('03_Sensibilidades'!$C$35)+ABS('03_Sensibilidades'!$C$36)+ABS('03_Sensibilidades'!$C$37))</x:f>
        <x:v>49.2</x:v>
      </x:c>
      <x:c r="E1320" s="10" t="n">
        <x:f>(ABS('03_Sensibilidades'!$C$34)*IF('03_Sensibilidades'!$C$34&lt;0,100-$K$496,$K$496)+ABS('03_Sensibilidades'!$C$35)*IF('03_Sensibilidades'!$C$35&lt;0,100-$K$491,$K$491)+ABS('03_Sensibilidades'!$C$36)*IF('03_Sensibilidades'!$C$36&lt;0,100-$K$501,$K$501)+ABS('03_Sensibilidades'!$C$37)*IF('03_Sensibilidades'!$C$37&lt;0,100-$K$500,$K$500))/(ABS('03_Sensibilidades'!$C$34)+ABS('03_Sensibilidades'!$C$35)+ABS('03_Sensibilidades'!$C$36)+ABS('03_Sensibilidades'!$C$37))</x:f>
        <x:v>49.2</x:v>
      </x:c>
      <x:c r="F1320" s="10" t="n">
        <x:f>(1-'00_Arquitectura'!$B$95)*D1320+'00_Arquitectura'!$B$95*E1320</x:f>
        <x:v>49.2</x:v>
      </x:c>
      <x:c r="G1320" s="10" t="n">
        <x:f>'02_Actores'!$I$13</x:f>
        <x:v>45</x:v>
      </x:c>
      <x:c r="H1320" s="10" t="n">
        <x:f>IF(OR(AND(F1320&lt;'00_Arquitectura'!$B$118,G1320&lt;'00_Arquitectura'!$B$119),F1320&lt;'00_Arquitectura'!$B$120),1,0)</x:f>
        <x:v>0</x:v>
      </x:c>
      <x:c r="I1320" s="10" t="n">
        <x:f>0</x:f>
        <x:v>0</x:v>
      </x:c>
      <x:c r="J1320" s="10" t="n">
        <x:f>0</x:f>
        <x:v>0</x:v>
      </x:c>
      <x:c r="K1320" s="10" t="n">
        <x:f>$K$1313</x:f>
        <x:v>48.759669086667884</x:v>
      </x:c>
      <x:c r="L1320" s="10" t="str">
        <x:v>Conflicto activo captura menor eficacia en políticas ejecutadas en t+1. Magnitud0 en J: no es un offset directo de indicador.</x:v>
      </x:c>
    </x:row>
    <x:row r="1321" ht="34" customHeight="1">
      <x:c r="A1321" s="5" t="str">
        <x:v>S4_PRESTAMO</x:v>
      </x:c>
      <x:c r="B1321" s="5" t="n">
        <x:v>1</x:v>
      </x:c>
      <x:c r="C1321" s="5" t="str">
        <x:v>docentes</x:v>
      </x:c>
      <x:c r="D1321" s="5" t="n">
        <x:f>(ABS('03_Sensibilidades'!$C$38)*IF('03_Sensibilidades'!$C$38&lt;0,100-'01_Indicadores'!$H$13,'01_Indicadores'!$H$13)+ABS('03_Sensibilidades'!$C$39)*IF('03_Sensibilidades'!$C$39&lt;0,100-'01_Indicadores'!$H$8,'01_Indicadores'!$H$8)+ABS('03_Sensibilidades'!$C$40)*IF('03_Sensibilidades'!$C$40&lt;0,100-'01_Indicadores'!$H$18,'01_Indicadores'!$H$18))/(ABS('03_Sensibilidades'!$C$38)+ABS('03_Sensibilidades'!$C$39)+ABS('03_Sensibilidades'!$C$40))</x:f>
        <x:v>48.91304347826087</x:v>
      </x:c>
      <x:c r="E1321" s="5" t="n">
        <x:f>(ABS('03_Sensibilidades'!$C$38)*IF('03_Sensibilidades'!$C$38&lt;0,100-$K$496,$K$496)+ABS('03_Sensibilidades'!$C$39)*IF('03_Sensibilidades'!$C$39&lt;0,100-$K$491,$K$491)+ABS('03_Sensibilidades'!$C$40)*IF('03_Sensibilidades'!$C$40&lt;0,100-$K$501,$K$501))/(ABS('03_Sensibilidades'!$C$38)+ABS('03_Sensibilidades'!$C$39)+ABS('03_Sensibilidades'!$C$40))</x:f>
        <x:v>48.91304347826087</x:v>
      </x:c>
      <x:c r="F1321" s="5" t="n">
        <x:f>(1-'00_Arquitectura'!$B$95)*D1321+'00_Arquitectura'!$B$95*E1321</x:f>
        <x:v>48.91304347826087</x:v>
      </x:c>
      <x:c r="G1321" s="5" t="n">
        <x:f>'02_Actores'!$I$14</x:f>
        <x:v>45</x:v>
      </x:c>
      <x:c r="H1321" s="5" t="n">
        <x:f>IF(OR(AND(F1321&lt;'00_Arquitectura'!$B$118,G1321&lt;'00_Arquitectura'!$B$119),F1321&lt;'00_Arquitectura'!$B$120),1,0)</x:f>
        <x:v>0</x:v>
      </x:c>
      <x:c r="I1321" s="5" t="n">
        <x:f>0</x:f>
        <x:v>0</x:v>
      </x:c>
      <x:c r="J1321" s="5" t="n">
        <x:f>-I1321*1.5*'02_Actores'!$E$14/10</x:f>
        <x:v>0</x:v>
      </x:c>
      <x:c r="K1321" s="5" t="n">
        <x:f>$K$1313</x:f>
        <x:v>48.759669086667884</x:v>
      </x:c>
      <x:c r="L1321" s="5" t="str">
        <x:v>J programa offset para t+1; efecto sustituible y acotado, sin voto adicional.</x:v>
      </x:c>
    </x:row>
    <x:row r="1322" ht="34" customHeight="1">
      <x:c r="A1322" s="10" t="str">
        <x:v>S4_PRESTAMO</x:v>
      </x:c>
      <x:c r="B1322" s="10" t="n">
        <x:v>1</x:v>
      </x:c>
      <x:c r="C1322" s="10" t="str">
        <x:v>cientificos</x:v>
      </x:c>
      <x:c r="D1322" s="10" t="n">
        <x:f>(ABS('03_Sensibilidades'!$C$41)*IF('03_Sensibilidades'!$C$41&lt;0,100-'01_Indicadores'!$H$17,'01_Indicadores'!$H$17)+ABS('03_Sensibilidades'!$C$42)*IF('03_Sensibilidades'!$C$42&lt;0,100-'01_Indicadores'!$H$13,'01_Indicadores'!$H$13)+ABS('03_Sensibilidades'!$C$43)*IF('03_Sensibilidades'!$C$43&lt;0,100-'01_Indicadores'!$H$18,'01_Indicadores'!$H$18))/(ABS('03_Sensibilidades'!$C$41)+ABS('03_Sensibilidades'!$C$42)+ABS('03_Sensibilidades'!$C$43))</x:f>
        <x:v>46.59090909090909</x:v>
      </x:c>
      <x:c r="E1322" s="10" t="n">
        <x:f>(ABS('03_Sensibilidades'!$C$41)*IF('03_Sensibilidades'!$C$41&lt;0,100-$K$500,$K$500)+ABS('03_Sensibilidades'!$C$42)*IF('03_Sensibilidades'!$C$42&lt;0,100-$K$496,$K$496)+ABS('03_Sensibilidades'!$C$43)*IF('03_Sensibilidades'!$C$43&lt;0,100-$K$501,$K$501))/(ABS('03_Sensibilidades'!$C$41)+ABS('03_Sensibilidades'!$C$42)+ABS('03_Sensibilidades'!$C$43))</x:f>
        <x:v>46.59090909090909</x:v>
      </x:c>
      <x:c r="F1322" s="10" t="n">
        <x:f>(1-'00_Arquitectura'!$B$95)*D1322+'00_Arquitectura'!$B$95*E1322</x:f>
        <x:v>46.59090909090909</x:v>
      </x:c>
      <x:c r="G1322" s="10" t="n">
        <x:f>'02_Actores'!$I$15</x:f>
        <x:v>45</x:v>
      </x:c>
      <x:c r="H1322" s="10" t="n">
        <x:f>IF(OR(AND(F1322&lt;'00_Arquitectura'!$B$118,G1322&lt;'00_Arquitectura'!$B$119),F1322&lt;'00_Arquitectura'!$B$120),1,0)</x:f>
        <x:v>0</x:v>
      </x:c>
      <x:c r="I1322" s="10" t="n">
        <x:f>0</x:f>
        <x:v>0</x:v>
      </x:c>
      <x:c r="J1322" s="10" t="n">
        <x:f>-I1322*1.5*'02_Actores'!$E$15/10</x:f>
        <x:v>0</x:v>
      </x:c>
      <x:c r="K1322" s="10" t="n">
        <x:f>$K$1313</x:f>
        <x:v>48.759669086667884</x:v>
      </x:c>
      <x:c r="L1322" s="10" t="str">
        <x:v>J programa offset para t+1; efecto sustituible y acotado, sin voto adicional.</x:v>
      </x:c>
    </x:row>
    <x:row r="1323" ht="34" customHeight="1">
      <x:c r="A1323" s="5" t="str">
        <x:v>S4_PRESTAMO</x:v>
      </x:c>
      <x:c r="B1323" s="5" t="n">
        <x:v>1</x:v>
      </x:c>
      <x:c r="C1323" s="5" t="str">
        <x:v>organizaciones</x:v>
      </x:c>
      <x:c r="D1323" s="5"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01_Indicadores'!$H$18,'01_Indicadores'!$H$18))/(ABS('03_Sensibilidades'!$C$44)+ABS('03_Sensibilidades'!$C$45)+ABS('03_Sensibilidades'!$C$46)+ABS('03_Sensibilidades'!$C$47))</x:f>
        <x:v>49.107142857142854</x:v>
      </x:c>
      <x:c r="E1323" s="5" t="n">
        <x:f>(ABS('03_Sensibilidades'!$C$44)*IF('03_Sensibilidades'!$C$44&lt;0,100-$K$498,$K$498)+ABS('03_Sensibilidades'!$C$45)*IF('03_Sensibilidades'!$C$45&lt;0,100-$K$497,$K$497)+ABS('03_Sensibilidades'!$C$46)*IF('03_Sensibilidades'!$C$46&lt;0,100-$K$490,$K$490)+ABS('03_Sensibilidades'!$C$47)*IF('03_Sensibilidades'!$C$47&lt;0,100-$K$501,$K$501))/(ABS('03_Sensibilidades'!$C$44)+ABS('03_Sensibilidades'!$C$45)+ABS('03_Sensibilidades'!$C$46)+ABS('03_Sensibilidades'!$C$47))</x:f>
        <x:v>49.107142857142854</x:v>
      </x:c>
      <x:c r="F1323" s="5" t="n">
        <x:f>(1-'00_Arquitectura'!$B$95)*D1323+'00_Arquitectura'!$B$95*E1323</x:f>
        <x:v>49.107142857142854</x:v>
      </x:c>
      <x:c r="G1323" s="5" t="n">
        <x:f>'02_Actores'!$I$16</x:f>
        <x:v>45</x:v>
      </x:c>
      <x:c r="H1323" s="5" t="n">
        <x:f>IF(OR(AND(F1323&lt;'00_Arquitectura'!$B$118,G1323&lt;'00_Arquitectura'!$B$119),F1323&lt;'00_Arquitectura'!$B$120),1,0)</x:f>
        <x:v>0</x:v>
      </x:c>
      <x:c r="I1323" s="5" t="n">
        <x:f>0</x:f>
        <x:v>0</x:v>
      </x:c>
      <x:c r="J1323" s="5" t="n">
        <x:f>-I1323*1.5*'02_Actores'!$E$16/10</x:f>
        <x:v>0</x:v>
      </x:c>
      <x:c r="K1323" s="5" t="n">
        <x:f>$K$1313</x:f>
        <x:v>48.759669086667884</x:v>
      </x:c>
      <x:c r="L1323" s="5" t="str">
        <x:v>J programa offset para t+1; efecto sustituible y acotado, sin voto adicional.</x:v>
      </x:c>
    </x:row>
    <x:row r="1324" ht="42" customHeight="1">
      <x:c r="A1324" s="10" t="str">
        <x:v>S4_PRESTAMO</x:v>
      </x:c>
      <x:c r="B1324" s="10" t="n">
        <x:v>1</x:v>
      </x:c>
      <x:c r="C1324" s="10" t="str">
        <x:v>ddhh</x:v>
      </x:c>
      <x:c r="D1324" s="10" t="n">
        <x:f>(ABS('03_Sensibilidades'!$C$48)*IF('03_Sensibilidades'!$C$48&lt;0,100-'01_Indicadores'!$H$18,'01_Indicadores'!$H$18)+ABS('03_Sensibilidades'!$C$49)*IF('03_Sensibilidades'!$C$49&lt;0,100-'01_Indicadores'!$H$16,'01_Indicadores'!$H$16)+ABS('03_Sensibilidades'!$C$50)*IF('03_Sensibilidades'!$C$50&lt;0,100-'01_Indicadores'!$H$15,'01_Indicadores'!$H$15))/(ABS('03_Sensibilidades'!$C$48)+ABS('03_Sensibilidades'!$C$49)+ABS('03_Sensibilidades'!$C$50))</x:f>
        <x:v>50.88235294117647</x:v>
      </x:c>
      <x:c r="E1324" s="10" t="n">
        <x:f>(ABS('03_Sensibilidades'!$C$48)*IF('03_Sensibilidades'!$C$48&lt;0,100-$K$501,$K$501)+ABS('03_Sensibilidades'!$C$49)*IF('03_Sensibilidades'!$C$49&lt;0,100-$K$499,$K$499)+ABS('03_Sensibilidades'!$C$50)*IF('03_Sensibilidades'!$C$50&lt;0,100-$K$498,$K$498))/(ABS('03_Sensibilidades'!$C$48)+ABS('03_Sensibilidades'!$C$49)+ABS('03_Sensibilidades'!$C$50))</x:f>
        <x:v>50.88235294117647</x:v>
      </x:c>
      <x:c r="F1324" s="10" t="n">
        <x:f>(1-'00_Arquitectura'!$B$95)*D1324+'00_Arquitectura'!$B$95*E1324</x:f>
        <x:v>50.88235294117648</x:v>
      </x:c>
      <x:c r="G1324" s="10" t="n">
        <x:f>'02_Actores'!$I$17</x:f>
        <x:v>45</x:v>
      </x:c>
      <x:c r="H1324" s="10" t="n">
        <x:f>IF(OR(AND(F1324&lt;'00_Arquitectura'!$B$118,G1324&lt;'00_Arquitectura'!$B$119),F1324&lt;'00_Arquitectura'!$B$120),1,0)</x:f>
        <x:v>0</x:v>
      </x:c>
      <x:c r="I1324" s="10" t="n">
        <x:f>0</x:f>
        <x:v>0</x:v>
      </x:c>
      <x:c r="J1324" s="10" t="n">
        <x:f>0</x:f>
        <x:v>0</x:v>
      </x:c>
      <x:c r="K1324" s="10" t="n">
        <x:f>$K$1313</x:f>
        <x:v>48.759669086667884</x:v>
      </x:c>
      <x:c r="L1324" s="10" t="str">
        <x:v>Conflicto activo captura menor eficacia en políticas ejecutadas en t+1. Magnitud0 en J: no es un offset directo de indicador.</x:v>
      </x:c>
    </x:row>
    <x:row r="1325" ht="42" customHeight="1">
      <x:c r="A1325" s="5" t="str">
        <x:v>S4_PRESTAMO</x:v>
      </x:c>
      <x:c r="B1325" s="5" t="n">
        <x:v>1</x:v>
      </x:c>
      <x:c r="C1325" s="5" t="str">
        <x:v>ambientalistas</x:v>
      </x:c>
      <x:c r="D1325" s="5" t="n">
        <x:f>(ABS('03_Sensibilidades'!$C$51)*IF('03_Sensibilidades'!$C$51&lt;0,100-'01_Indicadores'!$H$19,'01_Indicadores'!$H$19)+ABS('03_Sensibilidades'!$C$52)*IF('03_Sensibilidades'!$C$52&lt;0,100-'01_Indicadores'!$H$18,'01_Indicadores'!$H$18)+ABS('03_Sensibilidades'!$C$53)*IF('03_Sensibilidades'!$C$53&lt;0,100-'01_Indicadores'!$H$14,'01_Indicadores'!$H$14))/(ABS('03_Sensibilidades'!$C$51)+ABS('03_Sensibilidades'!$C$52)+ABS('03_Sensibilidades'!$C$53))</x:f>
        <x:v>51.388888888888886</x:v>
      </x:c>
      <x:c r="E1325" s="5" t="n">
        <x:f>(ABS('03_Sensibilidades'!$C$51)*IF('03_Sensibilidades'!$C$51&lt;0,100-$K$502,$K$502)+ABS('03_Sensibilidades'!$C$52)*IF('03_Sensibilidades'!$C$52&lt;0,100-$K$501,$K$501)+ABS('03_Sensibilidades'!$C$53)*IF('03_Sensibilidades'!$C$53&lt;0,100-$K$497,$K$497))/(ABS('03_Sensibilidades'!$C$51)+ABS('03_Sensibilidades'!$C$52)+ABS('03_Sensibilidades'!$C$53))</x:f>
        <x:v>51.388888888888886</x:v>
      </x:c>
      <x:c r="F1325" s="5" t="n">
        <x:f>(1-'00_Arquitectura'!$B$95)*D1325+'00_Arquitectura'!$B$95*E1325</x:f>
        <x:v>51.388888888888886</x:v>
      </x:c>
      <x:c r="G1325" s="5" t="n">
        <x:f>'02_Actores'!$I$18</x:f>
        <x:v>45</x:v>
      </x:c>
      <x:c r="H1325" s="5" t="n">
        <x:f>IF(OR(AND(F1325&lt;'00_Arquitectura'!$B$118,G1325&lt;'00_Arquitectura'!$B$119),F1325&lt;'00_Arquitectura'!$B$120),1,0)</x:f>
        <x:v>0</x:v>
      </x:c>
      <x:c r="I1325" s="5" t="n">
        <x:f>0</x:f>
        <x:v>0</x:v>
      </x:c>
      <x:c r="J1325" s="5" t="n">
        <x:f>0</x:f>
        <x:v>0</x:v>
      </x:c>
      <x:c r="K1325" s="5" t="n">
        <x:f>$K$1313</x:f>
        <x:v>48.759669086667884</x:v>
      </x:c>
      <x:c r="L1325" s="5" t="str">
        <x:v>Conflicto activo captura menor eficacia en políticas ejecutadas en t+1. Magnitud0 en J: no es un offset directo de indicador.</x:v>
      </x:c>
    </x:row>
    <x:row r="1326" ht="34" customHeight="1">
      <x:c r="A1326" s="10" t="str">
        <x:v>S4_PRESTAMO</x:v>
      </x:c>
      <x:c r="B1326" s="10" t="n">
        <x:v>1</x:v>
      </x:c>
      <x:c r="C1326" s="10" t="str">
        <x:v>cultura</x:v>
      </x:c>
      <x:c r="D1326" s="10" t="n">
        <x:f>(ABS('03_Sensibilidades'!$C$54)*IF('03_Sensibilidades'!$C$54&lt;0,100-'01_Indicadores'!$H$18,'01_Indicadores'!$H$18)+ABS('03_Sensibilidades'!$C$55)*IF('03_Sensibilidades'!$C$55&lt;0,100-'01_Indicadores'!$H$13,'01_Indicadores'!$H$13)+ABS('03_Sensibilidades'!$C$56)*IF('03_Sensibilidades'!$C$56&lt;0,100-'01_Indicadores'!$H$8,'01_Indicadores'!$H$8))/(ABS('03_Sensibilidades'!$C$54)+ABS('03_Sensibilidades'!$C$55)+ABS('03_Sensibilidades'!$C$56))</x:f>
        <x:v>50.78947368421053</x:v>
      </x:c>
      <x:c r="E1326" s="10" t="n">
        <x:f>(ABS('03_Sensibilidades'!$C$54)*IF('03_Sensibilidades'!$C$54&lt;0,100-$K$501,$K$501)+ABS('03_Sensibilidades'!$C$55)*IF('03_Sensibilidades'!$C$55&lt;0,100-$K$496,$K$496)+ABS('03_Sensibilidades'!$C$56)*IF('03_Sensibilidades'!$C$56&lt;0,100-$K$491,$K$491))/(ABS('03_Sensibilidades'!$C$54)+ABS('03_Sensibilidades'!$C$55)+ABS('03_Sensibilidades'!$C$56))</x:f>
        <x:v>50.78947368421053</x:v>
      </x:c>
      <x:c r="F1326" s="10" t="n">
        <x:f>(1-'00_Arquitectura'!$B$95)*D1326+'00_Arquitectura'!$B$95*E1326</x:f>
        <x:v>50.78947368421053</x:v>
      </x:c>
      <x:c r="G1326" s="10" t="n">
        <x:f>'02_Actores'!$I$19</x:f>
        <x:v>45</x:v>
      </x:c>
      <x:c r="H1326" s="10" t="n">
        <x:f>IF(OR(AND(F1326&lt;'00_Arquitectura'!$B$118,G1326&lt;'00_Arquitectura'!$B$119),F1326&lt;'00_Arquitectura'!$B$120),1,0)</x:f>
        <x:v>0</x:v>
      </x:c>
      <x:c r="I1326" s="10" t="n">
        <x:f>0</x:f>
        <x:v>0</x:v>
      </x:c>
      <x:c r="J1326" s="10" t="n">
        <x:f>0</x:f>
        <x:v>0</x:v>
      </x:c>
      <x:c r="K1326" s="10" t="n">
        <x:f>$K$1313</x:f>
        <x:v>48.759669086667884</x:v>
      </x:c>
      <x:c r="L1326" s="10" t="str">
        <x:v>Conflicto activo encarece agenda del turno siguiente; sin castigo electoral adicional.</x:v>
      </x:c>
    </x:row>
    <x:row r="1327" ht="34" customHeight="1">
      <x:c r="A1327" s="5" t="str">
        <x:v>S4_PRESTAMO</x:v>
      </x:c>
      <x:c r="B1327" s="5" t="n">
        <x:v>1</x:v>
      </x:c>
      <x:c r="C1327" s="5" t="str">
        <x:v>oficialismo</x:v>
      </x:c>
      <x:c r="D1327" s="5" t="n">
        <x:f>(ABS('03_Sensibilidades'!$C$57)*IF('03_Sensibilidades'!$C$57&lt;0,100-'01_Indicadores'!$H$18,'01_Indicadores'!$H$18)+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52.12</x:v>
      </x:c>
      <x:c r="E1327" s="5" t="n">
        <x:f>(ABS('03_Sensibilidades'!$C$57)*IF('03_Sensibilidades'!$C$57&lt;0,100-$K$501,$K$501)+ABS('03_Sensibilidades'!$C$58)*IF('03_Sensibilidades'!$C$58&lt;0,100-$K$490,$K$490)+ABS('03_Sensibilidades'!$C$59)*IF('03_Sensibilidades'!$C$59&lt;0,100-$K$493,$K$493)+ABS('03_Sensibilidades'!$C$60)*IF('03_Sensibilidades'!$C$60&lt;0,100-$K$498,$K$498))/(ABS('03_Sensibilidades'!$C$57)+ABS('03_Sensibilidades'!$C$58)+ABS('03_Sensibilidades'!$C$59)+ABS('03_Sensibilidades'!$C$60))</x:f>
        <x:v>52.12</x:v>
      </x:c>
      <x:c r="F1327" s="5" t="n">
        <x:f>(1-'00_Arquitectura'!$B$95)*D1327+'00_Arquitectura'!$B$95*E1327</x:f>
        <x:v>52.12</x:v>
      </x:c>
      <x:c r="G1327" s="5" t="n">
        <x:f>'02_Actores'!$I$20</x:f>
        <x:v>60</x:v>
      </x:c>
      <x:c r="H1327" s="5" t="n">
        <x:f>IF(OR(AND(F1327&lt;'00_Arquitectura'!$B$118,G1327&lt;'00_Arquitectura'!$B$119),F1327&lt;'00_Arquitectura'!$B$120),1,0)</x:f>
        <x:v>0</x:v>
      </x:c>
      <x:c r="I1327" s="5" t="n">
        <x:f>0</x:f>
        <x:v>0</x:v>
      </x:c>
      <x:c r="J1327" s="5" t="n">
        <x:f>0</x:f>
        <x:v>0</x:v>
      </x:c>
      <x:c r="K1327" s="5" t="n">
        <x:f>$K$1313</x:f>
        <x:v>48.759669086667884</x:v>
      </x:c>
      <x:c r="L1327" s="5" t="str">
        <x:v>No aporta E_social; S y R alimentan disposición a leyes según07.</x:v>
      </x:c>
    </x:row>
    <x:row r="1328" ht="34" customHeight="1">
      <x:c r="A1328" s="10" t="str">
        <x:v>S4_PRESTAMO</x:v>
      </x:c>
      <x:c r="B1328" s="10" t="n">
        <x:v>1</x:v>
      </x:c>
      <x:c r="C1328" s="10" t="str">
        <x:v>aliados</x:v>
      </x:c>
      <x:c r="D1328" s="10" t="n">
        <x:f>(ABS('03_Sensibilidades'!$C$61)*IF('03_Sensibilidades'!$C$61&lt;0,100-'01_Indicadores'!$H$18,'01_Indicadores'!$H$18)+ABS('03_Sensibilidades'!$C$62)*IF('03_Sensibilidades'!$C$62&lt;0,100-'01_Indicadores'!$H$10,'01_Indicadores'!$H$10)+ABS('03_Sensibilidades'!$C$63)*IF('03_Sensibilidades'!$C$63&lt;0,100-'01_Indicadores'!$H$12,'01_Indicadores'!$H$12))/(ABS('03_Sensibilidades'!$C$61)+ABS('03_Sensibilidades'!$C$62)+ABS('03_Sensibilidades'!$C$63))</x:f>
        <x:v>53.142857142857146</x:v>
      </x:c>
      <x:c r="E1328" s="10" t="n">
        <x:f>(ABS('03_Sensibilidades'!$C$61)*IF('03_Sensibilidades'!$C$61&lt;0,100-$K$501,$K$501)+ABS('03_Sensibilidades'!$C$62)*IF('03_Sensibilidades'!$C$62&lt;0,100-$K$493,$K$493)+ABS('03_Sensibilidades'!$C$63)*IF('03_Sensibilidades'!$C$63&lt;0,100-$K$495,$K$495))/(ABS('03_Sensibilidades'!$C$61)+ABS('03_Sensibilidades'!$C$62)+ABS('03_Sensibilidades'!$C$63))</x:f>
        <x:v>53.142857142857146</x:v>
      </x:c>
      <x:c r="F1328" s="10" t="n">
        <x:f>(1-'00_Arquitectura'!$B$95)*D1328+'00_Arquitectura'!$B$95*E1328</x:f>
        <x:v>53.142857142857146</x:v>
      </x:c>
      <x:c r="G1328" s="10" t="n">
        <x:f>'02_Actores'!$I$21</x:f>
        <x:v>45</x:v>
      </x:c>
      <x:c r="H1328" s="10" t="n">
        <x:f>IF(OR(AND(F1328&lt;'00_Arquitectura'!$B$118,G1328&lt;'00_Arquitectura'!$B$119),F1328&lt;'00_Arquitectura'!$B$120),1,0)</x:f>
        <x:v>0</x:v>
      </x:c>
      <x:c r="I1328" s="10" t="n">
        <x:f>0</x:f>
        <x:v>0</x:v>
      </x:c>
      <x:c r="J1328" s="10" t="n">
        <x:f>0</x:f>
        <x:v>0</x:v>
      </x:c>
      <x:c r="K1328" s="10" t="n">
        <x:f>$K$1313</x:f>
        <x:v>48.759669086667884</x:v>
      </x:c>
      <x:c r="L1328" s="10" t="str">
        <x:v>No aporta E_social; S y R alimentan disposición a leyes según07.</x:v>
      </x:c>
    </x:row>
    <x:row r="1329" ht="34" customHeight="1">
      <x:c r="A1329" s="5" t="str">
        <x:v>S4_PRESTAMO</x:v>
      </x:c>
      <x:c r="B1329" s="5" t="n">
        <x:v>1</x:v>
      </x:c>
      <x:c r="C1329" s="5" t="str">
        <x:v>oposicion</x:v>
      </x:c>
      <x:c r="D1329" s="5" t="n">
        <x:f>(ABS('03_Sensibilidades'!$C$64)*IF('03_Sensibilidades'!$C$64&lt;0,100-'01_Indicadores'!$H$18,'01_Indicadores'!$H$18)+ABS('03_Sensibilidades'!$C$65)*IF('03_Sensibilidades'!$C$65&lt;0,100-'01_Indicadores'!$H$10,'01_Indicadores'!$H$10)+ABS('03_Sensibilidades'!$C$66)*IF('03_Sensibilidades'!$C$66&lt;0,100-'01_Indicadores'!$H$16,'01_Indicadores'!$H$16))/(ABS('03_Sensibilidades'!$C$64)+ABS('03_Sensibilidades'!$C$65)+ABS('03_Sensibilidades'!$C$66))</x:f>
        <x:v>53.9</x:v>
      </x:c>
      <x:c r="E1329" s="5" t="n">
        <x:f>(ABS('03_Sensibilidades'!$C$64)*IF('03_Sensibilidades'!$C$64&lt;0,100-$K$501,$K$501)+ABS('03_Sensibilidades'!$C$65)*IF('03_Sensibilidades'!$C$65&lt;0,100-$K$493,$K$493)+ABS('03_Sensibilidades'!$C$66)*IF('03_Sensibilidades'!$C$66&lt;0,100-$K$499,$K$499))/(ABS('03_Sensibilidades'!$C$64)+ABS('03_Sensibilidades'!$C$65)+ABS('03_Sensibilidades'!$C$66))</x:f>
        <x:v>53.9</x:v>
      </x:c>
      <x:c r="F1329" s="5" t="n">
        <x:f>(1-'00_Arquitectura'!$B$95)*D1329+'00_Arquitectura'!$B$95*E1329</x:f>
        <x:v>53.900000000000006</x:v>
      </x:c>
      <x:c r="G1329" s="5" t="n">
        <x:f>'02_Actores'!$I$22</x:f>
        <x:v>30</x:v>
      </x:c>
      <x:c r="H1329" s="5" t="n">
        <x:f>IF(OR(AND(F1329&lt;'00_Arquitectura'!$B$118,G1329&lt;'00_Arquitectura'!$B$119),F1329&lt;'00_Arquitectura'!$B$120),1,0)</x:f>
        <x:v>0</x:v>
      </x:c>
      <x:c r="I1329" s="5" t="n">
        <x:f>0</x:f>
        <x:v>0</x:v>
      </x:c>
      <x:c r="J1329" s="5" t="n">
        <x:f>0</x:f>
        <x:v>0</x:v>
      </x:c>
      <x:c r="K1329" s="5" t="n">
        <x:f>$K$1313</x:f>
        <x:v>48.759669086667884</x:v>
      </x:c>
      <x:c r="L1329" s="5" t="str">
        <x:v>No aporta E_social; S y R alimentan disposición a leyes según07.</x:v>
      </x:c>
    </x:row>
    <x:row r="1330" ht="42" customHeight="1">
      <x:c r="A1330" s="10" t="str">
        <x:v>S4_PRESTAMO</x:v>
      </x:c>
      <x:c r="B1330" s="10" t="n">
        <x:v>1</x:v>
      </x:c>
      <x:c r="C1330" s="10" t="str">
        <x:v>gobernadores</x:v>
      </x:c>
      <x:c r="D1330" s="10"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E1330" s="10" t="n">
        <x:f>(ABS('03_Sensibilidades'!$C$67)*IF('03_Sensibilidades'!$C$67&lt;0,100-$K$495,$K$495)+ABS('03_Sensibilidades'!$C$68)*IF('03_Sensibilidades'!$C$68&lt;0,100-$K$497,$K$497)+ABS('03_Sensibilidades'!$C$69)*IF('03_Sensibilidades'!$C$69&lt;0,100-$K$496,$K$496)+ABS('03_Sensibilidades'!$C$70)*IF('03_Sensibilidades'!$C$70&lt;0,100-$K$493,$K$493))/(ABS('03_Sensibilidades'!$C$67)+ABS('03_Sensibilidades'!$C$68)+ABS('03_Sensibilidades'!$C$69)+ABS('03_Sensibilidades'!$C$70))</x:f>
        <x:v>50.10344827586207</x:v>
      </x:c>
      <x:c r="F1330" s="10" t="n">
        <x:f>(1-'00_Arquitectura'!$B$95)*D1330+'00_Arquitectura'!$B$95*E1330</x:f>
        <x:v>50.10344827586207</x:v>
      </x:c>
      <x:c r="G1330" s="10" t="n">
        <x:f>'02_Actores'!$I$23</x:f>
        <x:v>45</x:v>
      </x:c>
      <x:c r="H1330" s="10" t="n">
        <x:f>IF(OR(AND(F1330&lt;'00_Arquitectura'!$B$118,G1330&lt;'00_Arquitectura'!$B$119),F1330&lt;'00_Arquitectura'!$B$120),1,0)</x:f>
        <x:v>0</x:v>
      </x:c>
      <x:c r="I1330" s="10" t="n">
        <x:f>0</x:f>
        <x:v>0</x:v>
      </x:c>
      <x:c r="J1330" s="10" t="n">
        <x:f>0</x:f>
        <x:v>0</x:v>
      </x:c>
      <x:c r="K1330" s="10" t="n">
        <x:f>$K$1313</x:f>
        <x:v>48.759669086667884</x:v>
      </x:c>
      <x:c r="L1330" s="10" t="str">
        <x:v>Conflicto activo captura menor eficacia en políticas ejecutadas en t+1. Magnitud0 en J: no es un offset directo de indicador.</x:v>
      </x:c>
    </x:row>
    <x:row r="1331" ht="34" customHeight="1">
      <x:c r="A1331" s="5" t="str">
        <x:v>S4_PRESTAMO</x:v>
      </x:c>
      <x:c r="B1331" s="5" t="n">
        <x:v>2</x:v>
      </x:c>
      <x:c r="C1331" s="5" t="str">
        <x:v>industria</x:v>
      </x:c>
      <x:c r="D1331" s="5" t="n">
        <x:f>$F$1313</x:f>
        <x:v>46.48148148148148</x:v>
      </x:c>
      <x:c r="E1331" s="5" t="n">
        <x:f>(ABS('03_Sensibilidades'!$C$6)*IF('03_Sensibilidades'!$C$6&lt;0,100-$K$506,$K$506)+ABS('03_Sensibilidades'!$C$7)*IF('03_Sensibilidades'!$C$7&lt;0,100-$K$504,$K$504)+ABS('03_Sensibilidades'!$C$8)*IF('03_Sensibilidades'!$C$8&lt;0,100-$K$509,$K$509)+ABS('03_Sensibilidades'!$C$9)*IF('03_Sensibilidades'!$C$9&lt;0,100-$K$508,$K$508))/(ABS('03_Sensibilidades'!$C$6)+ABS('03_Sensibilidades'!$C$7)+ABS('03_Sensibilidades'!$C$8)+ABS('03_Sensibilidades'!$C$9))</x:f>
        <x:v>46.48148148148148</x:v>
      </x:c>
      <x:c r="F1331" s="5" t="n">
        <x:f>(1-'00_Arquitectura'!$B$95)*D1331+'00_Arquitectura'!$B$95*E1331</x:f>
        <x:v>46.48148148148148</x:v>
      </x:c>
      <x:c r="G1331" s="5" t="n">
        <x:f>'02_Actores'!$I$6</x:f>
        <x:v>45</x:v>
      </x:c>
      <x:c r="H1331" s="5" t="n">
        <x:f>IF(OR(AND(F1331&lt;'00_Arquitectura'!$B$118,G1331&lt;'00_Arquitectura'!$B$119),F1331&lt;'00_Arquitectura'!$B$120),1,0)</x:f>
        <x:v>0</x:v>
      </x:c>
      <x:c r="I1331" s="5" t="n">
        <x:f>IF($I$1313=1,IF(OR(AND(F1331&lt;'00_Arquitectura'!$B$121,G1331&lt;'00_Arquitectura'!$B$122),F1331&lt;'00_Arquitectura'!$B$123),1,0),IF(AND(H1331=1,$H$1313=1),1,0))</x:f>
        <x:v>0</x:v>
      </x:c>
      <x:c r="J1331" s="5" t="n">
        <x:f>-I1331*2*'02_Actores'!$E$6/10</x:f>
        <x:v>0</x:v>
      </x:c>
      <x:c r="K1331" s="5" t="n">
        <x:f>($F$1331*'02_Actores'!$F$6+$F$1332*'02_Actores'!$F$7+$F$1333*'02_Actores'!$F$8+$F$1334*'02_Actores'!$F$9+$F$1335*'02_Actores'!$F$10+$F$1336*'02_Actores'!$F$11+$F$1337*'02_Actores'!$F$12+$F$1338*'02_Actores'!$F$13+$F$1339*'02_Actores'!$F$14+$F$1340*'02_Actores'!$F$15+$F$1341*'02_Actores'!$F$16+$F$1342*'02_Actores'!$F$17+$F$1343*'02_Actores'!$F$18+$F$1344*'02_Actores'!$F$19)/('02_Actores'!$F$6+'02_Actores'!$F$7+'02_Actores'!$F$8+'02_Actores'!$F$9+'02_Actores'!$F$10+'02_Actores'!$F$11+'02_Actores'!$F$12+'02_Actores'!$F$13+'02_Actores'!$F$14+'02_Actores'!$F$15+'02_Actores'!$F$16+'02_Actores'!$F$17+'02_Actores'!$F$18+'02_Actores'!$F$19)</x:f>
        <x:v>48.81631529966994</x:v>
      </x:c>
      <x:c r="L1331" s="5" t="str">
        <x:v>J programa offset para t+1; efecto sustituible y acotado, sin voto adicional.</x:v>
      </x:c>
    </x:row>
    <x:row r="1332" ht="34" customHeight="1">
      <x:c r="A1332" s="10" t="str">
        <x:v>S4_PRESTAMO</x:v>
      </x:c>
      <x:c r="B1332" s="10" t="n">
        <x:v>2</x:v>
      </x:c>
      <x:c r="C1332" s="10" t="str">
        <x:v>agro</x:v>
      </x:c>
      <x:c r="D1332" s="10" t="n">
        <x:f>$F$1314</x:f>
        <x:v>45.892857142857146</x:v>
      </x:c>
      <x:c r="E1332" s="10" t="n">
        <x:f>(ABS('03_Sensibilidades'!$C$10)*IF('03_Sensibilidades'!$C$10&lt;0,100-$K$508,$K$508)+ABS('03_Sensibilidades'!$C$11)*IF('03_Sensibilidades'!$C$11&lt;0,100-$K$509,$K$509)+ABS('03_Sensibilidades'!$C$12)*IF('03_Sensibilidades'!$C$12&lt;0,100-$K$516,$K$516)+ABS('03_Sensibilidades'!$C$13)*IF('03_Sensibilidades'!$C$13&lt;0,100-$K$506,$K$506))/(ABS('03_Sensibilidades'!$C$10)+ABS('03_Sensibilidades'!$C$11)+ABS('03_Sensibilidades'!$C$12)+ABS('03_Sensibilidades'!$C$13))</x:f>
        <x:v>45.892857142857146</x:v>
      </x:c>
      <x:c r="F1332" s="10" t="n">
        <x:f>(1-'00_Arquitectura'!$B$95)*D1332+'00_Arquitectura'!$B$95*E1332</x:f>
        <x:v>45.892857142857146</x:v>
      </x:c>
      <x:c r="G1332" s="10" t="n">
        <x:f>'02_Actores'!$I$7</x:f>
        <x:v>45</x:v>
      </x:c>
      <x:c r="H1332" s="10" t="n">
        <x:f>IF(OR(AND(F1332&lt;'00_Arquitectura'!$B$118,G1332&lt;'00_Arquitectura'!$B$119),F1332&lt;'00_Arquitectura'!$B$120),1,0)</x:f>
        <x:v>0</x:v>
      </x:c>
      <x:c r="I1332" s="10" t="n">
        <x:f>IF($I$1314=1,IF(OR(AND(F1332&lt;'00_Arquitectura'!$B$121,G1332&lt;'00_Arquitectura'!$B$122),F1332&lt;'00_Arquitectura'!$B$123),1,0),IF(AND(H1332=1,$H$1314=1),1,0))</x:f>
        <x:v>0</x:v>
      </x:c>
      <x:c r="J1332" s="10" t="n">
        <x:f>-I1332*2*'02_Actores'!$E$7/10</x:f>
        <x:v>0</x:v>
      </x:c>
      <x:c r="K1332" s="10" t="n">
        <x:f>$K$1331</x:f>
        <x:v>48.81631529966994</x:v>
      </x:c>
      <x:c r="L1332" s="10" t="str">
        <x:v>J programa offset para t+1; efecto sustituible y acotado, sin voto adicional.</x:v>
      </x:c>
    </x:row>
    <x:row r="1333" ht="34" customHeight="1">
      <x:c r="A1333" s="5" t="str">
        <x:v>S4_PRESTAMO</x:v>
      </x:c>
      <x:c r="B1333" s="5" t="n">
        <x:v>2</x:v>
      </x:c>
      <x:c r="C1333" s="5" t="str">
        <x:v>financiero</x:v>
      </x:c>
      <x:c r="D1333" s="5" t="n">
        <x:f>$F$1315</x:f>
        <x:v>55</x:v>
      </x:c>
      <x:c r="E1333" s="5" t="n">
        <x:f>(ABS('03_Sensibilidades'!$C$14)*IF('03_Sensibilidades'!$C$14&lt;0,100-$K$507,$K$507)+ABS('03_Sensibilidades'!$C$15)*IF('03_Sensibilidades'!$C$15&lt;0,100-$K$503,$K$503)+ABS('03_Sensibilidades'!$C$16)*IF('03_Sensibilidades'!$C$16&lt;0,100-$K$506,$K$506)+ABS('03_Sensibilidades'!$C$17)*IF('03_Sensibilidades'!$C$17&lt;0,100-$K$515,$K$515))/(ABS('03_Sensibilidades'!$C$14)+ABS('03_Sensibilidades'!$C$15)+ABS('03_Sensibilidades'!$C$16)+ABS('03_Sensibilidades'!$C$17))</x:f>
        <x:v>52.51724137931034</x:v>
      </x:c>
      <x:c r="F1333" s="5" t="n">
        <x:f>(1-'00_Arquitectura'!$B$95)*D1333+'00_Arquitectura'!$B$95*E1333</x:f>
        <x:v>54.13103448275862</x:v>
      </x:c>
      <x:c r="G1333" s="5" t="n">
        <x:f>'02_Actores'!$I$8</x:f>
        <x:v>45</x:v>
      </x:c>
      <x:c r="H1333" s="5" t="n">
        <x:f>IF(OR(AND(F1333&lt;'00_Arquitectura'!$B$118,G1333&lt;'00_Arquitectura'!$B$119),F1333&lt;'00_Arquitectura'!$B$120),1,0)</x:f>
        <x:v>0</x:v>
      </x:c>
      <x:c r="I1333" s="5" t="n">
        <x:f>IF($I$1315=1,IF(OR(AND(F1333&lt;'00_Arquitectura'!$B$121,G1333&lt;'00_Arquitectura'!$B$122),F1333&lt;'00_Arquitectura'!$B$123),1,0),IF(AND(H1333=1,$H$1315=1),1,0))</x:f>
        <x:v>0</x:v>
      </x:c>
      <x:c r="J1333" s="5" t="n">
        <x:f>-I1333*2*'02_Actores'!$E$8/10</x:f>
        <x:v>0</x:v>
      </x:c>
      <x:c r="K1333" s="5" t="n">
        <x:f>$K$1331</x:f>
        <x:v>48.81631529966994</x:v>
      </x:c>
      <x:c r="L1333" s="5" t="str">
        <x:v>J programa offset para t+1; efecto sustituible y acotado, sin voto adicional.</x:v>
      </x:c>
    </x:row>
    <x:row r="1334" ht="34" customHeight="1">
      <x:c r="A1334" s="10" t="str">
        <x:v>S4_PRESTAMO</x:v>
      </x:c>
      <x:c r="B1334" s="10" t="n">
        <x:v>2</x:v>
      </x:c>
      <x:c r="C1334" s="10" t="str">
        <x:v>sindicatos</x:v>
      </x:c>
      <x:c r="D1334" s="10" t="n">
        <x:f>$F$1316</x:f>
        <x:v>47.93103448275862</x:v>
      </x:c>
      <x:c r="E1334" s="10" t="n">
        <x:f>(ABS('03_Sensibilidades'!$C$18)*IF('03_Sensibilidades'!$C$18&lt;0,100-$K$505,$K$505)+ABS('03_Sensibilidades'!$C$19)*IF('03_Sensibilidades'!$C$19&lt;0,100-$K$504,$K$504)+ABS('03_Sensibilidades'!$C$20)*IF('03_Sensibilidades'!$C$20&lt;0,100-$K$512,$K$512)+ABS('03_Sensibilidades'!$C$21)*IF('03_Sensibilidades'!$C$21&lt;0,100-$K$515,$K$515))/(ABS('03_Sensibilidades'!$C$18)+ABS('03_Sensibilidades'!$C$19)+ABS('03_Sensibilidades'!$C$20)+ABS('03_Sensibilidades'!$C$21))</x:f>
        <x:v>48.206896551724135</x:v>
      </x:c>
      <x:c r="F1334" s="10" t="n">
        <x:f>(1-'00_Arquitectura'!$B$95)*D1334+'00_Arquitectura'!$B$95*E1334</x:f>
        <x:v>48.02758620689655</x:v>
      </x:c>
      <x:c r="G1334" s="10" t="n">
        <x:f>'02_Actores'!$I$9</x:f>
        <x:v>45</x:v>
      </x:c>
      <x:c r="H1334" s="10" t="n">
        <x:f>IF(OR(AND(F1334&lt;'00_Arquitectura'!$B$118,G1334&lt;'00_Arquitectura'!$B$119),F1334&lt;'00_Arquitectura'!$B$120),1,0)</x:f>
        <x:v>0</x:v>
      </x:c>
      <x:c r="I1334" s="10" t="n">
        <x:f>IF($I$1316=1,IF(OR(AND(F1334&lt;'00_Arquitectura'!$B$121,G1334&lt;'00_Arquitectura'!$B$122),F1334&lt;'00_Arquitectura'!$B$123),1,0),IF(AND(H1334=1,$H$1316=1),1,0))</x:f>
        <x:v>0</x:v>
      </x:c>
      <x:c r="J1334" s="10" t="n">
        <x:f>-I1334*2*'02_Actores'!$E$9/10</x:f>
        <x:v>0</x:v>
      </x:c>
      <x:c r="K1334" s="10" t="n">
        <x:f>$K$1331</x:f>
        <x:v>48.81631529966994</x:v>
      </x:c>
      <x:c r="L1334" s="10" t="str">
        <x:v>J programa offset para t+1; efecto sustituible y acotado, sin voto adicional.</x:v>
      </x:c>
    </x:row>
    <x:row r="1335" ht="34" customHeight="1">
      <x:c r="A1335" s="5" t="str">
        <x:v>S4_PRESTAMO</x:v>
      </x:c>
      <x:c r="B1335" s="5" t="n">
        <x:v>2</x:v>
      </x:c>
      <x:c r="C1335" s="5" t="str">
        <x:v>pymes</x:v>
      </x:c>
      <x:c r="D1335" s="5" t="n">
        <x:f>$F$1317</x:f>
        <x:v>49.13793103448276</x:v>
      </x:c>
      <x:c r="E1335" s="5" t="n">
        <x:f>(ABS('03_Sensibilidades'!$C$22)*IF('03_Sensibilidades'!$C$22&lt;0,100-$K$506,$K$506)+ABS('03_Sensibilidades'!$C$23)*IF('03_Sensibilidades'!$C$23&lt;0,100-$K$504,$K$504)+ABS('03_Sensibilidades'!$C$24)*IF('03_Sensibilidades'!$C$24&lt;0,100-$K$509,$K$509)+ABS('03_Sensibilidades'!$C$25)*IF('03_Sensibilidades'!$C$25&lt;0,100-$K$503,$K$503))/(ABS('03_Sensibilidades'!$C$22)+ABS('03_Sensibilidades'!$C$23)+ABS('03_Sensibilidades'!$C$24)+ABS('03_Sensibilidades'!$C$25))</x:f>
        <x:v>49.13793103448276</x:v>
      </x:c>
      <x:c r="F1335" s="5" t="n">
        <x:f>(1-'00_Arquitectura'!$B$95)*D1335+'00_Arquitectura'!$B$95*E1335</x:f>
        <x:v>49.13793103448276</x:v>
      </x:c>
      <x:c r="G1335" s="5" t="n">
        <x:f>'02_Actores'!$I$10</x:f>
        <x:v>45</x:v>
      </x:c>
      <x:c r="H1335" s="5" t="n">
        <x:f>IF(OR(AND(F1335&lt;'00_Arquitectura'!$B$118,G1335&lt;'00_Arquitectura'!$B$119),F1335&lt;'00_Arquitectura'!$B$120),1,0)</x:f>
        <x:v>0</x:v>
      </x:c>
      <x:c r="I1335" s="5" t="n">
        <x:f>IF($I$1317=1,IF(OR(AND(F1335&lt;'00_Arquitectura'!$B$121,G1335&lt;'00_Arquitectura'!$B$122),F1335&lt;'00_Arquitectura'!$B$123),1,0),IF(AND(H1335=1,$H$1317=1),1,0))</x:f>
        <x:v>0</x:v>
      </x:c>
      <x:c r="J1335" s="5" t="n">
        <x:f>-I1335*2*'02_Actores'!$E$10/10</x:f>
        <x:v>0</x:v>
      </x:c>
      <x:c r="K1335" s="5" t="n">
        <x:f>$K$1331</x:f>
        <x:v>48.81631529966994</x:v>
      </x:c>
      <x:c r="L1335" s="5" t="str">
        <x:v>J programa offset para t+1; efecto sustituible y acotado, sin voto adicional.</x:v>
      </x:c>
    </x:row>
    <x:row r="1336" ht="34" customHeight="1">
      <x:c r="A1336" s="10" t="str">
        <x:v>S4_PRESTAMO</x:v>
      </x:c>
      <x:c r="B1336" s="10" t="n">
        <x:v>2</x:v>
      </x:c>
      <x:c r="C1336" s="10" t="str">
        <x:v>clase_media</x:v>
      </x:c>
      <x:c r="D1336" s="10" t="n">
        <x:f>$F$1318</x:f>
        <x:v>48.333333333333336</x:v>
      </x:c>
      <x:c r="E1336" s="10" t="n">
        <x:f>(ABS('03_Sensibilidades'!$C$26)*IF('03_Sensibilidades'!$C$26&lt;0,100-$K$505,$K$505)+ABS('03_Sensibilidades'!$C$27)*IF('03_Sensibilidades'!$C$27&lt;0,100-$K$513,$K$513)+ABS('03_Sensibilidades'!$C$28)*IF('03_Sensibilidades'!$C$28&lt;0,100-$K$510,$K$510)+ABS('03_Sensibilidades'!$C$29)*IF('03_Sensibilidades'!$C$29&lt;0,100-$K$503,$K$503))/(ABS('03_Sensibilidades'!$C$26)+ABS('03_Sensibilidades'!$C$27)+ABS('03_Sensibilidades'!$C$28)+ABS('03_Sensibilidades'!$C$29))</x:f>
        <x:v>48.333333333333336</x:v>
      </x:c>
      <x:c r="F1336" s="10" t="n">
        <x:f>(1-'00_Arquitectura'!$B$95)*D1336+'00_Arquitectura'!$B$95*E1336</x:f>
        <x:v>48.333333333333336</x:v>
      </x:c>
      <x:c r="G1336" s="10" t="n">
        <x:f>'02_Actores'!$I$11</x:f>
        <x:v>45</x:v>
      </x:c>
      <x:c r="H1336" s="10" t="n">
        <x:f>IF(OR(AND(F1336&lt;'00_Arquitectura'!$B$118,G1336&lt;'00_Arquitectura'!$B$119),F1336&lt;'00_Arquitectura'!$B$120),1,0)</x:f>
        <x:v>0</x:v>
      </x:c>
      <x:c r="I1336" s="10" t="n">
        <x:f>IF($I$1318=1,IF(OR(AND(F1336&lt;'00_Arquitectura'!$B$121,G1336&lt;'00_Arquitectura'!$B$122),F1336&lt;'00_Arquitectura'!$B$123),1,0),IF(AND(H1336=1,$H$1318=1),1,0))</x:f>
        <x:v>0</x:v>
      </x:c>
      <x:c r="J1336" s="10" t="n">
        <x:f>0</x:f>
        <x:v>0</x:v>
      </x:c>
      <x:c r="K1336" s="10" t="n">
        <x:f>$K$1331</x:f>
        <x:v>48.81631529966994</x:v>
      </x:c>
      <x:c r="L1336" s="10" t="str">
        <x:v>Canal directo sólo al índice social; sin bono de popularidad.</x:v>
      </x:c>
    </x:row>
    <x:row r="1337" ht="34" customHeight="1">
      <x:c r="A1337" s="5" t="str">
        <x:v>S4_PRESTAMO</x:v>
      </x:c>
      <x:c r="B1337" s="5" t="n">
        <x:v>2</x:v>
      </x:c>
      <x:c r="C1337" s="5" t="str">
        <x:v>cooperativas</x:v>
      </x:c>
      <x:c r="D1337" s="5" t="n">
        <x:f>$F$1319</x:f>
        <x:v>47.77777777777778</x:v>
      </x:c>
      <x:c r="E1337" s="5" t="n">
        <x:f>(ABS('03_Sensibilidades'!$C$30)*IF('03_Sensibilidades'!$C$30&lt;0,100-$K$506,$K$506)+ABS('03_Sensibilidades'!$C$31)*IF('03_Sensibilidades'!$C$31&lt;0,100-$K$504,$K$504)+ABS('03_Sensibilidades'!$C$32)*IF('03_Sensibilidades'!$C$32&lt;0,100-$K$512,$K$512)+ABS('03_Sensibilidades'!$C$33)*IF('03_Sensibilidades'!$C$33&lt;0,100-$K$515,$K$515))/(ABS('03_Sensibilidades'!$C$30)+ABS('03_Sensibilidades'!$C$31)+ABS('03_Sensibilidades'!$C$32)+ABS('03_Sensibilidades'!$C$33))</x:f>
        <x:v>48.074074074074076</x:v>
      </x:c>
      <x:c r="F1337" s="5" t="n">
        <x:f>(1-'00_Arquitectura'!$B$95)*D1337+'00_Arquitectura'!$B$95*E1337</x:f>
        <x:v>47.88148148148149</x:v>
      </x:c>
      <x:c r="G1337" s="5" t="n">
        <x:f>'02_Actores'!$I$12</x:f>
        <x:v>45</x:v>
      </x:c>
      <x:c r="H1337" s="5" t="n">
        <x:f>IF(OR(AND(F1337&lt;'00_Arquitectura'!$B$118,G1337&lt;'00_Arquitectura'!$B$119),F1337&lt;'00_Arquitectura'!$B$120),1,0)</x:f>
        <x:v>0</x:v>
      </x:c>
      <x:c r="I1337" s="5" t="n">
        <x:f>IF($I$1319=1,IF(OR(AND(F1337&lt;'00_Arquitectura'!$B$121,G1337&lt;'00_Arquitectura'!$B$122),F1337&lt;'00_Arquitectura'!$B$123),1,0),IF(AND(H1337=1,$H$1319=1),1,0))</x:f>
        <x:v>0</x:v>
      </x:c>
      <x:c r="J1337" s="5" t="n">
        <x:f>-I1337*1.5*'02_Actores'!$E$12/10</x:f>
        <x:v>0</x:v>
      </x:c>
      <x:c r="K1337" s="5" t="n">
        <x:f>$K$1331</x:f>
        <x:v>48.81631529966994</x:v>
      </x:c>
      <x:c r="L1337" s="5" t="str">
        <x:v>J programa offset para t+1; efecto sustituible y acotado, sin voto adicional.</x:v>
      </x:c>
    </x:row>
    <x:row r="1338" ht="42" customHeight="1">
      <x:c r="A1338" s="10" t="str">
        <x:v>S4_PRESTAMO</x:v>
      </x:c>
      <x:c r="B1338" s="10" t="n">
        <x:v>2</x:v>
      </x:c>
      <x:c r="C1338" s="10" t="str">
        <x:v>estudiantes</x:v>
      </x:c>
      <x:c r="D1338" s="10" t="n">
        <x:f>$F$1320</x:f>
        <x:v>49.2</x:v>
      </x:c>
      <x:c r="E1338" s="10" t="n">
        <x:f>(ABS('03_Sensibilidades'!$C$34)*IF('03_Sensibilidades'!$C$34&lt;0,100-$K$510,$K$510)+ABS('03_Sensibilidades'!$C$35)*IF('03_Sensibilidades'!$C$35&lt;0,100-$K$505,$K$505)+ABS('03_Sensibilidades'!$C$36)*IF('03_Sensibilidades'!$C$36&lt;0,100-$K$515,$K$515)+ABS('03_Sensibilidades'!$C$37)*IF('03_Sensibilidades'!$C$37&lt;0,100-$K$514,$K$514))/(ABS('03_Sensibilidades'!$C$34)+ABS('03_Sensibilidades'!$C$35)+ABS('03_Sensibilidades'!$C$36)+ABS('03_Sensibilidades'!$C$37))</x:f>
        <x:v>49.76</x:v>
      </x:c>
      <x:c r="F1338" s="10" t="n">
        <x:f>(1-'00_Arquitectura'!$B$95)*D1338+'00_Arquitectura'!$B$95*E1338</x:f>
        <x:v>49.396</x:v>
      </x:c>
      <x:c r="G1338" s="10" t="n">
        <x:f>'02_Actores'!$I$13</x:f>
        <x:v>45</x:v>
      </x:c>
      <x:c r="H1338" s="10" t="n">
        <x:f>IF(OR(AND(F1338&lt;'00_Arquitectura'!$B$118,G1338&lt;'00_Arquitectura'!$B$119),F1338&lt;'00_Arquitectura'!$B$120),1,0)</x:f>
        <x:v>0</x:v>
      </x:c>
      <x:c r="I1338" s="10" t="n">
        <x:f>IF($I$1320=1,IF(OR(AND(F1338&lt;'00_Arquitectura'!$B$121,G1338&lt;'00_Arquitectura'!$B$122),F1338&lt;'00_Arquitectura'!$B$123),1,0),IF(AND(H1338=1,$H$1320=1),1,0))</x:f>
        <x:v>0</x:v>
      </x:c>
      <x:c r="J1338" s="10" t="n">
        <x:f>0</x:f>
        <x:v>0</x:v>
      </x:c>
      <x:c r="K1338" s="10" t="n">
        <x:f>$K$1331</x:f>
        <x:v>48.81631529966994</x:v>
      </x:c>
      <x:c r="L1338" s="10" t="str">
        <x:v>Conflicto activo captura menor eficacia en políticas ejecutadas en t+1. Magnitud0 en J: no es un offset directo de indicador.</x:v>
      </x:c>
    </x:row>
    <x:row r="1339" ht="34" customHeight="1">
      <x:c r="A1339" s="5" t="str">
        <x:v>S4_PRESTAMO</x:v>
      </x:c>
      <x:c r="B1339" s="5" t="n">
        <x:v>2</x:v>
      </x:c>
      <x:c r="C1339" s="5" t="str">
        <x:v>docentes</x:v>
      </x:c>
      <x:c r="D1339" s="5" t="n">
        <x:f>$F$1321</x:f>
        <x:v>48.91304347826087</x:v>
      </x:c>
      <x:c r="E1339" s="5" t="n">
        <x:f>(ABS('03_Sensibilidades'!$C$38)*IF('03_Sensibilidades'!$C$38&lt;0,100-$K$510,$K$510)+ABS('03_Sensibilidades'!$C$39)*IF('03_Sensibilidades'!$C$39&lt;0,100-$K$505,$K$505)+ABS('03_Sensibilidades'!$C$40)*IF('03_Sensibilidades'!$C$40&lt;0,100-$K$515,$K$515))/(ABS('03_Sensibilidades'!$C$38)+ABS('03_Sensibilidades'!$C$39)+ABS('03_Sensibilidades'!$C$40))</x:f>
        <x:v>49.26086956521739</x:v>
      </x:c>
      <x:c r="F1339" s="5" t="n">
        <x:f>(1-'00_Arquitectura'!$B$95)*D1339+'00_Arquitectura'!$B$95*E1339</x:f>
        <x:v>49.03478260869565</x:v>
      </x:c>
      <x:c r="G1339" s="5" t="n">
        <x:f>'02_Actores'!$I$14</x:f>
        <x:v>45</x:v>
      </x:c>
      <x:c r="H1339" s="5" t="n">
        <x:f>IF(OR(AND(F1339&lt;'00_Arquitectura'!$B$118,G1339&lt;'00_Arquitectura'!$B$119),F1339&lt;'00_Arquitectura'!$B$120),1,0)</x:f>
        <x:v>0</x:v>
      </x:c>
      <x:c r="I1339" s="5" t="n">
        <x:f>IF($I$1321=1,IF(OR(AND(F1339&lt;'00_Arquitectura'!$B$121,G1339&lt;'00_Arquitectura'!$B$122),F1339&lt;'00_Arquitectura'!$B$123),1,0),IF(AND(H1339=1,$H$1321=1),1,0))</x:f>
        <x:v>0</x:v>
      </x:c>
      <x:c r="J1339" s="5" t="n">
        <x:f>-I1339*1.5*'02_Actores'!$E$14/10</x:f>
        <x:v>0</x:v>
      </x:c>
      <x:c r="K1339" s="5" t="n">
        <x:f>$K$1331</x:f>
        <x:v>48.81631529966994</x:v>
      </x:c>
      <x:c r="L1339" s="5" t="str">
        <x:v>J programa offset para t+1; efecto sustituible y acotado, sin voto adicional.</x:v>
      </x:c>
    </x:row>
    <x:row r="1340" ht="34" customHeight="1">
      <x:c r="A1340" s="10" t="str">
        <x:v>S4_PRESTAMO</x:v>
      </x:c>
      <x:c r="B1340" s="10" t="n">
        <x:v>2</x:v>
      </x:c>
      <x:c r="C1340" s="10" t="str">
        <x:v>cientificos</x:v>
      </x:c>
      <x:c r="D1340" s="10" t="n">
        <x:f>$F$1322</x:f>
        <x:v>46.59090909090909</x:v>
      </x:c>
      <x:c r="E1340" s="10" t="n">
        <x:f>(ABS('03_Sensibilidades'!$C$41)*IF('03_Sensibilidades'!$C$41&lt;0,100-$K$514,$K$514)+ABS('03_Sensibilidades'!$C$42)*IF('03_Sensibilidades'!$C$42&lt;0,100-$K$510,$K$510)+ABS('03_Sensibilidades'!$C$43)*IF('03_Sensibilidades'!$C$43&lt;0,100-$K$515,$K$515))/(ABS('03_Sensibilidades'!$C$41)+ABS('03_Sensibilidades'!$C$42)+ABS('03_Sensibilidades'!$C$43))</x:f>
        <x:v>47.04545454545455</x:v>
      </x:c>
      <x:c r="F1340" s="10" t="n">
        <x:f>(1-'00_Arquitectura'!$B$95)*D1340+'00_Arquitectura'!$B$95*E1340</x:f>
        <x:v>46.75</x:v>
      </x:c>
      <x:c r="G1340" s="10" t="n">
        <x:f>'02_Actores'!$I$15</x:f>
        <x:v>45</x:v>
      </x:c>
      <x:c r="H1340" s="10" t="n">
        <x:f>IF(OR(AND(F1340&lt;'00_Arquitectura'!$B$118,G1340&lt;'00_Arquitectura'!$B$119),F1340&lt;'00_Arquitectura'!$B$120),1,0)</x:f>
        <x:v>0</x:v>
      </x:c>
      <x:c r="I1340" s="10" t="n">
        <x:f>IF($I$1322=1,IF(OR(AND(F1340&lt;'00_Arquitectura'!$B$121,G1340&lt;'00_Arquitectura'!$B$122),F1340&lt;'00_Arquitectura'!$B$123),1,0),IF(AND(H1340=1,$H$1322=1),1,0))</x:f>
        <x:v>0</x:v>
      </x:c>
      <x:c r="J1340" s="10" t="n">
        <x:f>-I1340*1.5*'02_Actores'!$E$15/10</x:f>
        <x:v>0</x:v>
      </x:c>
      <x:c r="K1340" s="10" t="n">
        <x:f>$K$1331</x:f>
        <x:v>48.81631529966994</x:v>
      </x:c>
      <x:c r="L1340" s="10" t="str">
        <x:v>J programa offset para t+1; efecto sustituible y acotado, sin voto adicional.</x:v>
      </x:c>
    </x:row>
    <x:row r="1341" ht="34" customHeight="1">
      <x:c r="A1341" s="5" t="str">
        <x:v>S4_PRESTAMO</x:v>
      </x:c>
      <x:c r="B1341" s="5" t="n">
        <x:v>2</x:v>
      </x:c>
      <x:c r="C1341" s="5" t="str">
        <x:v>organizaciones</x:v>
      </x:c>
      <x:c r="D1341" s="5" t="n">
        <x:f>$F$1323</x:f>
        <x:v>49.107142857142854</x:v>
      </x:c>
      <x:c r="E1341" s="5" t="n">
        <x:f>(ABS('03_Sensibilidades'!$C$44)*IF('03_Sensibilidades'!$C$44&lt;0,100-$K$512,$K$512)+ABS('03_Sensibilidades'!$C$45)*IF('03_Sensibilidades'!$C$45&lt;0,100-$K$511,$K$511)+ABS('03_Sensibilidades'!$C$46)*IF('03_Sensibilidades'!$C$46&lt;0,100-$K$504,$K$504)+ABS('03_Sensibilidades'!$C$47)*IF('03_Sensibilidades'!$C$47&lt;0,100-$K$515,$K$515))/(ABS('03_Sensibilidades'!$C$44)+ABS('03_Sensibilidades'!$C$45)+ABS('03_Sensibilidades'!$C$46)+ABS('03_Sensibilidades'!$C$47))</x:f>
        <x:v>49.464285714285715</x:v>
      </x:c>
      <x:c r="F1341" s="5" t="n">
        <x:f>(1-'00_Arquitectura'!$B$95)*D1341+'00_Arquitectura'!$B$95*E1341</x:f>
        <x:v>49.23214285714286</x:v>
      </x:c>
      <x:c r="G1341" s="5" t="n">
        <x:f>'02_Actores'!$I$16</x:f>
        <x:v>45</x:v>
      </x:c>
      <x:c r="H1341" s="5" t="n">
        <x:f>IF(OR(AND(F1341&lt;'00_Arquitectura'!$B$118,G1341&lt;'00_Arquitectura'!$B$119),F1341&lt;'00_Arquitectura'!$B$120),1,0)</x:f>
        <x:v>0</x:v>
      </x:c>
      <x:c r="I1341" s="5" t="n">
        <x:f>IF($I$1323=1,IF(OR(AND(F1341&lt;'00_Arquitectura'!$B$121,G1341&lt;'00_Arquitectura'!$B$122),F1341&lt;'00_Arquitectura'!$B$123),1,0),IF(AND(H1341=1,$H$1323=1),1,0))</x:f>
        <x:v>0</x:v>
      </x:c>
      <x:c r="J1341" s="5" t="n">
        <x:f>-I1341*1.5*'02_Actores'!$E$16/10</x:f>
        <x:v>0</x:v>
      </x:c>
      <x:c r="K1341" s="5" t="n">
        <x:f>$K$1331</x:f>
        <x:v>48.81631529966994</x:v>
      </x:c>
      <x:c r="L1341" s="5" t="str">
        <x:v>J programa offset para t+1; efecto sustituible y acotado, sin voto adicional.</x:v>
      </x:c>
    </x:row>
    <x:row r="1342" ht="42" customHeight="1">
      <x:c r="A1342" s="10" t="str">
        <x:v>S4_PRESTAMO</x:v>
      </x:c>
      <x:c r="B1342" s="10" t="n">
        <x:v>2</x:v>
      </x:c>
      <x:c r="C1342" s="10" t="str">
        <x:v>ddhh</x:v>
      </x:c>
      <x:c r="D1342" s="10" t="n">
        <x:f>$F$1324</x:f>
        <x:v>50.88235294117648</x:v>
      </x:c>
      <x:c r="E1342" s="10" t="n">
        <x:f>(ABS('03_Sensibilidades'!$C$48)*IF('03_Sensibilidades'!$C$48&lt;0,100-$K$515,$K$515)+ABS('03_Sensibilidades'!$C$49)*IF('03_Sensibilidades'!$C$49&lt;0,100-$K$513,$K$513)+ABS('03_Sensibilidades'!$C$50)*IF('03_Sensibilidades'!$C$50&lt;0,100-$K$512,$K$512))/(ABS('03_Sensibilidades'!$C$48)+ABS('03_Sensibilidades'!$C$49)+ABS('03_Sensibilidades'!$C$50))</x:f>
        <x:v>52.05882352941177</x:v>
      </x:c>
      <x:c r="F1342" s="10" t="n">
        <x:f>(1-'00_Arquitectura'!$B$95)*D1342+'00_Arquitectura'!$B$95*E1342</x:f>
        <x:v>51.294117647058826</x:v>
      </x:c>
      <x:c r="G1342" s="10" t="n">
        <x:f>'02_Actores'!$I$17</x:f>
        <x:v>45</x:v>
      </x:c>
      <x:c r="H1342" s="10" t="n">
        <x:f>IF(OR(AND(F1342&lt;'00_Arquitectura'!$B$118,G1342&lt;'00_Arquitectura'!$B$119),F1342&lt;'00_Arquitectura'!$B$120),1,0)</x:f>
        <x:v>0</x:v>
      </x:c>
      <x:c r="I1342" s="10" t="n">
        <x:f>IF($I$1324=1,IF(OR(AND(F1342&lt;'00_Arquitectura'!$B$121,G1342&lt;'00_Arquitectura'!$B$122),F1342&lt;'00_Arquitectura'!$B$123),1,0),IF(AND(H1342=1,$H$1324=1),1,0))</x:f>
        <x:v>0</x:v>
      </x:c>
      <x:c r="J1342" s="10" t="n">
        <x:f>0</x:f>
        <x:v>0</x:v>
      </x:c>
      <x:c r="K1342" s="10" t="n">
        <x:f>$K$1331</x:f>
        <x:v>48.81631529966994</x:v>
      </x:c>
      <x:c r="L1342" s="10" t="str">
        <x:v>Conflicto activo captura menor eficacia en políticas ejecutadas en t+1. Magnitud0 en J: no es un offset directo de indicador.</x:v>
      </x:c>
    </x:row>
    <x:row r="1343" ht="42" customHeight="1">
      <x:c r="A1343" s="5" t="str">
        <x:v>S4_PRESTAMO</x:v>
      </x:c>
      <x:c r="B1343" s="5" t="n">
        <x:v>2</x:v>
      </x:c>
      <x:c r="C1343" s="5" t="str">
        <x:v>ambientalistas</x:v>
      </x:c>
      <x:c r="D1343" s="5" t="n">
        <x:f>$F$1325</x:f>
        <x:v>51.388888888888886</x:v>
      </x:c>
      <x:c r="E1343" s="5" t="n">
        <x:f>(ABS('03_Sensibilidades'!$C$51)*IF('03_Sensibilidades'!$C$51&lt;0,100-$K$516,$K$516)+ABS('03_Sensibilidades'!$C$52)*IF('03_Sensibilidades'!$C$52&lt;0,100-$K$515,$K$515)+ABS('03_Sensibilidades'!$C$53)*IF('03_Sensibilidades'!$C$53&lt;0,100-$K$511,$K$511))/(ABS('03_Sensibilidades'!$C$51)+ABS('03_Sensibilidades'!$C$52)+ABS('03_Sensibilidades'!$C$53))</x:f>
        <x:v>51.94444444444444</x:v>
      </x:c>
      <x:c r="F1343" s="5" t="n">
        <x:f>(1-'00_Arquitectura'!$B$95)*D1343+'00_Arquitectura'!$B$95*E1343</x:f>
        <x:v>51.58333333333333</x:v>
      </x:c>
      <x:c r="G1343" s="5" t="n">
        <x:f>'02_Actores'!$I$18</x:f>
        <x:v>45</x:v>
      </x:c>
      <x:c r="H1343" s="5" t="n">
        <x:f>IF(OR(AND(F1343&lt;'00_Arquitectura'!$B$118,G1343&lt;'00_Arquitectura'!$B$119),F1343&lt;'00_Arquitectura'!$B$120),1,0)</x:f>
        <x:v>0</x:v>
      </x:c>
      <x:c r="I1343" s="5" t="n">
        <x:f>IF($I$1325=1,IF(OR(AND(F1343&lt;'00_Arquitectura'!$B$121,G1343&lt;'00_Arquitectura'!$B$122),F1343&lt;'00_Arquitectura'!$B$123),1,0),IF(AND(H1343=1,$H$1325=1),1,0))</x:f>
        <x:v>0</x:v>
      </x:c>
      <x:c r="J1343" s="5" t="n">
        <x:f>0</x:f>
        <x:v>0</x:v>
      </x:c>
      <x:c r="K1343" s="5" t="n">
        <x:f>$K$1331</x:f>
        <x:v>48.81631529966994</x:v>
      </x:c>
      <x:c r="L1343" s="5" t="str">
        <x:v>Conflicto activo captura menor eficacia en políticas ejecutadas en t+1. Magnitud0 en J: no es un offset directo de indicador.</x:v>
      </x:c>
    </x:row>
    <x:row r="1344" ht="34" customHeight="1">
      <x:c r="A1344" s="10" t="str">
        <x:v>S4_PRESTAMO</x:v>
      </x:c>
      <x:c r="B1344" s="10" t="n">
        <x:v>2</x:v>
      </x:c>
      <x:c r="C1344" s="10" t="str">
        <x:v>cultura</x:v>
      </x:c>
      <x:c r="D1344" s="10" t="n">
        <x:f>$F$1326</x:f>
        <x:v>50.78947368421053</x:v>
      </x:c>
      <x:c r="E1344" s="10" t="n">
        <x:f>(ABS('03_Sensibilidades'!$C$54)*IF('03_Sensibilidades'!$C$54&lt;0,100-$K$515,$K$515)+ABS('03_Sensibilidades'!$C$55)*IF('03_Sensibilidades'!$C$55&lt;0,100-$K$510,$K$510)+ABS('03_Sensibilidades'!$C$56)*IF('03_Sensibilidades'!$C$56&lt;0,100-$K$505,$K$505))/(ABS('03_Sensibilidades'!$C$54)+ABS('03_Sensibilidades'!$C$55)+ABS('03_Sensibilidades'!$C$56))</x:f>
        <x:v>51.63157894736842</x:v>
      </x:c>
      <x:c r="F1344" s="10" t="n">
        <x:f>(1-'00_Arquitectura'!$B$95)*D1344+'00_Arquitectura'!$B$95*E1344</x:f>
        <x:v>51.084210526315786</x:v>
      </x:c>
      <x:c r="G1344" s="10" t="n">
        <x:f>'02_Actores'!$I$19</x:f>
        <x:v>45</x:v>
      </x:c>
      <x:c r="H1344" s="10" t="n">
        <x:f>IF(OR(AND(F1344&lt;'00_Arquitectura'!$B$118,G1344&lt;'00_Arquitectura'!$B$119),F1344&lt;'00_Arquitectura'!$B$120),1,0)</x:f>
        <x:v>0</x:v>
      </x:c>
      <x:c r="I1344" s="10" t="n">
        <x:f>IF($I$1326=1,IF(OR(AND(F1344&lt;'00_Arquitectura'!$B$121,G1344&lt;'00_Arquitectura'!$B$122),F1344&lt;'00_Arquitectura'!$B$123),1,0),IF(AND(H1344=1,$H$1326=1),1,0))</x:f>
        <x:v>0</x:v>
      </x:c>
      <x:c r="J1344" s="10" t="n">
        <x:f>0</x:f>
        <x:v>0</x:v>
      </x:c>
      <x:c r="K1344" s="10" t="n">
        <x:f>$K$1331</x:f>
        <x:v>48.81631529966994</x:v>
      </x:c>
      <x:c r="L1344" s="10" t="str">
        <x:v>Conflicto activo encarece agenda del turno siguiente; sin castigo electoral adicional.</x:v>
      </x:c>
    </x:row>
    <x:row r="1345" ht="34" customHeight="1">
      <x:c r="A1345" s="5" t="str">
        <x:v>S4_PRESTAMO</x:v>
      </x:c>
      <x:c r="B1345" s="5" t="n">
        <x:v>2</x:v>
      </x:c>
      <x:c r="C1345" s="5" t="str">
        <x:v>oficialismo</x:v>
      </x:c>
      <x:c r="D1345" s="5" t="n">
        <x:f>$F$1327</x:f>
        <x:v>52.12</x:v>
      </x:c>
      <x:c r="E1345" s="5" t="n">
        <x:f>(ABS('03_Sensibilidades'!$C$57)*IF('03_Sensibilidades'!$C$57&lt;0,100-$K$515,$K$515)+ABS('03_Sensibilidades'!$C$58)*IF('03_Sensibilidades'!$C$58&lt;0,100-$K$504,$K$504)+ABS('03_Sensibilidades'!$C$59)*IF('03_Sensibilidades'!$C$59&lt;0,100-$K$507,$K$507)+ABS('03_Sensibilidades'!$C$60)*IF('03_Sensibilidades'!$C$60&lt;0,100-$K$512,$K$512))/(ABS('03_Sensibilidades'!$C$57)+ABS('03_Sensibilidades'!$C$58)+ABS('03_Sensibilidades'!$C$59)+ABS('03_Sensibilidades'!$C$60))</x:f>
        <x:v>50.68</x:v>
      </x:c>
      <x:c r="F1345" s="5" t="n">
        <x:f>(1-'00_Arquitectura'!$B$95)*D1345+'00_Arquitectura'!$B$95*E1345</x:f>
        <x:v>51.616</x:v>
      </x:c>
      <x:c r="G1345" s="5" t="n">
        <x:f>'02_Actores'!$I$20</x:f>
        <x:v>60</x:v>
      </x:c>
      <x:c r="H1345" s="5" t="n">
        <x:f>IF(OR(AND(F1345&lt;'00_Arquitectura'!$B$118,G1345&lt;'00_Arquitectura'!$B$119),F1345&lt;'00_Arquitectura'!$B$120),1,0)</x:f>
        <x:v>0</x:v>
      </x:c>
      <x:c r="I1345" s="5" t="n">
        <x:f>IF($I$1327=1,IF(OR(AND(F1345&lt;'00_Arquitectura'!$B$121,G1345&lt;'00_Arquitectura'!$B$122),F1345&lt;'00_Arquitectura'!$B$123),1,0),IF(AND(H1345=1,$H$1327=1),1,0))</x:f>
        <x:v>0</x:v>
      </x:c>
      <x:c r="J1345" s="5" t="n">
        <x:f>0</x:f>
        <x:v>0</x:v>
      </x:c>
      <x:c r="K1345" s="5" t="n">
        <x:f>$K$1331</x:f>
        <x:v>48.81631529966994</x:v>
      </x:c>
      <x:c r="L1345" s="5" t="str">
        <x:v>No aporta E_social; S y R alimentan disposición a leyes según07.</x:v>
      </x:c>
    </x:row>
    <x:row r="1346" ht="34" customHeight="1">
      <x:c r="A1346" s="10" t="str">
        <x:v>S4_PRESTAMO</x:v>
      </x:c>
      <x:c r="B1346" s="10" t="n">
        <x:v>2</x:v>
      </x:c>
      <x:c r="C1346" s="10" t="str">
        <x:v>aliados</x:v>
      </x:c>
      <x:c r="D1346" s="10" t="n">
        <x:f>$F$1328</x:f>
        <x:v>53.142857142857146</x:v>
      </x:c>
      <x:c r="E1346" s="10" t="n">
        <x:f>(ABS('03_Sensibilidades'!$C$61)*IF('03_Sensibilidades'!$C$61&lt;0,100-$K$515,$K$515)+ABS('03_Sensibilidades'!$C$62)*IF('03_Sensibilidades'!$C$62&lt;0,100-$K$507,$K$507)+ABS('03_Sensibilidades'!$C$63)*IF('03_Sensibilidades'!$C$63&lt;0,100-$K$509,$K$509))/(ABS('03_Sensibilidades'!$C$61)+ABS('03_Sensibilidades'!$C$62)+ABS('03_Sensibilidades'!$C$63))</x:f>
        <x:v>51.23809523809524</x:v>
      </x:c>
      <x:c r="F1346" s="10" t="n">
        <x:f>(1-'00_Arquitectura'!$B$95)*D1346+'00_Arquitectura'!$B$95*E1346</x:f>
        <x:v>52.47619047619048</x:v>
      </x:c>
      <x:c r="G1346" s="10" t="n">
        <x:f>'02_Actores'!$I$21</x:f>
        <x:v>45</x:v>
      </x:c>
      <x:c r="H1346" s="10" t="n">
        <x:f>IF(OR(AND(F1346&lt;'00_Arquitectura'!$B$118,G1346&lt;'00_Arquitectura'!$B$119),F1346&lt;'00_Arquitectura'!$B$120),1,0)</x:f>
        <x:v>0</x:v>
      </x:c>
      <x:c r="I1346" s="10" t="n">
        <x:f>IF($I$1328=1,IF(OR(AND(F1346&lt;'00_Arquitectura'!$B$121,G1346&lt;'00_Arquitectura'!$B$122),F1346&lt;'00_Arquitectura'!$B$123),1,0),IF(AND(H1346=1,$H$1328=1),1,0))</x:f>
        <x:v>0</x:v>
      </x:c>
      <x:c r="J1346" s="10" t="n">
        <x:f>0</x:f>
        <x:v>0</x:v>
      </x:c>
      <x:c r="K1346" s="10" t="n">
        <x:f>$K$1331</x:f>
        <x:v>48.81631529966994</x:v>
      </x:c>
      <x:c r="L1346" s="10" t="str">
        <x:v>No aporta E_social; S y R alimentan disposición a leyes según07.</x:v>
      </x:c>
    </x:row>
    <x:row r="1347" ht="34" customHeight="1">
      <x:c r="A1347" s="5" t="str">
        <x:v>S4_PRESTAMO</x:v>
      </x:c>
      <x:c r="B1347" s="5" t="n">
        <x:v>2</x:v>
      </x:c>
      <x:c r="C1347" s="5" t="str">
        <x:v>oposicion</x:v>
      </x:c>
      <x:c r="D1347" s="5" t="n">
        <x:f>$F$1329</x:f>
        <x:v>53.900000000000006</x:v>
      </x:c>
      <x:c r="E1347" s="5" t="n">
        <x:f>(ABS('03_Sensibilidades'!$C$64)*IF('03_Sensibilidades'!$C$64&lt;0,100-$K$515,$K$515)+ABS('03_Sensibilidades'!$C$65)*IF('03_Sensibilidades'!$C$65&lt;0,100-$K$507,$K$507)+ABS('03_Sensibilidades'!$C$66)*IF('03_Sensibilidades'!$C$66&lt;0,100-$K$513,$K$513))/(ABS('03_Sensibilidades'!$C$64)+ABS('03_Sensibilidades'!$C$65)+ABS('03_Sensibilidades'!$C$66))</x:f>
        <x:v>52.5</x:v>
      </x:c>
      <x:c r="F1347" s="5" t="n">
        <x:f>(1-'00_Arquitectura'!$B$95)*D1347+'00_Arquitectura'!$B$95*E1347</x:f>
        <x:v>53.410000000000004</x:v>
      </x:c>
      <x:c r="G1347" s="5" t="n">
        <x:f>'02_Actores'!$I$22</x:f>
        <x:v>30</x:v>
      </x:c>
      <x:c r="H1347" s="5" t="n">
        <x:f>IF(OR(AND(F1347&lt;'00_Arquitectura'!$B$118,G1347&lt;'00_Arquitectura'!$B$119),F1347&lt;'00_Arquitectura'!$B$120),1,0)</x:f>
        <x:v>0</x:v>
      </x:c>
      <x:c r="I1347" s="5" t="n">
        <x:f>IF($I$1329=1,IF(OR(AND(F1347&lt;'00_Arquitectura'!$B$121,G1347&lt;'00_Arquitectura'!$B$122),F1347&lt;'00_Arquitectura'!$B$123),1,0),IF(AND(H1347=1,$H$1329=1),1,0))</x:f>
        <x:v>0</x:v>
      </x:c>
      <x:c r="J1347" s="5" t="n">
        <x:f>0</x:f>
        <x:v>0</x:v>
      </x:c>
      <x:c r="K1347" s="5" t="n">
        <x:f>$K$1331</x:f>
        <x:v>48.81631529966994</x:v>
      </x:c>
      <x:c r="L1347" s="5" t="str">
        <x:v>No aporta E_social; S y R alimentan disposición a leyes según07.</x:v>
      </x:c>
    </x:row>
    <x:row r="1348" ht="42" customHeight="1">
      <x:c r="A1348" s="10" t="str">
        <x:v>S4_PRESTAMO</x:v>
      </x:c>
      <x:c r="B1348" s="10" t="n">
        <x:v>2</x:v>
      </x:c>
      <x:c r="C1348" s="10" t="str">
        <x:v>gobernadores</x:v>
      </x:c>
      <x:c r="D1348" s="10" t="n">
        <x:f>$F$1330</x:f>
        <x:v>50.10344827586207</x:v>
      </x:c>
      <x:c r="E1348" s="10" t="n">
        <x:f>(ABS('03_Sensibilidades'!$C$67)*IF('03_Sensibilidades'!$C$67&lt;0,100-$K$509,$K$509)+ABS('03_Sensibilidades'!$C$68)*IF('03_Sensibilidades'!$C$68&lt;0,100-$K$511,$K$511)+ABS('03_Sensibilidades'!$C$69)*IF('03_Sensibilidades'!$C$69&lt;0,100-$K$510,$K$510)+ABS('03_Sensibilidades'!$C$70)*IF('03_Sensibilidades'!$C$70&lt;0,100-$K$507,$K$507))/(ABS('03_Sensibilidades'!$C$67)+ABS('03_Sensibilidades'!$C$68)+ABS('03_Sensibilidades'!$C$69)+ABS('03_Sensibilidades'!$C$70))</x:f>
        <x:v>48.44827586206897</x:v>
      </x:c>
      <x:c r="F1348" s="10" t="n">
        <x:f>(1-'00_Arquitectura'!$B$95)*D1348+'00_Arquitectura'!$B$95*E1348</x:f>
        <x:v>49.52413793103449</x:v>
      </x:c>
      <x:c r="G1348" s="10" t="n">
        <x:f>'02_Actores'!$I$23</x:f>
        <x:v>45</x:v>
      </x:c>
      <x:c r="H1348" s="10" t="n">
        <x:f>IF(OR(AND(F1348&lt;'00_Arquitectura'!$B$118,G1348&lt;'00_Arquitectura'!$B$119),F1348&lt;'00_Arquitectura'!$B$120),1,0)</x:f>
        <x:v>0</x:v>
      </x:c>
      <x:c r="I1348" s="10" t="n">
        <x:f>IF($I$1330=1,IF(OR(AND(F1348&lt;'00_Arquitectura'!$B$121,G1348&lt;'00_Arquitectura'!$B$122),F1348&lt;'00_Arquitectura'!$B$123),1,0),IF(AND(H1348=1,$H$1330=1),1,0))</x:f>
        <x:v>0</x:v>
      </x:c>
      <x:c r="J1348" s="10" t="n">
        <x:f>0</x:f>
        <x:v>0</x:v>
      </x:c>
      <x:c r="K1348" s="10" t="n">
        <x:f>$K$1331</x:f>
        <x:v>48.81631529966994</x:v>
      </x:c>
      <x:c r="L1348" s="10" t="str">
        <x:v>Conflicto activo captura menor eficacia en políticas ejecutadas en t+1. Magnitud0 en J: no es un offset directo de indicador.</x:v>
      </x:c>
    </x:row>
    <x:row r="1349" ht="34" customHeight="1">
      <x:c r="A1349" s="5" t="str">
        <x:v>S4_PRESTAMO</x:v>
      </x:c>
      <x:c r="B1349" s="5" t="n">
        <x:v>3</x:v>
      </x:c>
      <x:c r="C1349" s="5" t="str">
        <x:v>industria</x:v>
      </x:c>
      <x:c r="D1349" s="5" t="n">
        <x:f>$F$1331</x:f>
        <x:v>46.48148148148148</x:v>
      </x:c>
      <x:c r="E1349" s="5" t="n">
        <x:f>(ABS('03_Sensibilidades'!$C$6)*IF('03_Sensibilidades'!$C$6&lt;0,100-$K$520,$K$520)+ABS('03_Sensibilidades'!$C$7)*IF('03_Sensibilidades'!$C$7&lt;0,100-$K$518,$K$518)+ABS('03_Sensibilidades'!$C$8)*IF('03_Sensibilidades'!$C$8&lt;0,100-$K$523,$K$523)+ABS('03_Sensibilidades'!$C$9)*IF('03_Sensibilidades'!$C$9&lt;0,100-$K$522,$K$522))/(ABS('03_Sensibilidades'!$C$6)+ABS('03_Sensibilidades'!$C$7)+ABS('03_Sensibilidades'!$C$8)+ABS('03_Sensibilidades'!$C$9))</x:f>
        <x:v>46.434074074074076</x:v>
      </x:c>
      <x:c r="F1349" s="5" t="n">
        <x:f>(1-'00_Arquitectura'!$B$95)*D1349+'00_Arquitectura'!$B$95*E1349</x:f>
        <x:v>46.464888888888886</x:v>
      </x:c>
      <x:c r="G1349" s="5" t="n">
        <x:f>'02_Actores'!$I$6</x:f>
        <x:v>45</x:v>
      </x:c>
      <x:c r="H1349" s="5" t="n">
        <x:f>IF(OR(AND(F1349&lt;'00_Arquitectura'!$B$118,G1349&lt;'00_Arquitectura'!$B$119),F1349&lt;'00_Arquitectura'!$B$120),1,0)</x:f>
        <x:v>0</x:v>
      </x:c>
      <x:c r="I1349" s="5" t="n">
        <x:f>IF($I$1331=1,IF(OR(AND(F1349&lt;'00_Arquitectura'!$B$121,G1349&lt;'00_Arquitectura'!$B$122),F1349&lt;'00_Arquitectura'!$B$123),1,0),IF(AND(H1349=1,$H$1331=1),1,0))</x:f>
        <x:v>0</x:v>
      </x:c>
      <x:c r="J1349" s="5" t="n">
        <x:f>-I1349*2*'02_Actores'!$E$6/10</x:f>
        <x:v>0</x:v>
      </x:c>
      <x:c r="K1349" s="5" t="n">
        <x:f>($F$1349*'02_Actores'!$F$6+$F$1350*'02_Actores'!$F$7+$F$1351*'02_Actores'!$F$8+$F$1352*'02_Actores'!$F$9+$F$1353*'02_Actores'!$F$10+$F$1354*'02_Actores'!$F$11+$F$1355*'02_Actores'!$F$12+$F$1356*'02_Actores'!$F$13+$F$1357*'02_Actores'!$F$14+$F$1358*'02_Actores'!$F$15+$F$1359*'02_Actores'!$F$16+$F$1360*'02_Actores'!$F$17+$F$1361*'02_Actores'!$F$18+$F$1362*'02_Actores'!$F$19)/('02_Actores'!$F$6+'02_Actores'!$F$7+'02_Actores'!$F$8+'02_Actores'!$F$9+'02_Actores'!$F$10+'02_Actores'!$F$11+'02_Actores'!$F$12+'02_Actores'!$F$13+'02_Actores'!$F$14+'02_Actores'!$F$15+'02_Actores'!$F$16+'02_Actores'!$F$17+'02_Actores'!$F$18+'02_Actores'!$F$19)</x:f>
        <x:v>48.871546139069984</x:v>
      </x:c>
      <x:c r="L1349" s="5" t="str">
        <x:v>J programa offset para t+1; efecto sustituible y acotado, sin voto adicional.</x:v>
      </x:c>
    </x:row>
    <x:row r="1350" ht="34" customHeight="1">
      <x:c r="A1350" s="10" t="str">
        <x:v>S4_PRESTAMO</x:v>
      </x:c>
      <x:c r="B1350" s="10" t="n">
        <x:v>3</x:v>
      </x:c>
      <x:c r="C1350" s="10" t="str">
        <x:v>agro</x:v>
      </x:c>
      <x:c r="D1350" s="10" t="n">
        <x:f>$F$1332</x:f>
        <x:v>45.892857142857146</x:v>
      </x:c>
      <x:c r="E1350" s="10" t="n">
        <x:f>(ABS('03_Sensibilidades'!$C$10)*IF('03_Sensibilidades'!$C$10&lt;0,100-$K$522,$K$522)+ABS('03_Sensibilidades'!$C$11)*IF('03_Sensibilidades'!$C$11&lt;0,100-$K$523,$K$523)+ABS('03_Sensibilidades'!$C$12)*IF('03_Sensibilidades'!$C$12&lt;0,100-$K$530,$K$530)+ABS('03_Sensibilidades'!$C$13)*IF('03_Sensibilidades'!$C$13&lt;0,100-$K$520,$K$520))/(ABS('03_Sensibilidades'!$C$10)+ABS('03_Sensibilidades'!$C$11)+ABS('03_Sensibilidades'!$C$12)+ABS('03_Sensibilidades'!$C$13))</x:f>
        <x:v>45.864285714285714</x:v>
      </x:c>
      <x:c r="F1350" s="10" t="n">
        <x:f>(1-'00_Arquitectura'!$B$95)*D1350+'00_Arquitectura'!$B$95*E1350</x:f>
        <x:v>45.88285714285715</x:v>
      </x:c>
      <x:c r="G1350" s="10" t="n">
        <x:f>'02_Actores'!$I$7</x:f>
        <x:v>45</x:v>
      </x:c>
      <x:c r="H1350" s="10" t="n">
        <x:f>IF(OR(AND(F1350&lt;'00_Arquitectura'!$B$118,G1350&lt;'00_Arquitectura'!$B$119),F1350&lt;'00_Arquitectura'!$B$120),1,0)</x:f>
        <x:v>0</x:v>
      </x:c>
      <x:c r="I1350" s="10" t="n">
        <x:f>IF($I$1332=1,IF(OR(AND(F1350&lt;'00_Arquitectura'!$B$121,G1350&lt;'00_Arquitectura'!$B$122),F1350&lt;'00_Arquitectura'!$B$123),1,0),IF(AND(H1350=1,$H$1332=1),1,0))</x:f>
        <x:v>0</x:v>
      </x:c>
      <x:c r="J1350" s="10" t="n">
        <x:f>-I1350*2*'02_Actores'!$E$7/10</x:f>
        <x:v>0</x:v>
      </x:c>
      <x:c r="K1350" s="10" t="n">
        <x:f>$K$1349</x:f>
        <x:v>48.871546139069984</x:v>
      </x:c>
      <x:c r="L1350" s="10" t="str">
        <x:v>J programa offset para t+1; efecto sustituible y acotado, sin voto adicional.</x:v>
      </x:c>
    </x:row>
    <x:row r="1351" ht="34" customHeight="1">
      <x:c r="A1351" s="5" t="str">
        <x:v>S4_PRESTAMO</x:v>
      </x:c>
      <x:c r="B1351" s="5" t="n">
        <x:v>3</x:v>
      </x:c>
      <x:c r="C1351" s="5" t="str">
        <x:v>financiero</x:v>
      </x:c>
      <x:c r="D1351" s="5" t="n">
        <x:f>$F$1333</x:f>
        <x:v>54.13103448275862</x:v>
      </x:c>
      <x:c r="E1351" s="5" t="n">
        <x:f>(ABS('03_Sensibilidades'!$C$14)*IF('03_Sensibilidades'!$C$14&lt;0,100-$K$521,$K$521)+ABS('03_Sensibilidades'!$C$15)*IF('03_Sensibilidades'!$C$15&lt;0,100-$K$517,$K$517)+ABS('03_Sensibilidades'!$C$16)*IF('03_Sensibilidades'!$C$16&lt;0,100-$K$520,$K$520)+ABS('03_Sensibilidades'!$C$17)*IF('03_Sensibilidades'!$C$17&lt;0,100-$K$529,$K$529))/(ABS('03_Sensibilidades'!$C$14)+ABS('03_Sensibilidades'!$C$15)+ABS('03_Sensibilidades'!$C$16)+ABS('03_Sensibilidades'!$C$17))</x:f>
        <x:v>54.0648275862069</x:v>
      </x:c>
      <x:c r="F1351" s="5" t="n">
        <x:f>(1-'00_Arquitectura'!$B$95)*D1351+'00_Arquitectura'!$B$95*E1351</x:f>
        <x:v>54.10786206896552</x:v>
      </x:c>
      <x:c r="G1351" s="5" t="n">
        <x:f>'02_Actores'!$I$8</x:f>
        <x:v>45</x:v>
      </x:c>
      <x:c r="H1351" s="5" t="n">
        <x:f>IF(OR(AND(F1351&lt;'00_Arquitectura'!$B$118,G1351&lt;'00_Arquitectura'!$B$119),F1351&lt;'00_Arquitectura'!$B$120),1,0)</x:f>
        <x:v>0</x:v>
      </x:c>
      <x:c r="I1351" s="5" t="n">
        <x:f>IF($I$1333=1,IF(OR(AND(F1351&lt;'00_Arquitectura'!$B$121,G1351&lt;'00_Arquitectura'!$B$122),F1351&lt;'00_Arquitectura'!$B$123),1,0),IF(AND(H1351=1,$H$1333=1),1,0))</x:f>
        <x:v>0</x:v>
      </x:c>
      <x:c r="J1351" s="5" t="n">
        <x:f>-I1351*2*'02_Actores'!$E$8/10</x:f>
        <x:v>0</x:v>
      </x:c>
      <x:c r="K1351" s="5" t="n">
        <x:f>$K$1349</x:f>
        <x:v>48.871546139069984</x:v>
      </x:c>
      <x:c r="L1351" s="5" t="str">
        <x:v>J programa offset para t+1; efecto sustituible y acotado, sin voto adicional.</x:v>
      </x:c>
    </x:row>
    <x:row r="1352" ht="34" customHeight="1">
      <x:c r="A1352" s="10" t="str">
        <x:v>S4_PRESTAMO</x:v>
      </x:c>
      <x:c r="B1352" s="10" t="n">
        <x:v>3</x:v>
      </x:c>
      <x:c r="C1352" s="10" t="str">
        <x:v>sindicatos</x:v>
      </x:c>
      <x:c r="D1352" s="10" t="n">
        <x:f>$F$1334</x:f>
        <x:v>48.02758620689655</x:v>
      </x:c>
      <x:c r="E1352" s="10" t="n">
        <x:f>(ABS('03_Sensibilidades'!$C$18)*IF('03_Sensibilidades'!$C$18&lt;0,100-$K$519,$K$519)+ABS('03_Sensibilidades'!$C$19)*IF('03_Sensibilidades'!$C$19&lt;0,100-$K$518,$K$518)+ABS('03_Sensibilidades'!$C$20)*IF('03_Sensibilidades'!$C$20&lt;0,100-$K$526,$K$526)+ABS('03_Sensibilidades'!$C$21)*IF('03_Sensibilidades'!$C$21&lt;0,100-$K$529,$K$529))/(ABS('03_Sensibilidades'!$C$18)+ABS('03_Sensibilidades'!$C$19)+ABS('03_Sensibilidades'!$C$20)+ABS('03_Sensibilidades'!$C$21))</x:f>
        <x:v>48.206896551724135</x:v>
      </x:c>
      <x:c r="F1352" s="10" t="n">
        <x:f>(1-'00_Arquitectura'!$B$95)*D1352+'00_Arquitectura'!$B$95*E1352</x:f>
        <x:v>48.09034482758621</x:v>
      </x:c>
      <x:c r="G1352" s="10" t="n">
        <x:f>'02_Actores'!$I$9</x:f>
        <x:v>45</x:v>
      </x:c>
      <x:c r="H1352" s="10" t="n">
        <x:f>IF(OR(AND(F1352&lt;'00_Arquitectura'!$B$118,G1352&lt;'00_Arquitectura'!$B$119),F1352&lt;'00_Arquitectura'!$B$120),1,0)</x:f>
        <x:v>0</x:v>
      </x:c>
      <x:c r="I1352" s="10" t="n">
        <x:f>IF($I$1334=1,IF(OR(AND(F1352&lt;'00_Arquitectura'!$B$121,G1352&lt;'00_Arquitectura'!$B$122),F1352&lt;'00_Arquitectura'!$B$123),1,0),IF(AND(H1352=1,$H$1334=1),1,0))</x:f>
        <x:v>0</x:v>
      </x:c>
      <x:c r="J1352" s="10" t="n">
        <x:f>-I1352*2*'02_Actores'!$E$9/10</x:f>
        <x:v>0</x:v>
      </x:c>
      <x:c r="K1352" s="10" t="n">
        <x:f>$K$1349</x:f>
        <x:v>48.871546139069984</x:v>
      </x:c>
      <x:c r="L1352" s="10" t="str">
        <x:v>J programa offset para t+1; efecto sustituible y acotado, sin voto adicional.</x:v>
      </x:c>
    </x:row>
    <x:row r="1353" ht="34" customHeight="1">
      <x:c r="A1353" s="5" t="str">
        <x:v>S4_PRESTAMO</x:v>
      </x:c>
      <x:c r="B1353" s="5" t="n">
        <x:v>3</x:v>
      </x:c>
      <x:c r="C1353" s="5" t="str">
        <x:v>pymes</x:v>
      </x:c>
      <x:c r="D1353" s="5" t="n">
        <x:f>$F$1335</x:f>
        <x:v>49.13793103448276</x:v>
      </x:c>
      <x:c r="E1353" s="5" t="n">
        <x:f>(ABS('03_Sensibilidades'!$C$22)*IF('03_Sensibilidades'!$C$22&lt;0,100-$K$520,$K$520)+ABS('03_Sensibilidades'!$C$23)*IF('03_Sensibilidades'!$C$23&lt;0,100-$K$518,$K$518)+ABS('03_Sensibilidades'!$C$24)*IF('03_Sensibilidades'!$C$24&lt;0,100-$K$523,$K$523)+ABS('03_Sensibilidades'!$C$25)*IF('03_Sensibilidades'!$C$25&lt;0,100-$K$517,$K$517))/(ABS('03_Sensibilidades'!$C$22)+ABS('03_Sensibilidades'!$C$23)+ABS('03_Sensibilidades'!$C$24)+ABS('03_Sensibilidades'!$C$25))</x:f>
        <x:v>49.08275862068966</x:v>
      </x:c>
      <x:c r="F1353" s="5" t="n">
        <x:f>(1-'00_Arquitectura'!$B$95)*D1353+'00_Arquitectura'!$B$95*E1353</x:f>
        <x:v>49.118620689655174</x:v>
      </x:c>
      <x:c r="G1353" s="5" t="n">
        <x:f>'02_Actores'!$I$10</x:f>
        <x:v>45</x:v>
      </x:c>
      <x:c r="H1353" s="5" t="n">
        <x:f>IF(OR(AND(F1353&lt;'00_Arquitectura'!$B$118,G1353&lt;'00_Arquitectura'!$B$119),F1353&lt;'00_Arquitectura'!$B$120),1,0)</x:f>
        <x:v>0</x:v>
      </x:c>
      <x:c r="I1353" s="5" t="n">
        <x:f>IF($I$1335=1,IF(OR(AND(F1353&lt;'00_Arquitectura'!$B$121,G1353&lt;'00_Arquitectura'!$B$122),F1353&lt;'00_Arquitectura'!$B$123),1,0),IF(AND(H1353=1,$H$1335=1),1,0))</x:f>
        <x:v>0</x:v>
      </x:c>
      <x:c r="J1353" s="5" t="n">
        <x:f>-I1353*2*'02_Actores'!$E$10/10</x:f>
        <x:v>0</x:v>
      </x:c>
      <x:c r="K1353" s="5" t="n">
        <x:f>$K$1349</x:f>
        <x:v>48.871546139069984</x:v>
      </x:c>
      <x:c r="L1353" s="5" t="str">
        <x:v>J programa offset para t+1; efecto sustituible y acotado, sin voto adicional.</x:v>
      </x:c>
    </x:row>
    <x:row r="1354" ht="34" customHeight="1">
      <x:c r="A1354" s="10" t="str">
        <x:v>S4_PRESTAMO</x:v>
      </x:c>
      <x:c r="B1354" s="10" t="n">
        <x:v>3</x:v>
      </x:c>
      <x:c r="C1354" s="10" t="str">
        <x:v>clase_media</x:v>
      </x:c>
      <x:c r="D1354" s="10" t="n">
        <x:f>$F$1336</x:f>
        <x:v>48.333333333333336</x:v>
      </x:c>
      <x:c r="E1354" s="10" t="n">
        <x:f>(ABS('03_Sensibilidades'!$C$26)*IF('03_Sensibilidades'!$C$26&lt;0,100-$K$519,$K$519)+ABS('03_Sensibilidades'!$C$27)*IF('03_Sensibilidades'!$C$27&lt;0,100-$K$527,$K$527)+ABS('03_Sensibilidades'!$C$28)*IF('03_Sensibilidades'!$C$28&lt;0,100-$K$524,$K$524)+ABS('03_Sensibilidades'!$C$29)*IF('03_Sensibilidades'!$C$29&lt;0,100-$K$517,$K$517))/(ABS('03_Sensibilidades'!$C$26)+ABS('03_Sensibilidades'!$C$27)+ABS('03_Sensibilidades'!$C$28)+ABS('03_Sensibilidades'!$C$29))</x:f>
        <x:v>48.333333333333336</x:v>
      </x:c>
      <x:c r="F1354" s="10" t="n">
        <x:f>(1-'00_Arquitectura'!$B$95)*D1354+'00_Arquitectura'!$B$95*E1354</x:f>
        <x:v>48.333333333333336</x:v>
      </x:c>
      <x:c r="G1354" s="10" t="n">
        <x:f>'02_Actores'!$I$11</x:f>
        <x:v>45</x:v>
      </x:c>
      <x:c r="H1354" s="10" t="n">
        <x:f>IF(OR(AND(F1354&lt;'00_Arquitectura'!$B$118,G1354&lt;'00_Arquitectura'!$B$119),F1354&lt;'00_Arquitectura'!$B$120),1,0)</x:f>
        <x:v>0</x:v>
      </x:c>
      <x:c r="I1354" s="10" t="n">
        <x:f>IF($I$1336=1,IF(OR(AND(F1354&lt;'00_Arquitectura'!$B$121,G1354&lt;'00_Arquitectura'!$B$122),F1354&lt;'00_Arquitectura'!$B$123),1,0),IF(AND(H1354=1,$H$1336=1),1,0))</x:f>
        <x:v>0</x:v>
      </x:c>
      <x:c r="J1354" s="10" t="n">
        <x:f>0</x:f>
        <x:v>0</x:v>
      </x:c>
      <x:c r="K1354" s="10" t="n">
        <x:f>$K$1349</x:f>
        <x:v>48.871546139069984</x:v>
      </x:c>
      <x:c r="L1354" s="10" t="str">
        <x:v>Canal directo sólo al índice social; sin bono de popularidad.</x:v>
      </x:c>
    </x:row>
    <x:row r="1355" ht="34" customHeight="1">
      <x:c r="A1355" s="5" t="str">
        <x:v>S4_PRESTAMO</x:v>
      </x:c>
      <x:c r="B1355" s="5" t="n">
        <x:v>3</x:v>
      </x:c>
      <x:c r="C1355" s="5" t="str">
        <x:v>cooperativas</x:v>
      </x:c>
      <x:c r="D1355" s="5" t="n">
        <x:f>$F$1337</x:f>
        <x:v>47.88148148148149</x:v>
      </x:c>
      <x:c r="E1355" s="5" t="n">
        <x:f>(ABS('03_Sensibilidades'!$C$30)*IF('03_Sensibilidades'!$C$30&lt;0,100-$K$520,$K$520)+ABS('03_Sensibilidades'!$C$31)*IF('03_Sensibilidades'!$C$31&lt;0,100-$K$518,$K$518)+ABS('03_Sensibilidades'!$C$32)*IF('03_Sensibilidades'!$C$32&lt;0,100-$K$526,$K$526)+ABS('03_Sensibilidades'!$C$33)*IF('03_Sensibilidades'!$C$33&lt;0,100-$K$529,$K$529))/(ABS('03_Sensibilidades'!$C$30)+ABS('03_Sensibilidades'!$C$31)+ABS('03_Sensibilidades'!$C$32)+ABS('03_Sensibilidades'!$C$33))</x:f>
        <x:v>48.0325925925926</x:v>
      </x:c>
      <x:c r="F1355" s="5" t="n">
        <x:f>(1-'00_Arquitectura'!$B$95)*D1355+'00_Arquitectura'!$B$95*E1355</x:f>
        <x:v>47.934370370370374</x:v>
      </x:c>
      <x:c r="G1355" s="5" t="n">
        <x:f>'02_Actores'!$I$12</x:f>
        <x:v>45</x:v>
      </x:c>
      <x:c r="H1355" s="5" t="n">
        <x:f>IF(OR(AND(F1355&lt;'00_Arquitectura'!$B$118,G1355&lt;'00_Arquitectura'!$B$119),F1355&lt;'00_Arquitectura'!$B$120),1,0)</x:f>
        <x:v>0</x:v>
      </x:c>
      <x:c r="I1355" s="5" t="n">
        <x:f>IF($I$1337=1,IF(OR(AND(F1355&lt;'00_Arquitectura'!$B$121,G1355&lt;'00_Arquitectura'!$B$122),F1355&lt;'00_Arquitectura'!$B$123),1,0),IF(AND(H1355=1,$H$1337=1),1,0))</x:f>
        <x:v>0</x:v>
      </x:c>
      <x:c r="J1355" s="5" t="n">
        <x:f>-I1355*1.5*'02_Actores'!$E$12/10</x:f>
        <x:v>0</x:v>
      </x:c>
      <x:c r="K1355" s="5" t="n">
        <x:f>$K$1349</x:f>
        <x:v>48.871546139069984</x:v>
      </x:c>
      <x:c r="L1355" s="5" t="str">
        <x:v>J programa offset para t+1; efecto sustituible y acotado, sin voto adicional.</x:v>
      </x:c>
    </x:row>
    <x:row r="1356" ht="42" customHeight="1">
      <x:c r="A1356" s="10" t="str">
        <x:v>S4_PRESTAMO</x:v>
      </x:c>
      <x:c r="B1356" s="10" t="n">
        <x:v>3</x:v>
      </x:c>
      <x:c r="C1356" s="10" t="str">
        <x:v>estudiantes</x:v>
      </x:c>
      <x:c r="D1356" s="10" t="n">
        <x:f>$F$1338</x:f>
        <x:v>49.396</x:v>
      </x:c>
      <x:c r="E1356" s="10" t="n">
        <x:f>(ABS('03_Sensibilidades'!$C$34)*IF('03_Sensibilidades'!$C$34&lt;0,100-$K$524,$K$524)+ABS('03_Sensibilidades'!$C$35)*IF('03_Sensibilidades'!$C$35&lt;0,100-$K$519,$K$519)+ABS('03_Sensibilidades'!$C$36)*IF('03_Sensibilidades'!$C$36&lt;0,100-$K$529,$K$529)+ABS('03_Sensibilidades'!$C$37)*IF('03_Sensibilidades'!$C$37&lt;0,100-$K$528,$K$528))/(ABS('03_Sensibilidades'!$C$34)+ABS('03_Sensibilidades'!$C$35)+ABS('03_Sensibilidades'!$C$36)+ABS('03_Sensibilidades'!$C$37))</x:f>
        <x:v>49.76</x:v>
      </x:c>
      <x:c r="F1356" s="10" t="n">
        <x:f>(1-'00_Arquitectura'!$B$95)*D1356+'00_Arquitectura'!$B$95*E1356</x:f>
        <x:v>49.523399999999995</x:v>
      </x:c>
      <x:c r="G1356" s="10" t="n">
        <x:f>'02_Actores'!$I$13</x:f>
        <x:v>45</x:v>
      </x:c>
      <x:c r="H1356" s="10" t="n">
        <x:f>IF(OR(AND(F1356&lt;'00_Arquitectura'!$B$118,G1356&lt;'00_Arquitectura'!$B$119),F1356&lt;'00_Arquitectura'!$B$120),1,0)</x:f>
        <x:v>0</x:v>
      </x:c>
      <x:c r="I1356" s="10" t="n">
        <x:f>IF($I$1338=1,IF(OR(AND(F1356&lt;'00_Arquitectura'!$B$121,G1356&lt;'00_Arquitectura'!$B$122),F1356&lt;'00_Arquitectura'!$B$123),1,0),IF(AND(H1356=1,$H$1338=1),1,0))</x:f>
        <x:v>0</x:v>
      </x:c>
      <x:c r="J1356" s="10" t="n">
        <x:f>0</x:f>
        <x:v>0</x:v>
      </x:c>
      <x:c r="K1356" s="10" t="n">
        <x:f>$K$1349</x:f>
        <x:v>48.871546139069984</x:v>
      </x:c>
      <x:c r="L1356" s="10" t="str">
        <x:v>Conflicto activo captura menor eficacia en políticas ejecutadas en t+1. Magnitud0 en J: no es un offset directo de indicador.</x:v>
      </x:c>
    </x:row>
    <x:row r="1357" ht="34" customHeight="1">
      <x:c r="A1357" s="5" t="str">
        <x:v>S4_PRESTAMO</x:v>
      </x:c>
      <x:c r="B1357" s="5" t="n">
        <x:v>3</x:v>
      </x:c>
      <x:c r="C1357" s="5" t="str">
        <x:v>docentes</x:v>
      </x:c>
      <x:c r="D1357" s="5" t="n">
        <x:f>$F$1339</x:f>
        <x:v>49.03478260869565</x:v>
      </x:c>
      <x:c r="E1357" s="5" t="n">
        <x:f>(ABS('03_Sensibilidades'!$C$38)*IF('03_Sensibilidades'!$C$38&lt;0,100-$K$524,$K$524)+ABS('03_Sensibilidades'!$C$39)*IF('03_Sensibilidades'!$C$39&lt;0,100-$K$519,$K$519)+ABS('03_Sensibilidades'!$C$40)*IF('03_Sensibilidades'!$C$40&lt;0,100-$K$529,$K$529))/(ABS('03_Sensibilidades'!$C$38)+ABS('03_Sensibilidades'!$C$39)+ABS('03_Sensibilidades'!$C$40))</x:f>
        <x:v>49.26086956521739</x:v>
      </x:c>
      <x:c r="F1357" s="5" t="n">
        <x:f>(1-'00_Arquitectura'!$B$95)*D1357+'00_Arquitectura'!$B$95*E1357</x:f>
        <x:v>49.11391304347826</x:v>
      </x:c>
      <x:c r="G1357" s="5" t="n">
        <x:f>'02_Actores'!$I$14</x:f>
        <x:v>45</x:v>
      </x:c>
      <x:c r="H1357" s="5" t="n">
        <x:f>IF(OR(AND(F1357&lt;'00_Arquitectura'!$B$118,G1357&lt;'00_Arquitectura'!$B$119),F1357&lt;'00_Arquitectura'!$B$120),1,0)</x:f>
        <x:v>0</x:v>
      </x:c>
      <x:c r="I1357" s="5" t="n">
        <x:f>IF($I$1339=1,IF(OR(AND(F1357&lt;'00_Arquitectura'!$B$121,G1357&lt;'00_Arquitectura'!$B$122),F1357&lt;'00_Arquitectura'!$B$123),1,0),IF(AND(H1357=1,$H$1339=1),1,0))</x:f>
        <x:v>0</x:v>
      </x:c>
      <x:c r="J1357" s="5" t="n">
        <x:f>-I1357*1.5*'02_Actores'!$E$14/10</x:f>
        <x:v>0</x:v>
      </x:c>
      <x:c r="K1357" s="5" t="n">
        <x:f>$K$1349</x:f>
        <x:v>48.871546139069984</x:v>
      </x:c>
      <x:c r="L1357" s="5" t="str">
        <x:v>J programa offset para t+1; efecto sustituible y acotado, sin voto adicional.</x:v>
      </x:c>
    </x:row>
    <x:row r="1358" ht="34" customHeight="1">
      <x:c r="A1358" s="10" t="str">
        <x:v>S4_PRESTAMO</x:v>
      </x:c>
      <x:c r="B1358" s="10" t="n">
        <x:v>3</x:v>
      </x:c>
      <x:c r="C1358" s="10" t="str">
        <x:v>cientificos</x:v>
      </x:c>
      <x:c r="D1358" s="10" t="n">
        <x:f>$F$1340</x:f>
        <x:v>46.75</x:v>
      </x:c>
      <x:c r="E1358" s="10" t="n">
        <x:f>(ABS('03_Sensibilidades'!$C$41)*IF('03_Sensibilidades'!$C$41&lt;0,100-$K$528,$K$528)+ABS('03_Sensibilidades'!$C$42)*IF('03_Sensibilidades'!$C$42&lt;0,100-$K$524,$K$524)+ABS('03_Sensibilidades'!$C$43)*IF('03_Sensibilidades'!$C$43&lt;0,100-$K$529,$K$529))/(ABS('03_Sensibilidades'!$C$41)+ABS('03_Sensibilidades'!$C$42)+ABS('03_Sensibilidades'!$C$43))</x:f>
        <x:v>47.04545454545455</x:v>
      </x:c>
      <x:c r="F1358" s="10" t="n">
        <x:f>(1-'00_Arquitectura'!$B$95)*D1358+'00_Arquitectura'!$B$95*E1358</x:f>
        <x:v>46.85340909090909</x:v>
      </x:c>
      <x:c r="G1358" s="10" t="n">
        <x:f>'02_Actores'!$I$15</x:f>
        <x:v>45</x:v>
      </x:c>
      <x:c r="H1358" s="10" t="n">
        <x:f>IF(OR(AND(F1358&lt;'00_Arquitectura'!$B$118,G1358&lt;'00_Arquitectura'!$B$119),F1358&lt;'00_Arquitectura'!$B$120),1,0)</x:f>
        <x:v>0</x:v>
      </x:c>
      <x:c r="I1358" s="10" t="n">
        <x:f>IF($I$1340=1,IF(OR(AND(F1358&lt;'00_Arquitectura'!$B$121,G1358&lt;'00_Arquitectura'!$B$122),F1358&lt;'00_Arquitectura'!$B$123),1,0),IF(AND(H1358=1,$H$1340=1),1,0))</x:f>
        <x:v>0</x:v>
      </x:c>
      <x:c r="J1358" s="10" t="n">
        <x:f>-I1358*1.5*'02_Actores'!$E$15/10</x:f>
        <x:v>0</x:v>
      </x:c>
      <x:c r="K1358" s="10" t="n">
        <x:f>$K$1349</x:f>
        <x:v>48.871546139069984</x:v>
      </x:c>
      <x:c r="L1358" s="10" t="str">
        <x:v>J programa offset para t+1; efecto sustituible y acotado, sin voto adicional.</x:v>
      </x:c>
    </x:row>
    <x:row r="1359" ht="34" customHeight="1">
      <x:c r="A1359" s="5" t="str">
        <x:v>S4_PRESTAMO</x:v>
      </x:c>
      <x:c r="B1359" s="5" t="n">
        <x:v>3</x:v>
      </x:c>
      <x:c r="C1359" s="5" t="str">
        <x:v>organizaciones</x:v>
      </x:c>
      <x:c r="D1359" s="5" t="n">
        <x:f>$F$1341</x:f>
        <x:v>49.23214285714286</x:v>
      </x:c>
      <x:c r="E1359" s="5" t="n">
        <x:f>(ABS('03_Sensibilidades'!$C$44)*IF('03_Sensibilidades'!$C$44&lt;0,100-$K$526,$K$526)+ABS('03_Sensibilidades'!$C$45)*IF('03_Sensibilidades'!$C$45&lt;0,100-$K$525,$K$525)+ABS('03_Sensibilidades'!$C$46)*IF('03_Sensibilidades'!$C$46&lt;0,100-$K$518,$K$518)+ABS('03_Sensibilidades'!$C$47)*IF('03_Sensibilidades'!$C$47&lt;0,100-$K$529,$K$529))/(ABS('03_Sensibilidades'!$C$44)+ABS('03_Sensibilidades'!$C$45)+ABS('03_Sensibilidades'!$C$46)+ABS('03_Sensibilidades'!$C$47))</x:f>
        <x:v>49.464285714285715</x:v>
      </x:c>
      <x:c r="F1359" s="5" t="n">
        <x:f>(1-'00_Arquitectura'!$B$95)*D1359+'00_Arquitectura'!$B$95*E1359</x:f>
        <x:v>49.31339285714286</x:v>
      </x:c>
      <x:c r="G1359" s="5" t="n">
        <x:f>'02_Actores'!$I$16</x:f>
        <x:v>45</x:v>
      </x:c>
      <x:c r="H1359" s="5" t="n">
        <x:f>IF(OR(AND(F1359&lt;'00_Arquitectura'!$B$118,G1359&lt;'00_Arquitectura'!$B$119),F1359&lt;'00_Arquitectura'!$B$120),1,0)</x:f>
        <x:v>0</x:v>
      </x:c>
      <x:c r="I1359" s="5" t="n">
        <x:f>IF($I$1341=1,IF(OR(AND(F1359&lt;'00_Arquitectura'!$B$121,G1359&lt;'00_Arquitectura'!$B$122),F1359&lt;'00_Arquitectura'!$B$123),1,0),IF(AND(H1359=1,$H$1341=1),1,0))</x:f>
        <x:v>0</x:v>
      </x:c>
      <x:c r="J1359" s="5" t="n">
        <x:f>-I1359*1.5*'02_Actores'!$E$16/10</x:f>
        <x:v>0</x:v>
      </x:c>
      <x:c r="K1359" s="5" t="n">
        <x:f>$K$1349</x:f>
        <x:v>48.871546139069984</x:v>
      </x:c>
      <x:c r="L1359" s="5" t="str">
        <x:v>J programa offset para t+1; efecto sustituible y acotado, sin voto adicional.</x:v>
      </x:c>
    </x:row>
    <x:row r="1360" ht="42" customHeight="1">
      <x:c r="A1360" s="10" t="str">
        <x:v>S4_PRESTAMO</x:v>
      </x:c>
      <x:c r="B1360" s="10" t="n">
        <x:v>3</x:v>
      </x:c>
      <x:c r="C1360" s="10" t="str">
        <x:v>ddhh</x:v>
      </x:c>
      <x:c r="D1360" s="10" t="n">
        <x:f>$F$1342</x:f>
        <x:v>51.294117647058826</x:v>
      </x:c>
      <x:c r="E1360" s="10" t="n">
        <x:f>(ABS('03_Sensibilidades'!$C$48)*IF('03_Sensibilidades'!$C$48&lt;0,100-$K$529,$K$529)+ABS('03_Sensibilidades'!$C$49)*IF('03_Sensibilidades'!$C$49&lt;0,100-$K$527,$K$527)+ABS('03_Sensibilidades'!$C$50)*IF('03_Sensibilidades'!$C$50&lt;0,100-$K$526,$K$526))/(ABS('03_Sensibilidades'!$C$48)+ABS('03_Sensibilidades'!$C$49)+ABS('03_Sensibilidades'!$C$50))</x:f>
        <x:v>52.05882352941177</x:v>
      </x:c>
      <x:c r="F1360" s="10" t="n">
        <x:f>(1-'00_Arquitectura'!$B$95)*D1360+'00_Arquitectura'!$B$95*E1360</x:f>
        <x:v>51.561764705882354</x:v>
      </x:c>
      <x:c r="G1360" s="10" t="n">
        <x:f>'02_Actores'!$I$17</x:f>
        <x:v>45</x:v>
      </x:c>
      <x:c r="H1360" s="10" t="n">
        <x:f>IF(OR(AND(F1360&lt;'00_Arquitectura'!$B$118,G1360&lt;'00_Arquitectura'!$B$119),F1360&lt;'00_Arquitectura'!$B$120),1,0)</x:f>
        <x:v>0</x:v>
      </x:c>
      <x:c r="I1360" s="10" t="n">
        <x:f>IF($I$1342=1,IF(OR(AND(F1360&lt;'00_Arquitectura'!$B$121,G1360&lt;'00_Arquitectura'!$B$122),F1360&lt;'00_Arquitectura'!$B$123),1,0),IF(AND(H1360=1,$H$1342=1),1,0))</x:f>
        <x:v>0</x:v>
      </x:c>
      <x:c r="J1360" s="10" t="n">
        <x:f>0</x:f>
        <x:v>0</x:v>
      </x:c>
      <x:c r="K1360" s="10" t="n">
        <x:f>$K$1349</x:f>
        <x:v>48.871546139069984</x:v>
      </x:c>
      <x:c r="L1360" s="10" t="str">
        <x:v>Conflicto activo captura menor eficacia en políticas ejecutadas en t+1. Magnitud0 en J: no es un offset directo de indicador.</x:v>
      </x:c>
    </x:row>
    <x:row r="1361" ht="42" customHeight="1">
      <x:c r="A1361" s="5" t="str">
        <x:v>S4_PRESTAMO</x:v>
      </x:c>
      <x:c r="B1361" s="5" t="n">
        <x:v>3</x:v>
      </x:c>
      <x:c r="C1361" s="5" t="str">
        <x:v>ambientalistas</x:v>
      </x:c>
      <x:c r="D1361" s="5" t="n">
        <x:f>$F$1343</x:f>
        <x:v>51.58333333333333</x:v>
      </x:c>
      <x:c r="E1361" s="5" t="n">
        <x:f>(ABS('03_Sensibilidades'!$C$51)*IF('03_Sensibilidades'!$C$51&lt;0,100-$K$530,$K$530)+ABS('03_Sensibilidades'!$C$52)*IF('03_Sensibilidades'!$C$52&lt;0,100-$K$529,$K$529)+ABS('03_Sensibilidades'!$C$53)*IF('03_Sensibilidades'!$C$53&lt;0,100-$K$525,$K$525))/(ABS('03_Sensibilidades'!$C$51)+ABS('03_Sensibilidades'!$C$52)+ABS('03_Sensibilidades'!$C$53))</x:f>
        <x:v>51.94444444444444</x:v>
      </x:c>
      <x:c r="F1361" s="5" t="n">
        <x:f>(1-'00_Arquitectura'!$B$95)*D1361+'00_Arquitectura'!$B$95*E1361</x:f>
        <x:v>51.70972222222221</x:v>
      </x:c>
      <x:c r="G1361" s="5" t="n">
        <x:f>'02_Actores'!$I$18</x:f>
        <x:v>45</x:v>
      </x:c>
      <x:c r="H1361" s="5" t="n">
        <x:f>IF(OR(AND(F1361&lt;'00_Arquitectura'!$B$118,G1361&lt;'00_Arquitectura'!$B$119),F1361&lt;'00_Arquitectura'!$B$120),1,0)</x:f>
        <x:v>0</x:v>
      </x:c>
      <x:c r="I1361" s="5" t="n">
        <x:f>IF($I$1343=1,IF(OR(AND(F1361&lt;'00_Arquitectura'!$B$121,G1361&lt;'00_Arquitectura'!$B$122),F1361&lt;'00_Arquitectura'!$B$123),1,0),IF(AND(H1361=1,$H$1343=1),1,0))</x:f>
        <x:v>0</x:v>
      </x:c>
      <x:c r="J1361" s="5" t="n">
        <x:f>0</x:f>
        <x:v>0</x:v>
      </x:c>
      <x:c r="K1361" s="5" t="n">
        <x:f>$K$1349</x:f>
        <x:v>48.871546139069984</x:v>
      </x:c>
      <x:c r="L1361" s="5" t="str">
        <x:v>Conflicto activo captura menor eficacia en políticas ejecutadas en t+1. Magnitud0 en J: no es un offset directo de indicador.</x:v>
      </x:c>
    </x:row>
    <x:row r="1362" ht="34" customHeight="1">
      <x:c r="A1362" s="10" t="str">
        <x:v>S4_PRESTAMO</x:v>
      </x:c>
      <x:c r="B1362" s="10" t="n">
        <x:v>3</x:v>
      </x:c>
      <x:c r="C1362" s="10" t="str">
        <x:v>cultura</x:v>
      </x:c>
      <x:c r="D1362" s="10" t="n">
        <x:f>$F$1344</x:f>
        <x:v>51.084210526315786</x:v>
      </x:c>
      <x:c r="E1362" s="10" t="n">
        <x:f>(ABS('03_Sensibilidades'!$C$54)*IF('03_Sensibilidades'!$C$54&lt;0,100-$K$529,$K$529)+ABS('03_Sensibilidades'!$C$55)*IF('03_Sensibilidades'!$C$55&lt;0,100-$K$524,$K$524)+ABS('03_Sensibilidades'!$C$56)*IF('03_Sensibilidades'!$C$56&lt;0,100-$K$519,$K$519))/(ABS('03_Sensibilidades'!$C$54)+ABS('03_Sensibilidades'!$C$55)+ABS('03_Sensibilidades'!$C$56))</x:f>
        <x:v>51.63157894736842</x:v>
      </x:c>
      <x:c r="F1362" s="10" t="n">
        <x:f>(1-'00_Arquitectura'!$B$95)*D1362+'00_Arquitectura'!$B$95*E1362</x:f>
        <x:v>51.275789473684206</x:v>
      </x:c>
      <x:c r="G1362" s="10" t="n">
        <x:f>'02_Actores'!$I$19</x:f>
        <x:v>45</x:v>
      </x:c>
      <x:c r="H1362" s="10" t="n">
        <x:f>IF(OR(AND(F1362&lt;'00_Arquitectura'!$B$118,G1362&lt;'00_Arquitectura'!$B$119),F1362&lt;'00_Arquitectura'!$B$120),1,0)</x:f>
        <x:v>0</x:v>
      </x:c>
      <x:c r="I1362" s="10" t="n">
        <x:f>IF($I$1344=1,IF(OR(AND(F1362&lt;'00_Arquitectura'!$B$121,G1362&lt;'00_Arquitectura'!$B$122),F1362&lt;'00_Arquitectura'!$B$123),1,0),IF(AND(H1362=1,$H$1344=1),1,0))</x:f>
        <x:v>0</x:v>
      </x:c>
      <x:c r="J1362" s="10" t="n">
        <x:f>0</x:f>
        <x:v>0</x:v>
      </x:c>
      <x:c r="K1362" s="10" t="n">
        <x:f>$K$1349</x:f>
        <x:v>48.871546139069984</x:v>
      </x:c>
      <x:c r="L1362" s="10" t="str">
        <x:v>Conflicto activo encarece agenda del turno siguiente; sin castigo electoral adicional.</x:v>
      </x:c>
    </x:row>
    <x:row r="1363" ht="34" customHeight="1">
      <x:c r="A1363" s="5" t="str">
        <x:v>S4_PRESTAMO</x:v>
      </x:c>
      <x:c r="B1363" s="5" t="n">
        <x:v>3</x:v>
      </x:c>
      <x:c r="C1363" s="5" t="str">
        <x:v>oficialismo</x:v>
      </x:c>
      <x:c r="D1363" s="5" t="n">
        <x:f>$F$1345</x:f>
        <x:v>51.616</x:v>
      </x:c>
      <x:c r="E1363" s="5" t="n">
        <x:f>(ABS('03_Sensibilidades'!$C$57)*IF('03_Sensibilidades'!$C$57&lt;0,100-$K$529,$K$529)+ABS('03_Sensibilidades'!$C$58)*IF('03_Sensibilidades'!$C$58&lt;0,100-$K$518,$K$518)+ABS('03_Sensibilidades'!$C$59)*IF('03_Sensibilidades'!$C$59&lt;0,100-$K$521,$K$521)+ABS('03_Sensibilidades'!$C$60)*IF('03_Sensibilidades'!$C$60&lt;0,100-$K$526,$K$526))/(ABS('03_Sensibilidades'!$C$57)+ABS('03_Sensibilidades'!$C$58)+ABS('03_Sensibilidades'!$C$59)+ABS('03_Sensibilidades'!$C$60))</x:f>
        <x:v>51.784</x:v>
      </x:c>
      <x:c r="F1363" s="5" t="n">
        <x:f>(1-'00_Arquitectura'!$B$95)*D1363+'00_Arquitectura'!$B$95*E1363</x:f>
        <x:v>51.674800000000005</x:v>
      </x:c>
      <x:c r="G1363" s="5" t="n">
        <x:f>'02_Actores'!$I$20</x:f>
        <x:v>60</x:v>
      </x:c>
      <x:c r="H1363" s="5" t="n">
        <x:f>IF(OR(AND(F1363&lt;'00_Arquitectura'!$B$118,G1363&lt;'00_Arquitectura'!$B$119),F1363&lt;'00_Arquitectura'!$B$120),1,0)</x:f>
        <x:v>0</x:v>
      </x:c>
      <x:c r="I1363" s="5" t="n">
        <x:f>IF($I$1345=1,IF(OR(AND(F1363&lt;'00_Arquitectura'!$B$121,G1363&lt;'00_Arquitectura'!$B$122),F1363&lt;'00_Arquitectura'!$B$123),1,0),IF(AND(H1363=1,$H$1345=1),1,0))</x:f>
        <x:v>0</x:v>
      </x:c>
      <x:c r="J1363" s="5" t="n">
        <x:f>0</x:f>
        <x:v>0</x:v>
      </x:c>
      <x:c r="K1363" s="5" t="n">
        <x:f>$K$1349</x:f>
        <x:v>48.871546139069984</x:v>
      </x:c>
      <x:c r="L1363" s="5" t="str">
        <x:v>No aporta E_social; S y R alimentan disposición a leyes según07.</x:v>
      </x:c>
    </x:row>
    <x:row r="1364" ht="34" customHeight="1">
      <x:c r="A1364" s="10" t="str">
        <x:v>S4_PRESTAMO</x:v>
      </x:c>
      <x:c r="B1364" s="10" t="n">
        <x:v>3</x:v>
      </x:c>
      <x:c r="C1364" s="10" t="str">
        <x:v>aliados</x:v>
      </x:c>
      <x:c r="D1364" s="10" t="n">
        <x:f>$F$1346</x:f>
        <x:v>52.47619047619048</x:v>
      </x:c>
      <x:c r="E1364" s="10" t="n">
        <x:f>(ABS('03_Sensibilidades'!$C$61)*IF('03_Sensibilidades'!$C$61&lt;0,100-$K$529,$K$529)+ABS('03_Sensibilidades'!$C$62)*IF('03_Sensibilidades'!$C$62&lt;0,100-$K$521,$K$521)+ABS('03_Sensibilidades'!$C$63)*IF('03_Sensibilidades'!$C$63&lt;0,100-$K$523,$K$523))/(ABS('03_Sensibilidades'!$C$61)+ABS('03_Sensibilidades'!$C$62)+ABS('03_Sensibilidades'!$C$63))</x:f>
        <x:v>52.77142857142857</x:v>
      </x:c>
      <x:c r="F1364" s="10" t="n">
        <x:f>(1-'00_Arquitectura'!$B$95)*D1364+'00_Arquitectura'!$B$95*E1364</x:f>
        <x:v>52.57952380952381</x:v>
      </x:c>
      <x:c r="G1364" s="10" t="n">
        <x:f>'02_Actores'!$I$21</x:f>
        <x:v>45</x:v>
      </x:c>
      <x:c r="H1364" s="10" t="n">
        <x:f>IF(OR(AND(F1364&lt;'00_Arquitectura'!$B$118,G1364&lt;'00_Arquitectura'!$B$119),F1364&lt;'00_Arquitectura'!$B$120),1,0)</x:f>
        <x:v>0</x:v>
      </x:c>
      <x:c r="I1364" s="10" t="n">
        <x:f>IF($I$1346=1,IF(OR(AND(F1364&lt;'00_Arquitectura'!$B$121,G1364&lt;'00_Arquitectura'!$B$122),F1364&lt;'00_Arquitectura'!$B$123),1,0),IF(AND(H1364=1,$H$1346=1),1,0))</x:f>
        <x:v>0</x:v>
      </x:c>
      <x:c r="J1364" s="10" t="n">
        <x:f>0</x:f>
        <x:v>0</x:v>
      </x:c>
      <x:c r="K1364" s="10" t="n">
        <x:f>$K$1349</x:f>
        <x:v>48.871546139069984</x:v>
      </x:c>
      <x:c r="L1364" s="10" t="str">
        <x:v>No aporta E_social; S y R alimentan disposición a leyes según07.</x:v>
      </x:c>
    </x:row>
    <x:row r="1365" ht="34" customHeight="1">
      <x:c r="A1365" s="5" t="str">
        <x:v>S4_PRESTAMO</x:v>
      </x:c>
      <x:c r="B1365" s="5" t="n">
        <x:v>3</x:v>
      </x:c>
      <x:c r="C1365" s="5" t="str">
        <x:v>oposicion</x:v>
      </x:c>
      <x:c r="D1365" s="5" t="n">
        <x:f>$F$1347</x:f>
        <x:v>53.410000000000004</x:v>
      </x:c>
      <x:c r="E1365" s="5" t="n">
        <x:f>(ABS('03_Sensibilidades'!$C$64)*IF('03_Sensibilidades'!$C$64&lt;0,100-$K$529,$K$529)+ABS('03_Sensibilidades'!$C$65)*IF('03_Sensibilidades'!$C$65&lt;0,100-$K$521,$K$521)+ABS('03_Sensibilidades'!$C$66)*IF('03_Sensibilidades'!$C$66&lt;0,100-$K$527,$K$527))/(ABS('03_Sensibilidades'!$C$64)+ABS('03_Sensibilidades'!$C$65)+ABS('03_Sensibilidades'!$C$66))</x:f>
        <x:v>53.879999999999995</x:v>
      </x:c>
      <x:c r="F1365" s="5" t="n">
        <x:f>(1-'00_Arquitectura'!$B$95)*D1365+'00_Arquitectura'!$B$95*E1365</x:f>
        <x:v>53.5745</x:v>
      </x:c>
      <x:c r="G1365" s="5" t="n">
        <x:f>'02_Actores'!$I$22</x:f>
        <x:v>30</x:v>
      </x:c>
      <x:c r="H1365" s="5" t="n">
        <x:f>IF(OR(AND(F1365&lt;'00_Arquitectura'!$B$118,G1365&lt;'00_Arquitectura'!$B$119),F1365&lt;'00_Arquitectura'!$B$120),1,0)</x:f>
        <x:v>0</x:v>
      </x:c>
      <x:c r="I1365" s="5" t="n">
        <x:f>IF($I$1347=1,IF(OR(AND(F1365&lt;'00_Arquitectura'!$B$121,G1365&lt;'00_Arquitectura'!$B$122),F1365&lt;'00_Arquitectura'!$B$123),1,0),IF(AND(H1365=1,$H$1347=1),1,0))</x:f>
        <x:v>0</x:v>
      </x:c>
      <x:c r="J1365" s="5" t="n">
        <x:f>0</x:f>
        <x:v>0</x:v>
      </x:c>
      <x:c r="K1365" s="5" t="n">
        <x:f>$K$1349</x:f>
        <x:v>48.871546139069984</x:v>
      </x:c>
      <x:c r="L1365" s="5" t="str">
        <x:v>No aporta E_social; S y R alimentan disposición a leyes según07.</x:v>
      </x:c>
    </x:row>
    <x:row r="1366" ht="42" customHeight="1">
      <x:c r="A1366" s="10" t="str">
        <x:v>S4_PRESTAMO</x:v>
      </x:c>
      <x:c r="B1366" s="10" t="n">
        <x:v>3</x:v>
      </x:c>
      <x:c r="C1366" s="10" t="str">
        <x:v>gobernadores</x:v>
      </x:c>
      <x:c r="D1366" s="10" t="n">
        <x:f>$F$1348</x:f>
        <x:v>49.52413793103449</x:v>
      </x:c>
      <x:c r="E1366" s="10" t="n">
        <x:f>(ABS('03_Sensibilidades'!$C$67)*IF('03_Sensibilidades'!$C$67&lt;0,100-$K$523,$K$523)+ABS('03_Sensibilidades'!$C$68)*IF('03_Sensibilidades'!$C$68&lt;0,100-$K$525,$K$525)+ABS('03_Sensibilidades'!$C$69)*IF('03_Sensibilidades'!$C$69&lt;0,100-$K$524,$K$524)+ABS('03_Sensibilidades'!$C$70)*IF('03_Sensibilidades'!$C$70&lt;0,100-$K$521,$K$521))/(ABS('03_Sensibilidades'!$C$67)+ABS('03_Sensibilidades'!$C$68)+ABS('03_Sensibilidades'!$C$69)+ABS('03_Sensibilidades'!$C$70))</x:f>
        <x:v>49.4</x:v>
      </x:c>
      <x:c r="F1366" s="10" t="n">
        <x:f>(1-'00_Arquitectura'!$B$95)*D1366+'00_Arquitectura'!$B$95*E1366</x:f>
        <x:v>49.48068965517242</x:v>
      </x:c>
      <x:c r="G1366" s="10" t="n">
        <x:f>'02_Actores'!$I$23</x:f>
        <x:v>45</x:v>
      </x:c>
      <x:c r="H1366" s="10" t="n">
        <x:f>IF(OR(AND(F1366&lt;'00_Arquitectura'!$B$118,G1366&lt;'00_Arquitectura'!$B$119),F1366&lt;'00_Arquitectura'!$B$120),1,0)</x:f>
        <x:v>0</x:v>
      </x:c>
      <x:c r="I1366" s="10" t="n">
        <x:f>IF($I$1348=1,IF(OR(AND(F1366&lt;'00_Arquitectura'!$B$121,G1366&lt;'00_Arquitectura'!$B$122),F1366&lt;'00_Arquitectura'!$B$123),1,0),IF(AND(H1366=1,$H$1348=1),1,0))</x:f>
        <x:v>0</x:v>
      </x:c>
      <x:c r="J1366" s="10" t="n">
        <x:f>0</x:f>
        <x:v>0</x:v>
      </x:c>
      <x:c r="K1366" s="10" t="n">
        <x:f>$K$1349</x:f>
        <x:v>48.871546139069984</x:v>
      </x:c>
      <x:c r="L1366" s="10" t="str">
        <x:v>Conflicto activo captura menor eficacia en políticas ejecutadas en t+1. Magnitud0 en J: no es un offset directo de indicador.</x:v>
      </x:c>
    </x:row>
    <x:row r="1367" ht="34" customHeight="1">
      <x:c r="A1367" s="5" t="str">
        <x:v>S4_PRESTAMO</x:v>
      </x:c>
      <x:c r="B1367" s="5" t="n">
        <x:v>4</x:v>
      </x:c>
      <x:c r="C1367" s="5" t="str">
        <x:v>industria</x:v>
      </x:c>
      <x:c r="D1367" s="5" t="n">
        <x:f>$F$1349</x:f>
        <x:v>46.464888888888886</x:v>
      </x:c>
      <x:c r="E1367" s="5" t="n">
        <x:f>(ABS('03_Sensibilidades'!$C$6)*IF('03_Sensibilidades'!$C$6&lt;0,100-$K$534,$K$534)+ABS('03_Sensibilidades'!$C$7)*IF('03_Sensibilidades'!$C$7&lt;0,100-$K$532,$K$532)+ABS('03_Sensibilidades'!$C$8)*IF('03_Sensibilidades'!$C$8&lt;0,100-$K$537,$K$537)+ABS('03_Sensibilidades'!$C$9)*IF('03_Sensibilidades'!$C$9&lt;0,100-$K$536,$K$536))/(ABS('03_Sensibilidades'!$C$6)+ABS('03_Sensibilidades'!$C$7)+ABS('03_Sensibilidades'!$C$8)+ABS('03_Sensibilidades'!$C$9))</x:f>
        <x:v>46.41724444444444</x:v>
      </x:c>
      <x:c r="F1367" s="5" t="n">
        <x:f>(1-'00_Arquitectura'!$B$95)*D1367+'00_Arquitectura'!$B$95*E1367</x:f>
        <x:v>46.44821333333333</x:v>
      </x:c>
      <x:c r="G1367" s="5" t="n">
        <x:f>'02_Actores'!$I$6</x:f>
        <x:v>45</x:v>
      </x:c>
      <x:c r="H1367" s="5" t="n">
        <x:f>IF(OR(AND(F1367&lt;'00_Arquitectura'!$B$118,G1367&lt;'00_Arquitectura'!$B$119),F1367&lt;'00_Arquitectura'!$B$120),1,0)</x:f>
        <x:v>0</x:v>
      </x:c>
      <x:c r="I1367" s="5" t="n">
        <x:f>IF($I$1349=1,IF(OR(AND(F1367&lt;'00_Arquitectura'!$B$121,G1367&lt;'00_Arquitectura'!$B$122),F1367&lt;'00_Arquitectura'!$B$123),1,0),IF(AND(H1367=1,$H$1349=1),1,0))</x:f>
        <x:v>0</x:v>
      </x:c>
      <x:c r="J1367" s="5" t="n">
        <x:f>-I1367*2*'02_Actores'!$E$6/10</x:f>
        <x:v>0</x:v>
      </x:c>
      <x:c r="K1367" s="5" t="n">
        <x:f>($F$1367*'02_Actores'!$F$6+$F$1368*'02_Actores'!$F$7+$F$1369*'02_Actores'!$F$8+$F$1370*'02_Actores'!$F$9+$F$1371*'02_Actores'!$F$10+$F$1372*'02_Actores'!$F$11+$F$1373*'02_Actores'!$F$12+$F$1374*'02_Actores'!$F$13+$F$1375*'02_Actores'!$F$14+$F$1376*'02_Actores'!$F$15+$F$1377*'02_Actores'!$F$16+$F$1378*'02_Actores'!$F$17+$F$1379*'02_Actores'!$F$18+$F$1380*'02_Actores'!$F$19)/('02_Actores'!$F$6+'02_Actores'!$F$7+'02_Actores'!$F$8+'02_Actores'!$F$9+'02_Actores'!$F$10+'02_Actores'!$F$11+'02_Actores'!$F$12+'02_Actores'!$F$13+'02_Actores'!$F$14+'02_Actores'!$F$15+'02_Actores'!$F$16+'02_Actores'!$F$17+'02_Actores'!$F$18+'02_Actores'!$F$19)</x:f>
        <x:v>48.90544451162767</x:v>
      </x:c>
      <x:c r="L1367" s="5" t="str">
        <x:v>J programa offset para t+1; efecto sustituible y acotado, sin voto adicional.</x:v>
      </x:c>
    </x:row>
    <x:row r="1368" ht="34" customHeight="1">
      <x:c r="A1368" s="10" t="str">
        <x:v>S4_PRESTAMO</x:v>
      </x:c>
      <x:c r="B1368" s="10" t="n">
        <x:v>4</x:v>
      </x:c>
      <x:c r="C1368" s="10" t="str">
        <x:v>agro</x:v>
      </x:c>
      <x:c r="D1368" s="10" t="n">
        <x:f>$F$1350</x:f>
        <x:v>45.88285714285715</x:v>
      </x:c>
      <x:c r="E1368" s="10" t="n">
        <x:f>(ABS('03_Sensibilidades'!$C$10)*IF('03_Sensibilidades'!$C$10&lt;0,100-$K$536,$K$536)+ABS('03_Sensibilidades'!$C$11)*IF('03_Sensibilidades'!$C$11&lt;0,100-$K$537,$K$537)+ABS('03_Sensibilidades'!$C$12)*IF('03_Sensibilidades'!$C$12&lt;0,100-$K$544,$K$544)+ABS('03_Sensibilidades'!$C$13)*IF('03_Sensibilidades'!$C$13&lt;0,100-$K$534,$K$534))/(ABS('03_Sensibilidades'!$C$10)+ABS('03_Sensibilidades'!$C$11)+ABS('03_Sensibilidades'!$C$12)+ABS('03_Sensibilidades'!$C$13))</x:f>
        <x:v>45.85642857142857</x:v>
      </x:c>
      <x:c r="F1368" s="10" t="n">
        <x:f>(1-'00_Arquitectura'!$B$95)*D1368+'00_Arquitectura'!$B$95*E1368</x:f>
        <x:v>45.873607142857146</x:v>
      </x:c>
      <x:c r="G1368" s="10" t="n">
        <x:f>'02_Actores'!$I$7</x:f>
        <x:v>45</x:v>
      </x:c>
      <x:c r="H1368" s="10" t="n">
        <x:f>IF(OR(AND(F1368&lt;'00_Arquitectura'!$B$118,G1368&lt;'00_Arquitectura'!$B$119),F1368&lt;'00_Arquitectura'!$B$120),1,0)</x:f>
        <x:v>0</x:v>
      </x:c>
      <x:c r="I1368" s="10" t="n">
        <x:f>IF($I$1350=1,IF(OR(AND(F1368&lt;'00_Arquitectura'!$B$121,G1368&lt;'00_Arquitectura'!$B$122),F1368&lt;'00_Arquitectura'!$B$123),1,0),IF(AND(H1368=1,$H$1350=1),1,0))</x:f>
        <x:v>0</x:v>
      </x:c>
      <x:c r="J1368" s="10" t="n">
        <x:f>-I1368*2*'02_Actores'!$E$7/10</x:f>
        <x:v>0</x:v>
      </x:c>
      <x:c r="K1368" s="10" t="n">
        <x:f>$K$1367</x:f>
        <x:v>48.90544451162767</x:v>
      </x:c>
      <x:c r="L1368" s="10" t="str">
        <x:v>J programa offset para t+1; efecto sustituible y acotado, sin voto adicional.</x:v>
      </x:c>
    </x:row>
    <x:row r="1369" ht="34" customHeight="1">
      <x:c r="A1369" s="5" t="str">
        <x:v>S4_PRESTAMO</x:v>
      </x:c>
      <x:c r="B1369" s="5" t="n">
        <x:v>4</x:v>
      </x:c>
      <x:c r="C1369" s="5" t="str">
        <x:v>financiero</x:v>
      </x:c>
      <x:c r="D1369" s="5" t="n">
        <x:f>$F$1351</x:f>
        <x:v>54.10786206896552</x:v>
      </x:c>
      <x:c r="E1369" s="5" t="n">
        <x:f>(ABS('03_Sensibilidades'!$C$14)*IF('03_Sensibilidades'!$C$14&lt;0,100-$K$535,$K$535)+ABS('03_Sensibilidades'!$C$15)*IF('03_Sensibilidades'!$C$15&lt;0,100-$K$531,$K$531)+ABS('03_Sensibilidades'!$C$16)*IF('03_Sensibilidades'!$C$16&lt;0,100-$K$534,$K$534)+ABS('03_Sensibilidades'!$C$17)*IF('03_Sensibilidades'!$C$17&lt;0,100-$K$543,$K$543))/(ABS('03_Sensibilidades'!$C$14)+ABS('03_Sensibilidades'!$C$15)+ABS('03_Sensibilidades'!$C$16)+ABS('03_Sensibilidades'!$C$17))</x:f>
        <x:v>54.054206896551726</x:v>
      </x:c>
      <x:c r="F1369" s="5" t="n">
        <x:f>(1-'00_Arquitectura'!$B$95)*D1369+'00_Arquitectura'!$B$95*E1369</x:f>
        <x:v>54.08908275862069</x:v>
      </x:c>
      <x:c r="G1369" s="5" t="n">
        <x:f>'02_Actores'!$I$8</x:f>
        <x:v>45</x:v>
      </x:c>
      <x:c r="H1369" s="5" t="n">
        <x:f>IF(OR(AND(F1369&lt;'00_Arquitectura'!$B$118,G1369&lt;'00_Arquitectura'!$B$119),F1369&lt;'00_Arquitectura'!$B$120),1,0)</x:f>
        <x:v>0</x:v>
      </x:c>
      <x:c r="I1369" s="5" t="n">
        <x:f>IF($I$1351=1,IF(OR(AND(F1369&lt;'00_Arquitectura'!$B$121,G1369&lt;'00_Arquitectura'!$B$122),F1369&lt;'00_Arquitectura'!$B$123),1,0),IF(AND(H1369=1,$H$1351=1),1,0))</x:f>
        <x:v>0</x:v>
      </x:c>
      <x:c r="J1369" s="5" t="n">
        <x:f>-I1369*2*'02_Actores'!$E$8/10</x:f>
        <x:v>0</x:v>
      </x:c>
      <x:c r="K1369" s="5" t="n">
        <x:f>$K$1367</x:f>
        <x:v>48.90544451162767</x:v>
      </x:c>
      <x:c r="L1369" s="5" t="str">
        <x:v>J programa offset para t+1; efecto sustituible y acotado, sin voto adicional.</x:v>
      </x:c>
    </x:row>
    <x:row r="1370" ht="34" customHeight="1">
      <x:c r="A1370" s="10" t="str">
        <x:v>S4_PRESTAMO</x:v>
      </x:c>
      <x:c r="B1370" s="10" t="n">
        <x:v>4</x:v>
      </x:c>
      <x:c r="C1370" s="10" t="str">
        <x:v>sindicatos</x:v>
      </x:c>
      <x:c r="D1370" s="10" t="n">
        <x:f>$F$1352</x:f>
        <x:v>48.09034482758621</x:v>
      </x:c>
      <x:c r="E1370" s="10" t="n">
        <x:f>(ABS('03_Sensibilidades'!$C$18)*IF('03_Sensibilidades'!$C$18&lt;0,100-$K$533,$K$533)+ABS('03_Sensibilidades'!$C$19)*IF('03_Sensibilidades'!$C$19&lt;0,100-$K$532,$K$532)+ABS('03_Sensibilidades'!$C$20)*IF('03_Sensibilidades'!$C$20&lt;0,100-$K$540,$K$540)+ABS('03_Sensibilidades'!$C$21)*IF('03_Sensibilidades'!$C$21&lt;0,100-$K$543,$K$543))/(ABS('03_Sensibilidades'!$C$18)+ABS('03_Sensibilidades'!$C$19)+ABS('03_Sensibilidades'!$C$20)+ABS('03_Sensibilidades'!$C$21))</x:f>
        <x:v>48.202924137931035</x:v>
      </x:c>
      <x:c r="F1370" s="10" t="n">
        <x:f>(1-'00_Arquitectura'!$B$95)*D1370+'00_Arquitectura'!$B$95*E1370</x:f>
        <x:v>48.129747586206896</x:v>
      </x:c>
      <x:c r="G1370" s="10" t="n">
        <x:f>'02_Actores'!$I$9</x:f>
        <x:v>45</x:v>
      </x:c>
      <x:c r="H1370" s="10" t="n">
        <x:f>IF(OR(AND(F1370&lt;'00_Arquitectura'!$B$118,G1370&lt;'00_Arquitectura'!$B$119),F1370&lt;'00_Arquitectura'!$B$120),1,0)</x:f>
        <x:v>0</x:v>
      </x:c>
      <x:c r="I1370" s="10" t="n">
        <x:f>IF($I$1352=1,IF(OR(AND(F1370&lt;'00_Arquitectura'!$B$121,G1370&lt;'00_Arquitectura'!$B$122),F1370&lt;'00_Arquitectura'!$B$123),1,0),IF(AND(H1370=1,$H$1352=1),1,0))</x:f>
        <x:v>0</x:v>
      </x:c>
      <x:c r="J1370" s="10" t="n">
        <x:f>-I1370*2*'02_Actores'!$E$9/10</x:f>
        <x:v>0</x:v>
      </x:c>
      <x:c r="K1370" s="10" t="n">
        <x:f>$K$1367</x:f>
        <x:v>48.90544451162767</x:v>
      </x:c>
      <x:c r="L1370" s="10" t="str">
        <x:v>J programa offset para t+1; efecto sustituible y acotado, sin voto adicional.</x:v>
      </x:c>
    </x:row>
    <x:row r="1371" ht="34" customHeight="1">
      <x:c r="A1371" s="5" t="str">
        <x:v>S4_PRESTAMO</x:v>
      </x:c>
      <x:c r="B1371" s="5" t="n">
        <x:v>4</x:v>
      </x:c>
      <x:c r="C1371" s="5" t="str">
        <x:v>pymes</x:v>
      </x:c>
      <x:c r="D1371" s="5" t="n">
        <x:f>$F$1353</x:f>
        <x:v>49.118620689655174</x:v>
      </x:c>
      <x:c r="E1371" s="5" t="n">
        <x:f>(ABS('03_Sensibilidades'!$C$22)*IF('03_Sensibilidades'!$C$22&lt;0,100-$K$534,$K$534)+ABS('03_Sensibilidades'!$C$23)*IF('03_Sensibilidades'!$C$23&lt;0,100-$K$532,$K$532)+ABS('03_Sensibilidades'!$C$24)*IF('03_Sensibilidades'!$C$24&lt;0,100-$K$537,$K$537)+ABS('03_Sensibilidades'!$C$25)*IF('03_Sensibilidades'!$C$25&lt;0,100-$K$531,$K$531))/(ABS('03_Sensibilidades'!$C$22)+ABS('03_Sensibilidades'!$C$23)+ABS('03_Sensibilidades'!$C$24)+ABS('03_Sensibilidades'!$C$25))</x:f>
        <x:v>49.06361379310345</x:v>
      </x:c>
      <x:c r="F1371" s="5" t="n">
        <x:f>(1-'00_Arquitectura'!$B$95)*D1371+'00_Arquitectura'!$B$95*E1371</x:f>
        <x:v>49.099368275862076</x:v>
      </x:c>
      <x:c r="G1371" s="5" t="n">
        <x:f>'02_Actores'!$I$10</x:f>
        <x:v>45</x:v>
      </x:c>
      <x:c r="H1371" s="5" t="n">
        <x:f>IF(OR(AND(F1371&lt;'00_Arquitectura'!$B$118,G1371&lt;'00_Arquitectura'!$B$119),F1371&lt;'00_Arquitectura'!$B$120),1,0)</x:f>
        <x:v>0</x:v>
      </x:c>
      <x:c r="I1371" s="5" t="n">
        <x:f>IF($I$1353=1,IF(OR(AND(F1371&lt;'00_Arquitectura'!$B$121,G1371&lt;'00_Arquitectura'!$B$122),F1371&lt;'00_Arquitectura'!$B$123),1,0),IF(AND(H1371=1,$H$1353=1),1,0))</x:f>
        <x:v>0</x:v>
      </x:c>
      <x:c r="J1371" s="5" t="n">
        <x:f>-I1371*2*'02_Actores'!$E$10/10</x:f>
        <x:v>0</x:v>
      </x:c>
      <x:c r="K1371" s="5" t="n">
        <x:f>$K$1367</x:f>
        <x:v>48.90544451162767</x:v>
      </x:c>
      <x:c r="L1371" s="5" t="str">
        <x:v>J programa offset para t+1; efecto sustituible y acotado, sin voto adicional.</x:v>
      </x:c>
    </x:row>
    <x:row r="1372" ht="34" customHeight="1">
      <x:c r="A1372" s="10" t="str">
        <x:v>S4_PRESTAMO</x:v>
      </x:c>
      <x:c r="B1372" s="10" t="n">
        <x:v>4</x:v>
      </x:c>
      <x:c r="C1372" s="10" t="str">
        <x:v>clase_media</x:v>
      </x:c>
      <x:c r="D1372" s="10" t="n">
        <x:f>$F$1354</x:f>
        <x:v>48.333333333333336</x:v>
      </x:c>
      <x:c r="E1372" s="10" t="n">
        <x:f>(ABS('03_Sensibilidades'!$C$26)*IF('03_Sensibilidades'!$C$26&lt;0,100-$K$533,$K$533)+ABS('03_Sensibilidades'!$C$27)*IF('03_Sensibilidades'!$C$27&lt;0,100-$K$541,$K$541)+ABS('03_Sensibilidades'!$C$28)*IF('03_Sensibilidades'!$C$28&lt;0,100-$K$538,$K$538)+ABS('03_Sensibilidades'!$C$29)*IF('03_Sensibilidades'!$C$29&lt;0,100-$K$531,$K$531))/(ABS('03_Sensibilidades'!$C$26)+ABS('03_Sensibilidades'!$C$27)+ABS('03_Sensibilidades'!$C$28)+ABS('03_Sensibilidades'!$C$29))</x:f>
        <x:v>48.333333333333336</x:v>
      </x:c>
      <x:c r="F1372" s="10" t="n">
        <x:f>(1-'00_Arquitectura'!$B$95)*D1372+'00_Arquitectura'!$B$95*E1372</x:f>
        <x:v>48.333333333333336</x:v>
      </x:c>
      <x:c r="G1372" s="10" t="n">
        <x:f>'02_Actores'!$I$11</x:f>
        <x:v>45</x:v>
      </x:c>
      <x:c r="H1372" s="10" t="n">
        <x:f>IF(OR(AND(F1372&lt;'00_Arquitectura'!$B$118,G1372&lt;'00_Arquitectura'!$B$119),F1372&lt;'00_Arquitectura'!$B$120),1,0)</x:f>
        <x:v>0</x:v>
      </x:c>
      <x:c r="I1372" s="10" t="n">
        <x:f>IF($I$1354=1,IF(OR(AND(F1372&lt;'00_Arquitectura'!$B$121,G1372&lt;'00_Arquitectura'!$B$122),F1372&lt;'00_Arquitectura'!$B$123),1,0),IF(AND(H1372=1,$H$1354=1),1,0))</x:f>
        <x:v>0</x:v>
      </x:c>
      <x:c r="J1372" s="10" t="n">
        <x:f>0</x:f>
        <x:v>0</x:v>
      </x:c>
      <x:c r="K1372" s="10" t="n">
        <x:f>$K$1367</x:f>
        <x:v>48.90544451162767</x:v>
      </x:c>
      <x:c r="L1372" s="10" t="str">
        <x:v>Canal directo sólo al índice social; sin bono de popularidad.</x:v>
      </x:c>
    </x:row>
    <x:row r="1373" ht="34" customHeight="1">
      <x:c r="A1373" s="5" t="str">
        <x:v>S4_PRESTAMO</x:v>
      </x:c>
      <x:c r="B1373" s="5" t="n">
        <x:v>4</x:v>
      </x:c>
      <x:c r="C1373" s="5" t="str">
        <x:v>cooperativas</x:v>
      </x:c>
      <x:c r="D1373" s="5" t="n">
        <x:f>$F$1355</x:f>
        <x:v>47.934370370370374</x:v>
      </x:c>
      <x:c r="E1373" s="5" t="n">
        <x:f>(ABS('03_Sensibilidades'!$C$30)*IF('03_Sensibilidades'!$C$30&lt;0,100-$K$534,$K$534)+ABS('03_Sensibilidades'!$C$31)*IF('03_Sensibilidades'!$C$31&lt;0,100-$K$532,$K$532)+ABS('03_Sensibilidades'!$C$32)*IF('03_Sensibilidades'!$C$32&lt;0,100-$K$540,$K$540)+ABS('03_Sensibilidades'!$C$33)*IF('03_Sensibilidades'!$C$33&lt;0,100-$K$543,$K$543))/(ABS('03_Sensibilidades'!$C$30)+ABS('03_Sensibilidades'!$C$31)+ABS('03_Sensibilidades'!$C$32)+ABS('03_Sensibilidades'!$C$33))</x:f>
        <x:v>48.01786666666666</x:v>
      </x:c>
      <x:c r="F1373" s="5" t="n">
        <x:f>(1-'00_Arquitectura'!$B$95)*D1373+'00_Arquitectura'!$B$95*E1373</x:f>
        <x:v>47.963594074074074</x:v>
      </x:c>
      <x:c r="G1373" s="5" t="n">
        <x:f>'02_Actores'!$I$12</x:f>
        <x:v>45</x:v>
      </x:c>
      <x:c r="H1373" s="5" t="n">
        <x:f>IF(OR(AND(F1373&lt;'00_Arquitectura'!$B$118,G1373&lt;'00_Arquitectura'!$B$119),F1373&lt;'00_Arquitectura'!$B$120),1,0)</x:f>
        <x:v>0</x:v>
      </x:c>
      <x:c r="I1373" s="5" t="n">
        <x:f>IF($I$1355=1,IF(OR(AND(F1373&lt;'00_Arquitectura'!$B$121,G1373&lt;'00_Arquitectura'!$B$122),F1373&lt;'00_Arquitectura'!$B$123),1,0),IF(AND(H1373=1,$H$1355=1),1,0))</x:f>
        <x:v>0</x:v>
      </x:c>
      <x:c r="J1373" s="5" t="n">
        <x:f>-I1373*1.5*'02_Actores'!$E$12/10</x:f>
        <x:v>0</x:v>
      </x:c>
      <x:c r="K1373" s="5" t="n">
        <x:f>$K$1367</x:f>
        <x:v>48.90544451162767</x:v>
      </x:c>
      <x:c r="L1373" s="5" t="str">
        <x:v>J programa offset para t+1; efecto sustituible y acotado, sin voto adicional.</x:v>
      </x:c>
    </x:row>
    <x:row r="1374" ht="42" customHeight="1">
      <x:c r="A1374" s="10" t="str">
        <x:v>S4_PRESTAMO</x:v>
      </x:c>
      <x:c r="B1374" s="10" t="n">
        <x:v>4</x:v>
      </x:c>
      <x:c r="C1374" s="10" t="str">
        <x:v>estudiantes</x:v>
      </x:c>
      <x:c r="D1374" s="10" t="n">
        <x:f>$F$1356</x:f>
        <x:v>49.523399999999995</x:v>
      </x:c>
      <x:c r="E1374" s="10" t="n">
        <x:f>(ABS('03_Sensibilidades'!$C$34)*IF('03_Sensibilidades'!$C$34&lt;0,100-$K$538,$K$538)+ABS('03_Sensibilidades'!$C$35)*IF('03_Sensibilidades'!$C$35&lt;0,100-$K$533,$K$533)+ABS('03_Sensibilidades'!$C$36)*IF('03_Sensibilidades'!$C$36&lt;0,100-$K$543,$K$543)+ABS('03_Sensibilidades'!$C$37)*IF('03_Sensibilidades'!$C$37&lt;0,100-$K$542,$K$542))/(ABS('03_Sensibilidades'!$C$34)+ABS('03_Sensibilidades'!$C$35)+ABS('03_Sensibilidades'!$C$36)+ABS('03_Sensibilidades'!$C$37))</x:f>
        <x:v>49.76</x:v>
      </x:c>
      <x:c r="F1374" s="10" t="n">
        <x:f>(1-'00_Arquitectura'!$B$95)*D1374+'00_Arquitectura'!$B$95*E1374</x:f>
        <x:v>49.60621</x:v>
      </x:c>
      <x:c r="G1374" s="10" t="n">
        <x:f>'02_Actores'!$I$13</x:f>
        <x:v>45</x:v>
      </x:c>
      <x:c r="H1374" s="10" t="n">
        <x:f>IF(OR(AND(F1374&lt;'00_Arquitectura'!$B$118,G1374&lt;'00_Arquitectura'!$B$119),F1374&lt;'00_Arquitectura'!$B$120),1,0)</x:f>
        <x:v>0</x:v>
      </x:c>
      <x:c r="I1374" s="10" t="n">
        <x:f>IF($I$1356=1,IF(OR(AND(F1374&lt;'00_Arquitectura'!$B$121,G1374&lt;'00_Arquitectura'!$B$122),F1374&lt;'00_Arquitectura'!$B$123),1,0),IF(AND(H1374=1,$H$1356=1),1,0))</x:f>
        <x:v>0</x:v>
      </x:c>
      <x:c r="J1374" s="10" t="n">
        <x:f>0</x:f>
        <x:v>0</x:v>
      </x:c>
      <x:c r="K1374" s="10" t="n">
        <x:f>$K$1367</x:f>
        <x:v>48.90544451162767</x:v>
      </x:c>
      <x:c r="L1374" s="10" t="str">
        <x:v>Conflicto activo captura menor eficacia en políticas ejecutadas en t+1. Magnitud0 en J: no es un offset directo de indicador.</x:v>
      </x:c>
    </x:row>
    <x:row r="1375" ht="34" customHeight="1">
      <x:c r="A1375" s="5" t="str">
        <x:v>S4_PRESTAMO</x:v>
      </x:c>
      <x:c r="B1375" s="5" t="n">
        <x:v>4</x:v>
      </x:c>
      <x:c r="C1375" s="5" t="str">
        <x:v>docentes</x:v>
      </x:c>
      <x:c r="D1375" s="5" t="n">
        <x:f>$F$1357</x:f>
        <x:v>49.11391304347826</x:v>
      </x:c>
      <x:c r="E1375" s="5" t="n">
        <x:f>(ABS('03_Sensibilidades'!$C$38)*IF('03_Sensibilidades'!$C$38&lt;0,100-$K$538,$K$538)+ABS('03_Sensibilidades'!$C$39)*IF('03_Sensibilidades'!$C$39&lt;0,100-$K$533,$K$533)+ABS('03_Sensibilidades'!$C$40)*IF('03_Sensibilidades'!$C$40&lt;0,100-$K$543,$K$543))/(ABS('03_Sensibilidades'!$C$38)+ABS('03_Sensibilidades'!$C$39)+ABS('03_Sensibilidades'!$C$40))</x:f>
        <x:v>49.26086956521739</x:v>
      </x:c>
      <x:c r="F1375" s="5" t="n">
        <x:f>(1-'00_Arquitectura'!$B$95)*D1375+'00_Arquitectura'!$B$95*E1375</x:f>
        <x:v>49.16534782608696</x:v>
      </x:c>
      <x:c r="G1375" s="5" t="n">
        <x:f>'02_Actores'!$I$14</x:f>
        <x:v>45</x:v>
      </x:c>
      <x:c r="H1375" s="5" t="n">
        <x:f>IF(OR(AND(F1375&lt;'00_Arquitectura'!$B$118,G1375&lt;'00_Arquitectura'!$B$119),F1375&lt;'00_Arquitectura'!$B$120),1,0)</x:f>
        <x:v>0</x:v>
      </x:c>
      <x:c r="I1375" s="5" t="n">
        <x:f>IF($I$1357=1,IF(OR(AND(F1375&lt;'00_Arquitectura'!$B$121,G1375&lt;'00_Arquitectura'!$B$122),F1375&lt;'00_Arquitectura'!$B$123),1,0),IF(AND(H1375=1,$H$1357=1),1,0))</x:f>
        <x:v>0</x:v>
      </x:c>
      <x:c r="J1375" s="5" t="n">
        <x:f>-I1375*1.5*'02_Actores'!$E$14/10</x:f>
        <x:v>0</x:v>
      </x:c>
      <x:c r="K1375" s="5" t="n">
        <x:f>$K$1367</x:f>
        <x:v>48.90544451162767</x:v>
      </x:c>
      <x:c r="L1375" s="5" t="str">
        <x:v>J programa offset para t+1; efecto sustituible y acotado, sin voto adicional.</x:v>
      </x:c>
    </x:row>
    <x:row r="1376" ht="34" customHeight="1">
      <x:c r="A1376" s="10" t="str">
        <x:v>S4_PRESTAMO</x:v>
      </x:c>
      <x:c r="B1376" s="10" t="n">
        <x:v>4</x:v>
      </x:c>
      <x:c r="C1376" s="10" t="str">
        <x:v>cientificos</x:v>
      </x:c>
      <x:c r="D1376" s="10" t="n">
        <x:f>$F$1358</x:f>
        <x:v>46.85340909090909</x:v>
      </x:c>
      <x:c r="E1376" s="10" t="n">
        <x:f>(ABS('03_Sensibilidades'!$C$41)*IF('03_Sensibilidades'!$C$41&lt;0,100-$K$542,$K$542)+ABS('03_Sensibilidades'!$C$42)*IF('03_Sensibilidades'!$C$42&lt;0,100-$K$538,$K$538)+ABS('03_Sensibilidades'!$C$43)*IF('03_Sensibilidades'!$C$43&lt;0,100-$K$543,$K$543))/(ABS('03_Sensibilidades'!$C$41)+ABS('03_Sensibilidades'!$C$42)+ABS('03_Sensibilidades'!$C$43))</x:f>
        <x:v>47.04545454545455</x:v>
      </x:c>
      <x:c r="F1376" s="10" t="n">
        <x:f>(1-'00_Arquitectura'!$B$95)*D1376+'00_Arquitectura'!$B$95*E1376</x:f>
        <x:v>46.920625</x:v>
      </x:c>
      <x:c r="G1376" s="10" t="n">
        <x:f>'02_Actores'!$I$15</x:f>
        <x:v>45</x:v>
      </x:c>
      <x:c r="H1376" s="10" t="n">
        <x:f>IF(OR(AND(F1376&lt;'00_Arquitectura'!$B$118,G1376&lt;'00_Arquitectura'!$B$119),F1376&lt;'00_Arquitectura'!$B$120),1,0)</x:f>
        <x:v>0</x:v>
      </x:c>
      <x:c r="I1376" s="10" t="n">
        <x:f>IF($I$1358=1,IF(OR(AND(F1376&lt;'00_Arquitectura'!$B$121,G1376&lt;'00_Arquitectura'!$B$122),F1376&lt;'00_Arquitectura'!$B$123),1,0),IF(AND(H1376=1,$H$1358=1),1,0))</x:f>
        <x:v>0</x:v>
      </x:c>
      <x:c r="J1376" s="10" t="n">
        <x:f>-I1376*1.5*'02_Actores'!$E$15/10</x:f>
        <x:v>0</x:v>
      </x:c>
      <x:c r="K1376" s="10" t="n">
        <x:f>$K$1367</x:f>
        <x:v>48.90544451162767</x:v>
      </x:c>
      <x:c r="L1376" s="10" t="str">
        <x:v>J programa offset para t+1; efecto sustituible y acotado, sin voto adicional.</x:v>
      </x:c>
    </x:row>
    <x:row r="1377" ht="34" customHeight="1">
      <x:c r="A1377" s="5" t="str">
        <x:v>S4_PRESTAMO</x:v>
      </x:c>
      <x:c r="B1377" s="5" t="n">
        <x:v>4</x:v>
      </x:c>
      <x:c r="C1377" s="5" t="str">
        <x:v>organizaciones</x:v>
      </x:c>
      <x:c r="D1377" s="5" t="n">
        <x:f>$F$1359</x:f>
        <x:v>49.31339285714286</x:v>
      </x:c>
      <x:c r="E1377" s="5" t="n">
        <x:f>(ABS('03_Sensibilidades'!$C$44)*IF('03_Sensibilidades'!$C$44&lt;0,100-$K$540,$K$540)+ABS('03_Sensibilidades'!$C$45)*IF('03_Sensibilidades'!$C$45&lt;0,100-$K$539,$K$539)+ABS('03_Sensibilidades'!$C$46)*IF('03_Sensibilidades'!$C$46&lt;0,100-$K$532,$K$532)+ABS('03_Sensibilidades'!$C$47)*IF('03_Sensibilidades'!$C$47&lt;0,100-$K$543,$K$543))/(ABS('03_Sensibilidades'!$C$44)+ABS('03_Sensibilidades'!$C$45)+ABS('03_Sensibilidades'!$C$46)+ABS('03_Sensibilidades'!$C$47))</x:f>
        <x:v>49.46154285714285</x:v>
      </x:c>
      <x:c r="F1377" s="5" t="n">
        <x:f>(1-'00_Arquitectura'!$B$95)*D1377+'00_Arquitectura'!$B$95*E1377</x:f>
        <x:v>49.365245357142854</x:v>
      </x:c>
      <x:c r="G1377" s="5" t="n">
        <x:f>'02_Actores'!$I$16</x:f>
        <x:v>45</x:v>
      </x:c>
      <x:c r="H1377" s="5" t="n">
        <x:f>IF(OR(AND(F1377&lt;'00_Arquitectura'!$B$118,G1377&lt;'00_Arquitectura'!$B$119),F1377&lt;'00_Arquitectura'!$B$120),1,0)</x:f>
        <x:v>0</x:v>
      </x:c>
      <x:c r="I1377" s="5" t="n">
        <x:f>IF($I$1359=1,IF(OR(AND(F1377&lt;'00_Arquitectura'!$B$121,G1377&lt;'00_Arquitectura'!$B$122),F1377&lt;'00_Arquitectura'!$B$123),1,0),IF(AND(H1377=1,$H$1359=1),1,0))</x:f>
        <x:v>0</x:v>
      </x:c>
      <x:c r="J1377" s="5" t="n">
        <x:f>-I1377*1.5*'02_Actores'!$E$16/10</x:f>
        <x:v>0</x:v>
      </x:c>
      <x:c r="K1377" s="5" t="n">
        <x:f>$K$1367</x:f>
        <x:v>48.90544451162767</x:v>
      </x:c>
      <x:c r="L1377" s="5" t="str">
        <x:v>J programa offset para t+1; efecto sustituible y acotado, sin voto adicional.</x:v>
      </x:c>
    </x:row>
    <x:row r="1378" ht="42" customHeight="1">
      <x:c r="A1378" s="10" t="str">
        <x:v>S4_PRESTAMO</x:v>
      </x:c>
      <x:c r="B1378" s="10" t="n">
        <x:v>4</x:v>
      </x:c>
      <x:c r="C1378" s="10" t="str">
        <x:v>ddhh</x:v>
      </x:c>
      <x:c r="D1378" s="10" t="n">
        <x:f>$F$1360</x:f>
        <x:v>51.561764705882354</x:v>
      </x:c>
      <x:c r="E1378" s="10" t="n">
        <x:f>(ABS('03_Sensibilidades'!$C$48)*IF('03_Sensibilidades'!$C$48&lt;0,100-$K$543,$K$543)+ABS('03_Sensibilidades'!$C$49)*IF('03_Sensibilidades'!$C$49&lt;0,100-$K$541,$K$541)+ABS('03_Sensibilidades'!$C$50)*IF('03_Sensibilidades'!$C$50&lt;0,100-$K$540,$K$540))/(ABS('03_Sensibilidades'!$C$48)+ABS('03_Sensibilidades'!$C$49)+ABS('03_Sensibilidades'!$C$50))</x:f>
        <x:v>52.05882352941177</x:v>
      </x:c>
      <x:c r="F1378" s="10" t="n">
        <x:f>(1-'00_Arquitectura'!$B$95)*D1378+'00_Arquitectura'!$B$95*E1378</x:f>
        <x:v>51.735735294117646</x:v>
      </x:c>
      <x:c r="G1378" s="10" t="n">
        <x:f>'02_Actores'!$I$17</x:f>
        <x:v>45</x:v>
      </x:c>
      <x:c r="H1378" s="10" t="n">
        <x:f>IF(OR(AND(F1378&lt;'00_Arquitectura'!$B$118,G1378&lt;'00_Arquitectura'!$B$119),F1378&lt;'00_Arquitectura'!$B$120),1,0)</x:f>
        <x:v>0</x:v>
      </x:c>
      <x:c r="I1378" s="10" t="n">
        <x:f>IF($I$1360=1,IF(OR(AND(F1378&lt;'00_Arquitectura'!$B$121,G1378&lt;'00_Arquitectura'!$B$122),F1378&lt;'00_Arquitectura'!$B$123),1,0),IF(AND(H1378=1,$H$1360=1),1,0))</x:f>
        <x:v>0</x:v>
      </x:c>
      <x:c r="J1378" s="10" t="n">
        <x:f>0</x:f>
        <x:v>0</x:v>
      </x:c>
      <x:c r="K1378" s="10" t="n">
        <x:f>$K$1367</x:f>
        <x:v>48.90544451162767</x:v>
      </x:c>
      <x:c r="L1378" s="10" t="str">
        <x:v>Conflicto activo captura menor eficacia en políticas ejecutadas en t+1. Magnitud0 en J: no es un offset directo de indicador.</x:v>
      </x:c>
    </x:row>
    <x:row r="1379" ht="42" customHeight="1">
      <x:c r="A1379" s="5" t="str">
        <x:v>S4_PRESTAMO</x:v>
      </x:c>
      <x:c r="B1379" s="5" t="n">
        <x:v>4</x:v>
      </x:c>
      <x:c r="C1379" s="5" t="str">
        <x:v>ambientalistas</x:v>
      </x:c>
      <x:c r="D1379" s="5" t="n">
        <x:f>$F$1361</x:f>
        <x:v>51.70972222222221</x:v>
      </x:c>
      <x:c r="E1379" s="5" t="n">
        <x:f>(ABS('03_Sensibilidades'!$C$51)*IF('03_Sensibilidades'!$C$51&lt;0,100-$K$544,$K$544)+ABS('03_Sensibilidades'!$C$52)*IF('03_Sensibilidades'!$C$52&lt;0,100-$K$543,$K$543)+ABS('03_Sensibilidades'!$C$53)*IF('03_Sensibilidades'!$C$53&lt;0,100-$K$539,$K$539))/(ABS('03_Sensibilidades'!$C$51)+ABS('03_Sensibilidades'!$C$52)+ABS('03_Sensibilidades'!$C$53))</x:f>
        <x:v>51.94444444444444</x:v>
      </x:c>
      <x:c r="F1379" s="5" t="n">
        <x:f>(1-'00_Arquitectura'!$B$95)*D1379+'00_Arquitectura'!$B$95*E1379</x:f>
        <x:v>51.79187499999999</x:v>
      </x:c>
      <x:c r="G1379" s="5" t="n">
        <x:f>'02_Actores'!$I$18</x:f>
        <x:v>45</x:v>
      </x:c>
      <x:c r="H1379" s="5" t="n">
        <x:f>IF(OR(AND(F1379&lt;'00_Arquitectura'!$B$118,G1379&lt;'00_Arquitectura'!$B$119),F1379&lt;'00_Arquitectura'!$B$120),1,0)</x:f>
        <x:v>0</x:v>
      </x:c>
      <x:c r="I1379" s="5" t="n">
        <x:f>IF($I$1361=1,IF(OR(AND(F1379&lt;'00_Arquitectura'!$B$121,G1379&lt;'00_Arquitectura'!$B$122),F1379&lt;'00_Arquitectura'!$B$123),1,0),IF(AND(H1379=1,$H$1361=1),1,0))</x:f>
        <x:v>0</x:v>
      </x:c>
      <x:c r="J1379" s="5" t="n">
        <x:f>0</x:f>
        <x:v>0</x:v>
      </x:c>
      <x:c r="K1379" s="5" t="n">
        <x:f>$K$1367</x:f>
        <x:v>48.90544451162767</x:v>
      </x:c>
      <x:c r="L1379" s="5" t="str">
        <x:v>Conflicto activo captura menor eficacia en políticas ejecutadas en t+1. Magnitud0 en J: no es un offset directo de indicador.</x:v>
      </x:c>
    </x:row>
    <x:row r="1380" ht="34" customHeight="1">
      <x:c r="A1380" s="10" t="str">
        <x:v>S4_PRESTAMO</x:v>
      </x:c>
      <x:c r="B1380" s="10" t="n">
        <x:v>4</x:v>
      </x:c>
      <x:c r="C1380" s="10" t="str">
        <x:v>cultura</x:v>
      </x:c>
      <x:c r="D1380" s="10" t="n">
        <x:f>$F$1362</x:f>
        <x:v>51.275789473684206</x:v>
      </x:c>
      <x:c r="E1380" s="10" t="n">
        <x:f>(ABS('03_Sensibilidades'!$C$54)*IF('03_Sensibilidades'!$C$54&lt;0,100-$K$543,$K$543)+ABS('03_Sensibilidades'!$C$55)*IF('03_Sensibilidades'!$C$55&lt;0,100-$K$538,$K$538)+ABS('03_Sensibilidades'!$C$56)*IF('03_Sensibilidades'!$C$56&lt;0,100-$K$533,$K$533))/(ABS('03_Sensibilidades'!$C$54)+ABS('03_Sensibilidades'!$C$55)+ABS('03_Sensibilidades'!$C$56))</x:f>
        <x:v>51.63157894736842</x:v>
      </x:c>
      <x:c r="F1380" s="10" t="n">
        <x:f>(1-'00_Arquitectura'!$B$95)*D1380+'00_Arquitectura'!$B$95*E1380</x:f>
        <x:v>51.40031578947368</x:v>
      </x:c>
      <x:c r="G1380" s="10" t="n">
        <x:f>'02_Actores'!$I$19</x:f>
        <x:v>45</x:v>
      </x:c>
      <x:c r="H1380" s="10" t="n">
        <x:f>IF(OR(AND(F1380&lt;'00_Arquitectura'!$B$118,G1380&lt;'00_Arquitectura'!$B$119),F1380&lt;'00_Arquitectura'!$B$120),1,0)</x:f>
        <x:v>0</x:v>
      </x:c>
      <x:c r="I1380" s="10" t="n">
        <x:f>IF($I$1362=1,IF(OR(AND(F1380&lt;'00_Arquitectura'!$B$121,G1380&lt;'00_Arquitectura'!$B$122),F1380&lt;'00_Arquitectura'!$B$123),1,0),IF(AND(H1380=1,$H$1362=1),1,0))</x:f>
        <x:v>0</x:v>
      </x:c>
      <x:c r="J1380" s="10" t="n">
        <x:f>0</x:f>
        <x:v>0</x:v>
      </x:c>
      <x:c r="K1380" s="10" t="n">
        <x:f>$K$1367</x:f>
        <x:v>48.90544451162767</x:v>
      </x:c>
      <x:c r="L1380" s="10" t="str">
        <x:v>Conflicto activo encarece agenda del turno siguiente; sin castigo electoral adicional.</x:v>
      </x:c>
    </x:row>
    <x:row r="1381" ht="34" customHeight="1">
      <x:c r="A1381" s="5" t="str">
        <x:v>S4_PRESTAMO</x:v>
      </x:c>
      <x:c r="B1381" s="5" t="n">
        <x:v>4</x:v>
      </x:c>
      <x:c r="C1381" s="5" t="str">
        <x:v>oficialismo</x:v>
      </x:c>
      <x:c r="D1381" s="5" t="n">
        <x:f>$F$1363</x:f>
        <x:v>51.674800000000005</x:v>
      </x:c>
      <x:c r="E1381" s="5" t="n">
        <x:f>(ABS('03_Sensibilidades'!$C$57)*IF('03_Sensibilidades'!$C$57&lt;0,100-$K$543,$K$543)+ABS('03_Sensibilidades'!$C$58)*IF('03_Sensibilidades'!$C$58&lt;0,100-$K$532,$K$532)+ABS('03_Sensibilidades'!$C$59)*IF('03_Sensibilidades'!$C$59&lt;0,100-$K$535,$K$535)+ABS('03_Sensibilidades'!$C$60)*IF('03_Sensibilidades'!$C$60&lt;0,100-$K$540,$K$540))/(ABS('03_Sensibilidades'!$C$57)+ABS('03_Sensibilidades'!$C$58)+ABS('03_Sensibilidades'!$C$59)+ABS('03_Sensibilidades'!$C$60))</x:f>
        <x:v>51.77990400000001</x:v>
      </x:c>
      <x:c r="F1381" s="5" t="n">
        <x:f>(1-'00_Arquitectura'!$B$95)*D1381+'00_Arquitectura'!$B$95*E1381</x:f>
        <x:v>51.71158640000001</x:v>
      </x:c>
      <x:c r="G1381" s="5" t="n">
        <x:f>'02_Actores'!$I$20</x:f>
        <x:v>60</x:v>
      </x:c>
      <x:c r="H1381" s="5" t="n">
        <x:f>IF(OR(AND(F1381&lt;'00_Arquitectura'!$B$118,G1381&lt;'00_Arquitectura'!$B$119),F1381&lt;'00_Arquitectura'!$B$120),1,0)</x:f>
        <x:v>0</x:v>
      </x:c>
      <x:c r="I1381" s="5" t="n">
        <x:f>IF($I$1363=1,IF(OR(AND(F1381&lt;'00_Arquitectura'!$B$121,G1381&lt;'00_Arquitectura'!$B$122),F1381&lt;'00_Arquitectura'!$B$123),1,0),IF(AND(H1381=1,$H$1363=1),1,0))</x:f>
        <x:v>0</x:v>
      </x:c>
      <x:c r="J1381" s="5" t="n">
        <x:f>0</x:f>
        <x:v>0</x:v>
      </x:c>
      <x:c r="K1381" s="5" t="n">
        <x:f>$K$1367</x:f>
        <x:v>48.90544451162767</x:v>
      </x:c>
      <x:c r="L1381" s="5" t="str">
        <x:v>No aporta E_social; S y R alimentan disposición a leyes según07.</x:v>
      </x:c>
    </x:row>
    <x:row r="1382" ht="34" customHeight="1">
      <x:c r="A1382" s="10" t="str">
        <x:v>S4_PRESTAMO</x:v>
      </x:c>
      <x:c r="B1382" s="10" t="n">
        <x:v>4</x:v>
      </x:c>
      <x:c r="C1382" s="10" t="str">
        <x:v>aliados</x:v>
      </x:c>
      <x:c r="D1382" s="10" t="n">
        <x:f>$F$1364</x:f>
        <x:v>52.57952380952381</x:v>
      </x:c>
      <x:c r="E1382" s="10" t="n">
        <x:f>(ABS('03_Sensibilidades'!$C$61)*IF('03_Sensibilidades'!$C$61&lt;0,100-$K$543,$K$543)+ABS('03_Sensibilidades'!$C$62)*IF('03_Sensibilidades'!$C$62&lt;0,100-$K$535,$K$535)+ABS('03_Sensibilidades'!$C$63)*IF('03_Sensibilidades'!$C$63&lt;0,100-$K$537,$K$537))/(ABS('03_Sensibilidades'!$C$61)+ABS('03_Sensibilidades'!$C$62)+ABS('03_Sensibilidades'!$C$63))</x:f>
        <x:v>52.77142857142857</x:v>
      </x:c>
      <x:c r="F1382" s="10" t="n">
        <x:f>(1-'00_Arquitectura'!$B$95)*D1382+'00_Arquitectura'!$B$95*E1382</x:f>
        <x:v>52.64669047619048</x:v>
      </x:c>
      <x:c r="G1382" s="10" t="n">
        <x:f>'02_Actores'!$I$21</x:f>
        <x:v>45</x:v>
      </x:c>
      <x:c r="H1382" s="10" t="n">
        <x:f>IF(OR(AND(F1382&lt;'00_Arquitectura'!$B$118,G1382&lt;'00_Arquitectura'!$B$119),F1382&lt;'00_Arquitectura'!$B$120),1,0)</x:f>
        <x:v>0</x:v>
      </x:c>
      <x:c r="I1382" s="10" t="n">
        <x:f>IF($I$1364=1,IF(OR(AND(F1382&lt;'00_Arquitectura'!$B$121,G1382&lt;'00_Arquitectura'!$B$122),F1382&lt;'00_Arquitectura'!$B$123),1,0),IF(AND(H1382=1,$H$1364=1),1,0))</x:f>
        <x:v>0</x:v>
      </x:c>
      <x:c r="J1382" s="10" t="n">
        <x:f>0</x:f>
        <x:v>0</x:v>
      </x:c>
      <x:c r="K1382" s="10" t="n">
        <x:f>$K$1367</x:f>
        <x:v>48.90544451162767</x:v>
      </x:c>
      <x:c r="L1382" s="10" t="str">
        <x:v>No aporta E_social; S y R alimentan disposición a leyes según07.</x:v>
      </x:c>
    </x:row>
    <x:row r="1383" ht="34" customHeight="1">
      <x:c r="A1383" s="5" t="str">
        <x:v>S4_PRESTAMO</x:v>
      </x:c>
      <x:c r="B1383" s="5" t="n">
        <x:v>4</x:v>
      </x:c>
      <x:c r="C1383" s="5" t="str">
        <x:v>oposicion</x:v>
      </x:c>
      <x:c r="D1383" s="5" t="n">
        <x:f>$F$1365</x:f>
        <x:v>53.5745</x:v>
      </x:c>
      <x:c r="E1383" s="5" t="n">
        <x:f>(ABS('03_Sensibilidades'!$C$64)*IF('03_Sensibilidades'!$C$64&lt;0,100-$K$543,$K$543)+ABS('03_Sensibilidades'!$C$65)*IF('03_Sensibilidades'!$C$65&lt;0,100-$K$535,$K$535)+ABS('03_Sensibilidades'!$C$66)*IF('03_Sensibilidades'!$C$66&lt;0,100-$K$541,$K$541))/(ABS('03_Sensibilidades'!$C$64)+ABS('03_Sensibilidades'!$C$65)+ABS('03_Sensibilidades'!$C$66))</x:f>
        <x:v>53.879999999999995</x:v>
      </x:c>
      <x:c r="F1383" s="5" t="n">
        <x:f>(1-'00_Arquitectura'!$B$95)*D1383+'00_Arquitectura'!$B$95*E1383</x:f>
        <x:v>53.681425</x:v>
      </x:c>
      <x:c r="G1383" s="5" t="n">
        <x:f>'02_Actores'!$I$22</x:f>
        <x:v>30</x:v>
      </x:c>
      <x:c r="H1383" s="5" t="n">
        <x:f>IF(OR(AND(F1383&lt;'00_Arquitectura'!$B$118,G1383&lt;'00_Arquitectura'!$B$119),F1383&lt;'00_Arquitectura'!$B$120),1,0)</x:f>
        <x:v>0</x:v>
      </x:c>
      <x:c r="I1383" s="5" t="n">
        <x:f>IF($I$1365=1,IF(OR(AND(F1383&lt;'00_Arquitectura'!$B$121,G1383&lt;'00_Arquitectura'!$B$122),F1383&lt;'00_Arquitectura'!$B$123),1,0),IF(AND(H1383=1,$H$1365=1),1,0))</x:f>
        <x:v>0</x:v>
      </x:c>
      <x:c r="J1383" s="5" t="n">
        <x:f>0</x:f>
        <x:v>0</x:v>
      </x:c>
      <x:c r="K1383" s="5" t="n">
        <x:f>$K$1367</x:f>
        <x:v>48.90544451162767</x:v>
      </x:c>
      <x:c r="L1383" s="5" t="str">
        <x:v>No aporta E_social; S y R alimentan disposición a leyes según07.</x:v>
      </x:c>
    </x:row>
    <x:row r="1384" ht="42" customHeight="1">
      <x:c r="A1384" s="10" t="str">
        <x:v>S4_PRESTAMO</x:v>
      </x:c>
      <x:c r="B1384" s="10" t="n">
        <x:v>4</x:v>
      </x:c>
      <x:c r="C1384" s="10" t="str">
        <x:v>gobernadores</x:v>
      </x:c>
      <x:c r="D1384" s="10" t="n">
        <x:f>$F$1366</x:f>
        <x:v>49.48068965517242</x:v>
      </x:c>
      <x:c r="E1384" s="10" t="n">
        <x:f>(ABS('03_Sensibilidades'!$C$67)*IF('03_Sensibilidades'!$C$67&lt;0,100-$K$537,$K$537)+ABS('03_Sensibilidades'!$C$68)*IF('03_Sensibilidades'!$C$68&lt;0,100-$K$539,$K$539)+ABS('03_Sensibilidades'!$C$69)*IF('03_Sensibilidades'!$C$69&lt;0,100-$K$538,$K$538)+ABS('03_Sensibilidades'!$C$70)*IF('03_Sensibilidades'!$C$70&lt;0,100-$K$535,$K$535))/(ABS('03_Sensibilidades'!$C$67)+ABS('03_Sensibilidades'!$C$68)+ABS('03_Sensibilidades'!$C$69)+ABS('03_Sensibilidades'!$C$70))</x:f>
        <x:v>49.4</x:v>
      </x:c>
      <x:c r="F1384" s="10" t="n">
        <x:f>(1-'00_Arquitectura'!$B$95)*D1384+'00_Arquitectura'!$B$95*E1384</x:f>
        <x:v>49.452448275862075</x:v>
      </x:c>
      <x:c r="G1384" s="10" t="n">
        <x:f>'02_Actores'!$I$23</x:f>
        <x:v>45</x:v>
      </x:c>
      <x:c r="H1384" s="10" t="n">
        <x:f>IF(OR(AND(F1384&lt;'00_Arquitectura'!$B$118,G1384&lt;'00_Arquitectura'!$B$119),F1384&lt;'00_Arquitectura'!$B$120),1,0)</x:f>
        <x:v>0</x:v>
      </x:c>
      <x:c r="I1384" s="10" t="n">
        <x:f>IF($I$1366=1,IF(OR(AND(F1384&lt;'00_Arquitectura'!$B$121,G1384&lt;'00_Arquitectura'!$B$122),F1384&lt;'00_Arquitectura'!$B$123),1,0),IF(AND(H1384=1,$H$1366=1),1,0))</x:f>
        <x:v>0</x:v>
      </x:c>
      <x:c r="J1384" s="10" t="n">
        <x:f>0</x:f>
        <x:v>0</x:v>
      </x:c>
      <x:c r="K1384" s="10" t="n">
        <x:f>$K$1367</x:f>
        <x:v>48.90544451162767</x:v>
      </x:c>
      <x:c r="L1384" s="10" t="str">
        <x:v>Conflicto activo captura menor eficacia en políticas ejecutadas en t+1. Magnitud0 en J: no es un offset directo de indicador.</x:v>
      </x:c>
    </x:row>
    <x:row r="1385" ht="34" customHeight="1">
      <x:c r="A1385" s="5" t="str">
        <x:v>S4_PRESTAMO</x:v>
      </x:c>
      <x:c r="B1385" s="5" t="n">
        <x:v>5</x:v>
      </x:c>
      <x:c r="C1385" s="5" t="str">
        <x:v>industria</x:v>
      </x:c>
      <x:c r="D1385" s="5" t="n">
        <x:f>$F$1367</x:f>
        <x:v>46.44821333333333</x:v>
      </x:c>
      <x:c r="E1385" s="5" t="n">
        <x:f>(ABS('03_Sensibilidades'!$C$6)*IF('03_Sensibilidades'!$C$6&lt;0,100-$K$548,$K$548)+ABS('03_Sensibilidades'!$C$7)*IF('03_Sensibilidades'!$C$7&lt;0,100-$K$546,$K$546)+ABS('03_Sensibilidades'!$C$8)*IF('03_Sensibilidades'!$C$8&lt;0,100-$K$551,$K$551)+ABS('03_Sensibilidades'!$C$9)*IF('03_Sensibilidades'!$C$9&lt;0,100-$K$550,$K$550))/(ABS('03_Sensibilidades'!$C$6)+ABS('03_Sensibilidades'!$C$7)+ABS('03_Sensibilidades'!$C$8)+ABS('03_Sensibilidades'!$C$9))</x:f>
        <x:v>46.40208592592593</x:v>
      </x:c>
      <x:c r="F1385" s="5" t="n">
        <x:f>(1-'00_Arquitectura'!$B$95)*D1385+'00_Arquitectura'!$B$95*E1385</x:f>
        <x:v>46.43206874074074</x:v>
      </x:c>
      <x:c r="G1385" s="5" t="n">
        <x:f>'02_Actores'!$I$6</x:f>
        <x:v>45</x:v>
      </x:c>
      <x:c r="H1385" s="5" t="n">
        <x:f>IF(OR(AND(F1385&lt;'00_Arquitectura'!$B$118,G1385&lt;'00_Arquitectura'!$B$119),F1385&lt;'00_Arquitectura'!$B$120),1,0)</x:f>
        <x:v>0</x:v>
      </x:c>
      <x:c r="I1385" s="5" t="n">
        <x:f>IF($I$1367=1,IF(OR(AND(F1385&lt;'00_Arquitectura'!$B$121,G1385&lt;'00_Arquitectura'!$B$122),F1385&lt;'00_Arquitectura'!$B$123),1,0),IF(AND(H1385=1,$H$1367=1),1,0))</x:f>
        <x:v>0</x:v>
      </x:c>
      <x:c r="J1385" s="5" t="n">
        <x:f>-I1385*2*'02_Actores'!$E$6/10</x:f>
        <x:v>0</x:v>
      </x:c>
      <x:c r="K1385" s="5" t="n">
        <x:f>($F$1385*'02_Actores'!$F$6+$F$1386*'02_Actores'!$F$7+$F$1387*'02_Actores'!$F$8+$F$1388*'02_Actores'!$F$9+$F$1389*'02_Actores'!$F$10+$F$1390*'02_Actores'!$F$11+$F$1391*'02_Actores'!$F$12+$F$1392*'02_Actores'!$F$13+$F$1393*'02_Actores'!$F$14+$F$1394*'02_Actores'!$F$15+$F$1395*'02_Actores'!$F$16+$F$1396*'02_Actores'!$F$17+$F$1397*'02_Actores'!$F$18+$F$1398*'02_Actores'!$F$19)/('02_Actores'!$F$6+'02_Actores'!$F$7+'02_Actores'!$F$8+'02_Actores'!$F$9+'02_Actores'!$F$10+'02_Actores'!$F$11+'02_Actores'!$F$12+'02_Actores'!$F$13+'02_Actores'!$F$14+'02_Actores'!$F$15+'02_Actores'!$F$16+'02_Actores'!$F$17+'02_Actores'!$F$18+'02_Actores'!$F$19)</x:f>
        <x:v>48.92554799779957</x:v>
      </x:c>
      <x:c r="L1385" s="5" t="str">
        <x:v>J programa offset para t+1; efecto sustituible y acotado, sin voto adicional.</x:v>
      </x:c>
    </x:row>
    <x:row r="1386" ht="34" customHeight="1">
      <x:c r="A1386" s="10" t="str">
        <x:v>S4_PRESTAMO</x:v>
      </x:c>
      <x:c r="B1386" s="10" t="n">
        <x:v>5</x:v>
      </x:c>
      <x:c r="C1386" s="10" t="str">
        <x:v>agro</x:v>
      </x:c>
      <x:c r="D1386" s="10" t="n">
        <x:f>$F$1368</x:f>
        <x:v>45.873607142857146</x:v>
      </x:c>
      <x:c r="E1386" s="10" t="n">
        <x:f>(ABS('03_Sensibilidades'!$C$10)*IF('03_Sensibilidades'!$C$10&lt;0,100-$K$550,$K$550)+ABS('03_Sensibilidades'!$C$11)*IF('03_Sensibilidades'!$C$11&lt;0,100-$K$551,$K$551)+ABS('03_Sensibilidades'!$C$12)*IF('03_Sensibilidades'!$C$12&lt;0,100-$K$558,$K$558)+ABS('03_Sensibilidades'!$C$13)*IF('03_Sensibilidades'!$C$13&lt;0,100-$K$548,$K$548))/(ABS('03_Sensibilidades'!$C$10)+ABS('03_Sensibilidades'!$C$11)+ABS('03_Sensibilidades'!$C$12)+ABS('03_Sensibilidades'!$C$13))</x:f>
        <x:v>45.84975000000001</x:v>
      </x:c>
      <x:c r="F1386" s="10" t="n">
        <x:f>(1-'00_Arquitectura'!$B$95)*D1386+'00_Arquitectura'!$B$95*E1386</x:f>
        <x:v>45.865257142857146</x:v>
      </x:c>
      <x:c r="G1386" s="10" t="n">
        <x:f>'02_Actores'!$I$7</x:f>
        <x:v>45</x:v>
      </x:c>
      <x:c r="H1386" s="10" t="n">
        <x:f>IF(OR(AND(F1386&lt;'00_Arquitectura'!$B$118,G1386&lt;'00_Arquitectura'!$B$119),F1386&lt;'00_Arquitectura'!$B$120),1,0)</x:f>
        <x:v>0</x:v>
      </x:c>
      <x:c r="I1386" s="10" t="n">
        <x:f>IF($I$1368=1,IF(OR(AND(F1386&lt;'00_Arquitectura'!$B$121,G1386&lt;'00_Arquitectura'!$B$122),F1386&lt;'00_Arquitectura'!$B$123),1,0),IF(AND(H1386=1,$H$1368=1),1,0))</x:f>
        <x:v>0</x:v>
      </x:c>
      <x:c r="J1386" s="10" t="n">
        <x:f>-I1386*2*'02_Actores'!$E$7/10</x:f>
        <x:v>0</x:v>
      </x:c>
      <x:c r="K1386" s="10" t="n">
        <x:f>$K$1385</x:f>
        <x:v>48.92554799779957</x:v>
      </x:c>
      <x:c r="L1386" s="10" t="str">
        <x:v>J programa offset para t+1; efecto sustituible y acotado, sin voto adicional.</x:v>
      </x:c>
    </x:row>
    <x:row r="1387" ht="34" customHeight="1">
      <x:c r="A1387" s="5" t="str">
        <x:v>S4_PRESTAMO</x:v>
      </x:c>
      <x:c r="B1387" s="5" t="n">
        <x:v>5</x:v>
      </x:c>
      <x:c r="C1387" s="5" t="str">
        <x:v>financiero</x:v>
      </x:c>
      <x:c r="D1387" s="5" t="n">
        <x:f>$F$1369</x:f>
        <x:v>54.08908275862069</x:v>
      </x:c>
      <x:c r="E1387" s="5" t="n">
        <x:f>(ABS('03_Sensibilidades'!$C$14)*IF('03_Sensibilidades'!$C$14&lt;0,100-$K$549,$K$549)+ABS('03_Sensibilidades'!$C$15)*IF('03_Sensibilidades'!$C$15&lt;0,100-$K$545,$K$545)+ABS('03_Sensibilidades'!$C$16)*IF('03_Sensibilidades'!$C$16&lt;0,100-$K$548,$K$548)+ABS('03_Sensibilidades'!$C$17)*IF('03_Sensibilidades'!$C$17&lt;0,100-$K$557,$K$557))/(ABS('03_Sensibilidades'!$C$14)+ABS('03_Sensibilidades'!$C$15)+ABS('03_Sensibilidades'!$C$16)+ABS('03_Sensibilidades'!$C$17))</x:f>
        <x:v>54.04429655172414</x:v>
      </x:c>
      <x:c r="F1387" s="5" t="n">
        <x:f>(1-'00_Arquitectura'!$B$95)*D1387+'00_Arquitectura'!$B$95*E1387</x:f>
        <x:v>54.0734075862069</x:v>
      </x:c>
      <x:c r="G1387" s="5" t="n">
        <x:f>'02_Actores'!$I$8</x:f>
        <x:v>45</x:v>
      </x:c>
      <x:c r="H1387" s="5" t="n">
        <x:f>IF(OR(AND(F1387&lt;'00_Arquitectura'!$B$118,G1387&lt;'00_Arquitectura'!$B$119),F1387&lt;'00_Arquitectura'!$B$120),1,0)</x:f>
        <x:v>0</x:v>
      </x:c>
      <x:c r="I1387" s="5" t="n">
        <x:f>IF($I$1369=1,IF(OR(AND(F1387&lt;'00_Arquitectura'!$B$121,G1387&lt;'00_Arquitectura'!$B$122),F1387&lt;'00_Arquitectura'!$B$123),1,0),IF(AND(H1387=1,$H$1369=1),1,0))</x:f>
        <x:v>0</x:v>
      </x:c>
      <x:c r="J1387" s="5" t="n">
        <x:f>-I1387*2*'02_Actores'!$E$8/10</x:f>
        <x:v>0</x:v>
      </x:c>
      <x:c r="K1387" s="5" t="n">
        <x:f>$K$1385</x:f>
        <x:v>48.92554799779957</x:v>
      </x:c>
      <x:c r="L1387" s="5" t="str">
        <x:v>J programa offset para t+1; efecto sustituible y acotado, sin voto adicional.</x:v>
      </x:c>
    </x:row>
    <x:row r="1388" ht="34" customHeight="1">
      <x:c r="A1388" s="10" t="str">
        <x:v>S4_PRESTAMO</x:v>
      </x:c>
      <x:c r="B1388" s="10" t="n">
        <x:v>5</x:v>
      </x:c>
      <x:c r="C1388" s="10" t="str">
        <x:v>sindicatos</x:v>
      </x:c>
      <x:c r="D1388" s="10" t="n">
        <x:f>$F$1370</x:f>
        <x:v>48.129747586206896</x:v>
      </x:c>
      <x:c r="E1388" s="10" t="n">
        <x:f>(ABS('03_Sensibilidades'!$C$18)*IF('03_Sensibilidades'!$C$18&lt;0,100-$K$547,$K$547)+ABS('03_Sensibilidades'!$C$19)*IF('03_Sensibilidades'!$C$19&lt;0,100-$K$546,$K$546)+ABS('03_Sensibilidades'!$C$20)*IF('03_Sensibilidades'!$C$20&lt;0,100-$K$554,$K$554)+ABS('03_Sensibilidades'!$C$21)*IF('03_Sensibilidades'!$C$21&lt;0,100-$K$557,$K$557))/(ABS('03_Sensibilidades'!$C$18)+ABS('03_Sensibilidades'!$C$19)+ABS('03_Sensibilidades'!$C$20)+ABS('03_Sensibilidades'!$C$21))</x:f>
        <x:v>48.197991724137935</x:v>
      </x:c>
      <x:c r="F1388" s="10" t="n">
        <x:f>(1-'00_Arquitectura'!$B$95)*D1388+'00_Arquitectura'!$B$95*E1388</x:f>
        <x:v>48.15363303448276</x:v>
      </x:c>
      <x:c r="G1388" s="10" t="n">
        <x:f>'02_Actores'!$I$9</x:f>
        <x:v>45</x:v>
      </x:c>
      <x:c r="H1388" s="10" t="n">
        <x:f>IF(OR(AND(F1388&lt;'00_Arquitectura'!$B$118,G1388&lt;'00_Arquitectura'!$B$119),F1388&lt;'00_Arquitectura'!$B$120),1,0)</x:f>
        <x:v>0</x:v>
      </x:c>
      <x:c r="I1388" s="10" t="n">
        <x:f>IF($I$1370=1,IF(OR(AND(F1388&lt;'00_Arquitectura'!$B$121,G1388&lt;'00_Arquitectura'!$B$122),F1388&lt;'00_Arquitectura'!$B$123),1,0),IF(AND(H1388=1,$H$1370=1),1,0))</x:f>
        <x:v>0</x:v>
      </x:c>
      <x:c r="J1388" s="10" t="n">
        <x:f>-I1388*2*'02_Actores'!$E$9/10</x:f>
        <x:v>0</x:v>
      </x:c>
      <x:c r="K1388" s="10" t="n">
        <x:f>$K$1385</x:f>
        <x:v>48.92554799779957</x:v>
      </x:c>
      <x:c r="L1388" s="10" t="str">
        <x:v>J programa offset para t+1; efecto sustituible y acotado, sin voto adicional.</x:v>
      </x:c>
    </x:row>
    <x:row r="1389" ht="34" customHeight="1">
      <x:c r="A1389" s="5" t="str">
        <x:v>S4_PRESTAMO</x:v>
      </x:c>
      <x:c r="B1389" s="5" t="n">
        <x:v>5</x:v>
      </x:c>
      <x:c r="C1389" s="5" t="str">
        <x:v>pymes</x:v>
      </x:c>
      <x:c r="D1389" s="5" t="n">
        <x:f>$F$1371</x:f>
        <x:v>49.099368275862076</x:v>
      </x:c>
      <x:c r="E1389" s="5" t="n">
        <x:f>(ABS('03_Sensibilidades'!$C$22)*IF('03_Sensibilidades'!$C$22&lt;0,100-$K$548,$K$548)+ABS('03_Sensibilidades'!$C$23)*IF('03_Sensibilidades'!$C$23&lt;0,100-$K$546,$K$546)+ABS('03_Sensibilidades'!$C$24)*IF('03_Sensibilidades'!$C$24&lt;0,100-$K$551,$K$551)+ABS('03_Sensibilidades'!$C$25)*IF('03_Sensibilidades'!$C$25&lt;0,100-$K$545,$K$545))/(ABS('03_Sensibilidades'!$C$22)+ABS('03_Sensibilidades'!$C$23)+ABS('03_Sensibilidades'!$C$24)+ABS('03_Sensibilidades'!$C$25))</x:f>
        <x:v>49.04644689655173</x:v>
      </x:c>
      <x:c r="F1389" s="5" t="n">
        <x:f>(1-'00_Arquitectura'!$B$95)*D1389+'00_Arquitectura'!$B$95*E1389</x:f>
        <x:v>49.08084579310345</x:v>
      </x:c>
      <x:c r="G1389" s="5" t="n">
        <x:f>'02_Actores'!$I$10</x:f>
        <x:v>45</x:v>
      </x:c>
      <x:c r="H1389" s="5" t="n">
        <x:f>IF(OR(AND(F1389&lt;'00_Arquitectura'!$B$118,G1389&lt;'00_Arquitectura'!$B$119),F1389&lt;'00_Arquitectura'!$B$120),1,0)</x:f>
        <x:v>0</x:v>
      </x:c>
      <x:c r="I1389" s="5" t="n">
        <x:f>IF($I$1371=1,IF(OR(AND(F1389&lt;'00_Arquitectura'!$B$121,G1389&lt;'00_Arquitectura'!$B$122),F1389&lt;'00_Arquitectura'!$B$123),1,0),IF(AND(H1389=1,$H$1371=1),1,0))</x:f>
        <x:v>0</x:v>
      </x:c>
      <x:c r="J1389" s="5" t="n">
        <x:f>-I1389*2*'02_Actores'!$E$10/10</x:f>
        <x:v>0</x:v>
      </x:c>
      <x:c r="K1389" s="5" t="n">
        <x:f>$K$1385</x:f>
        <x:v>48.92554799779957</x:v>
      </x:c>
      <x:c r="L1389" s="5" t="str">
        <x:v>J programa offset para t+1; efecto sustituible y acotado, sin voto adicional.</x:v>
      </x:c>
    </x:row>
    <x:row r="1390" ht="34" customHeight="1">
      <x:c r="A1390" s="10" t="str">
        <x:v>S4_PRESTAMO</x:v>
      </x:c>
      <x:c r="B1390" s="10" t="n">
        <x:v>5</x:v>
      </x:c>
      <x:c r="C1390" s="10" t="str">
        <x:v>clase_media</x:v>
      </x:c>
      <x:c r="D1390" s="10" t="n">
        <x:f>$F$1372</x:f>
        <x:v>48.333333333333336</x:v>
      </x:c>
      <x:c r="E1390" s="10" t="n">
        <x:f>(ABS('03_Sensibilidades'!$C$26)*IF('03_Sensibilidades'!$C$26&lt;0,100-$K$547,$K$547)+ABS('03_Sensibilidades'!$C$27)*IF('03_Sensibilidades'!$C$27&lt;0,100-$K$555,$K$555)+ABS('03_Sensibilidades'!$C$28)*IF('03_Sensibilidades'!$C$28&lt;0,100-$K$552,$K$552)+ABS('03_Sensibilidades'!$C$29)*IF('03_Sensibilidades'!$C$29&lt;0,100-$K$545,$K$545))/(ABS('03_Sensibilidades'!$C$26)+ABS('03_Sensibilidades'!$C$27)+ABS('03_Sensibilidades'!$C$28)+ABS('03_Sensibilidades'!$C$29))</x:f>
        <x:v>48.33262222222223</x:v>
      </x:c>
      <x:c r="F1390" s="10" t="n">
        <x:f>(1-'00_Arquitectura'!$B$95)*D1390+'00_Arquitectura'!$B$95*E1390</x:f>
        <x:v>48.333084444444445</x:v>
      </x:c>
      <x:c r="G1390" s="10" t="n">
        <x:f>'02_Actores'!$I$11</x:f>
        <x:v>45</x:v>
      </x:c>
      <x:c r="H1390" s="10" t="n">
        <x:f>IF(OR(AND(F1390&lt;'00_Arquitectura'!$B$118,G1390&lt;'00_Arquitectura'!$B$119),F1390&lt;'00_Arquitectura'!$B$120),1,0)</x:f>
        <x:v>0</x:v>
      </x:c>
      <x:c r="I1390" s="10" t="n">
        <x:f>IF($I$1372=1,IF(OR(AND(F1390&lt;'00_Arquitectura'!$B$121,G1390&lt;'00_Arquitectura'!$B$122),F1390&lt;'00_Arquitectura'!$B$123),1,0),IF(AND(H1390=1,$H$1372=1),1,0))</x:f>
        <x:v>0</x:v>
      </x:c>
      <x:c r="J1390" s="10" t="n">
        <x:f>0</x:f>
        <x:v>0</x:v>
      </x:c>
      <x:c r="K1390" s="10" t="n">
        <x:f>$K$1385</x:f>
        <x:v>48.92554799779957</x:v>
      </x:c>
      <x:c r="L1390" s="10" t="str">
        <x:v>Canal directo sólo al índice social; sin bono de popularidad.</x:v>
      </x:c>
    </x:row>
    <x:row r="1391" ht="34" customHeight="1">
      <x:c r="A1391" s="5" t="str">
        <x:v>S4_PRESTAMO</x:v>
      </x:c>
      <x:c r="B1391" s="5" t="n">
        <x:v>5</x:v>
      </x:c>
      <x:c r="C1391" s="5" t="str">
        <x:v>cooperativas</x:v>
      </x:c>
      <x:c r="D1391" s="5" t="n">
        <x:f>$F$1373</x:f>
        <x:v>47.963594074074074</x:v>
      </x:c>
      <x:c r="E1391" s="5" t="n">
        <x:f>(ABS('03_Sensibilidades'!$C$30)*IF('03_Sensibilidades'!$C$30&lt;0,100-$K$548,$K$548)+ABS('03_Sensibilidades'!$C$31)*IF('03_Sensibilidades'!$C$31&lt;0,100-$K$546,$K$546)+ABS('03_Sensibilidades'!$C$32)*IF('03_Sensibilidades'!$C$32&lt;0,100-$K$554,$K$554)+ABS('03_Sensibilidades'!$C$33)*IF('03_Sensibilidades'!$C$33&lt;0,100-$K$557,$K$557))/(ABS('03_Sensibilidades'!$C$30)+ABS('03_Sensibilidades'!$C$31)+ABS('03_Sensibilidades'!$C$32)+ABS('03_Sensibilidades'!$C$33))</x:f>
        <x:v>48.00460296296296</x:v>
      </x:c>
      <x:c r="F1391" s="5" t="n">
        <x:f>(1-'00_Arquitectura'!$B$95)*D1391+'00_Arquitectura'!$B$95*E1391</x:f>
        <x:v>47.97794718518519</x:v>
      </x:c>
      <x:c r="G1391" s="5" t="n">
        <x:f>'02_Actores'!$I$12</x:f>
        <x:v>45</x:v>
      </x:c>
      <x:c r="H1391" s="5" t="n">
        <x:f>IF(OR(AND(F1391&lt;'00_Arquitectura'!$B$118,G1391&lt;'00_Arquitectura'!$B$119),F1391&lt;'00_Arquitectura'!$B$120),1,0)</x:f>
        <x:v>0</x:v>
      </x:c>
      <x:c r="I1391" s="5" t="n">
        <x:f>IF($I$1373=1,IF(OR(AND(F1391&lt;'00_Arquitectura'!$B$121,G1391&lt;'00_Arquitectura'!$B$122),F1391&lt;'00_Arquitectura'!$B$123),1,0),IF(AND(H1391=1,$H$1373=1),1,0))</x:f>
        <x:v>0</x:v>
      </x:c>
      <x:c r="J1391" s="5" t="n">
        <x:f>-I1391*1.5*'02_Actores'!$E$12/10</x:f>
        <x:v>0</x:v>
      </x:c>
      <x:c r="K1391" s="5" t="n">
        <x:f>$K$1385</x:f>
        <x:v>48.92554799779957</x:v>
      </x:c>
      <x:c r="L1391" s="5" t="str">
        <x:v>J programa offset para t+1; efecto sustituible y acotado, sin voto adicional.</x:v>
      </x:c>
    </x:row>
    <x:row r="1392" ht="42" customHeight="1">
      <x:c r="A1392" s="10" t="str">
        <x:v>S4_PRESTAMO</x:v>
      </x:c>
      <x:c r="B1392" s="10" t="n">
        <x:v>5</x:v>
      </x:c>
      <x:c r="C1392" s="10" t="str">
        <x:v>estudiantes</x:v>
      </x:c>
      <x:c r="D1392" s="10" t="n">
        <x:f>$F$1374</x:f>
        <x:v>49.60621</x:v>
      </x:c>
      <x:c r="E1392" s="10" t="n">
        <x:f>(ABS('03_Sensibilidades'!$C$34)*IF('03_Sensibilidades'!$C$34&lt;0,100-$K$552,$K$552)+ABS('03_Sensibilidades'!$C$35)*IF('03_Sensibilidades'!$C$35&lt;0,100-$K$547,$K$547)+ABS('03_Sensibilidades'!$C$36)*IF('03_Sensibilidades'!$C$36&lt;0,100-$K$557,$K$557)+ABS('03_Sensibilidades'!$C$37)*IF('03_Sensibilidades'!$C$37&lt;0,100-$K$556,$K$556))/(ABS('03_Sensibilidades'!$C$34)+ABS('03_Sensibilidades'!$C$35)+ABS('03_Sensibilidades'!$C$36)+ABS('03_Sensibilidades'!$C$37))</x:f>
        <x:v>49.75961600000001</x:v>
      </x:c>
      <x:c r="F1392" s="10" t="n">
        <x:f>(1-'00_Arquitectura'!$B$95)*D1392+'00_Arquitectura'!$B$95*E1392</x:f>
        <x:v>49.6599021</x:v>
      </x:c>
      <x:c r="G1392" s="10" t="n">
        <x:f>'02_Actores'!$I$13</x:f>
        <x:v>45</x:v>
      </x:c>
      <x:c r="H1392" s="10" t="n">
        <x:f>IF(OR(AND(F1392&lt;'00_Arquitectura'!$B$118,G1392&lt;'00_Arquitectura'!$B$119),F1392&lt;'00_Arquitectura'!$B$120),1,0)</x:f>
        <x:v>0</x:v>
      </x:c>
      <x:c r="I1392" s="10" t="n">
        <x:f>IF($I$1374=1,IF(OR(AND(F1392&lt;'00_Arquitectura'!$B$121,G1392&lt;'00_Arquitectura'!$B$122),F1392&lt;'00_Arquitectura'!$B$123),1,0),IF(AND(H1392=1,$H$1374=1),1,0))</x:f>
        <x:v>0</x:v>
      </x:c>
      <x:c r="J1392" s="10" t="n">
        <x:f>0</x:f>
        <x:v>0</x:v>
      </x:c>
      <x:c r="K1392" s="10" t="n">
        <x:f>$K$1385</x:f>
        <x:v>48.92554799779957</x:v>
      </x:c>
      <x:c r="L1392" s="10" t="str">
        <x:v>Conflicto activo captura menor eficacia en políticas ejecutadas en t+1. Magnitud0 en J: no es un offset directo de indicador.</x:v>
      </x:c>
    </x:row>
    <x:row r="1393" ht="34" customHeight="1">
      <x:c r="A1393" s="5" t="str">
        <x:v>S4_PRESTAMO</x:v>
      </x:c>
      <x:c r="B1393" s="5" t="n">
        <x:v>5</x:v>
      </x:c>
      <x:c r="C1393" s="5" t="str">
        <x:v>docentes</x:v>
      </x:c>
      <x:c r="D1393" s="5" t="n">
        <x:f>$F$1375</x:f>
        <x:v>49.16534782608696</x:v>
      </x:c>
      <x:c r="E1393" s="5" t="n">
        <x:f>(ABS('03_Sensibilidades'!$C$38)*IF('03_Sensibilidades'!$C$38&lt;0,100-$K$552,$K$552)+ABS('03_Sensibilidades'!$C$39)*IF('03_Sensibilidades'!$C$39&lt;0,100-$K$547,$K$547)+ABS('03_Sensibilidades'!$C$40)*IF('03_Sensibilidades'!$C$40&lt;0,100-$K$557,$K$557))/(ABS('03_Sensibilidades'!$C$38)+ABS('03_Sensibilidades'!$C$39)+ABS('03_Sensibilidades'!$C$40))</x:f>
        <x:v>49.26011826086956</x:v>
      </x:c>
      <x:c r="F1393" s="5" t="n">
        <x:f>(1-'00_Arquitectura'!$B$95)*D1393+'00_Arquitectura'!$B$95*E1393</x:f>
        <x:v>49.19851747826087</x:v>
      </x:c>
      <x:c r="G1393" s="5" t="n">
        <x:f>'02_Actores'!$I$14</x:f>
        <x:v>45</x:v>
      </x:c>
      <x:c r="H1393" s="5" t="n">
        <x:f>IF(OR(AND(F1393&lt;'00_Arquitectura'!$B$118,G1393&lt;'00_Arquitectura'!$B$119),F1393&lt;'00_Arquitectura'!$B$120),1,0)</x:f>
        <x:v>0</x:v>
      </x:c>
      <x:c r="I1393" s="5" t="n">
        <x:f>IF($I$1375=1,IF(OR(AND(F1393&lt;'00_Arquitectura'!$B$121,G1393&lt;'00_Arquitectura'!$B$122),F1393&lt;'00_Arquitectura'!$B$123),1,0),IF(AND(H1393=1,$H$1375=1),1,0))</x:f>
        <x:v>0</x:v>
      </x:c>
      <x:c r="J1393" s="5" t="n">
        <x:f>-I1393*1.5*'02_Actores'!$E$14/10</x:f>
        <x:v>0</x:v>
      </x:c>
      <x:c r="K1393" s="5" t="n">
        <x:f>$K$1385</x:f>
        <x:v>48.92554799779957</x:v>
      </x:c>
      <x:c r="L1393" s="5" t="str">
        <x:v>J programa offset para t+1; efecto sustituible y acotado, sin voto adicional.</x:v>
      </x:c>
    </x:row>
    <x:row r="1394" ht="34" customHeight="1">
      <x:c r="A1394" s="10" t="str">
        <x:v>S4_PRESTAMO</x:v>
      </x:c>
      <x:c r="B1394" s="10" t="n">
        <x:v>5</x:v>
      </x:c>
      <x:c r="C1394" s="10" t="str">
        <x:v>cientificos</x:v>
      </x:c>
      <x:c r="D1394" s="10" t="n">
        <x:f>$F$1376</x:f>
        <x:v>46.920625</x:v>
      </x:c>
      <x:c r="E1394" s="10" t="n">
        <x:f>(ABS('03_Sensibilidades'!$C$41)*IF('03_Sensibilidades'!$C$41&lt;0,100-$K$556,$K$556)+ABS('03_Sensibilidades'!$C$42)*IF('03_Sensibilidades'!$C$42&lt;0,100-$K$552,$K$552)+ABS('03_Sensibilidades'!$C$43)*IF('03_Sensibilidades'!$C$43&lt;0,100-$K$557,$K$557))/(ABS('03_Sensibilidades'!$C$41)+ABS('03_Sensibilidades'!$C$42)+ABS('03_Sensibilidades'!$C$43))</x:f>
        <x:v>47.04545454545455</x:v>
      </x:c>
      <x:c r="F1394" s="10" t="n">
        <x:f>(1-'00_Arquitectura'!$B$95)*D1394+'00_Arquitectura'!$B$95*E1394</x:f>
        <x:v>46.964315340909096</x:v>
      </x:c>
      <x:c r="G1394" s="10" t="n">
        <x:f>'02_Actores'!$I$15</x:f>
        <x:v>45</x:v>
      </x:c>
      <x:c r="H1394" s="10" t="n">
        <x:f>IF(OR(AND(F1394&lt;'00_Arquitectura'!$B$118,G1394&lt;'00_Arquitectura'!$B$119),F1394&lt;'00_Arquitectura'!$B$120),1,0)</x:f>
        <x:v>0</x:v>
      </x:c>
      <x:c r="I1394" s="10" t="n">
        <x:f>IF($I$1376=1,IF(OR(AND(F1394&lt;'00_Arquitectura'!$B$121,G1394&lt;'00_Arquitectura'!$B$122),F1394&lt;'00_Arquitectura'!$B$123),1,0),IF(AND(H1394=1,$H$1376=1),1,0))</x:f>
        <x:v>0</x:v>
      </x:c>
      <x:c r="J1394" s="10" t="n">
        <x:f>-I1394*1.5*'02_Actores'!$E$15/10</x:f>
        <x:v>0</x:v>
      </x:c>
      <x:c r="K1394" s="10" t="n">
        <x:f>$K$1385</x:f>
        <x:v>48.92554799779957</x:v>
      </x:c>
      <x:c r="L1394" s="10" t="str">
        <x:v>J programa offset para t+1; efecto sustituible y acotado, sin voto adicional.</x:v>
      </x:c>
    </x:row>
    <x:row r="1395" ht="34" customHeight="1">
      <x:c r="A1395" s="5" t="str">
        <x:v>S4_PRESTAMO</x:v>
      </x:c>
      <x:c r="B1395" s="5" t="n">
        <x:v>5</x:v>
      </x:c>
      <x:c r="C1395" s="5" t="str">
        <x:v>organizaciones</x:v>
      </x:c>
      <x:c r="D1395" s="5" t="n">
        <x:f>$F$1377</x:f>
        <x:v>49.365245357142854</x:v>
      </x:c>
      <x:c r="E1395" s="5" t="n">
        <x:f>(ABS('03_Sensibilidades'!$C$44)*IF('03_Sensibilidades'!$C$44&lt;0,100-$K$554,$K$554)+ABS('03_Sensibilidades'!$C$45)*IF('03_Sensibilidades'!$C$45&lt;0,100-$K$553,$K$553)+ABS('03_Sensibilidades'!$C$46)*IF('03_Sensibilidades'!$C$46&lt;0,100-$K$546,$K$546)+ABS('03_Sensibilidades'!$C$47)*IF('03_Sensibilidades'!$C$47&lt;0,100-$K$557,$K$557))/(ABS('03_Sensibilidades'!$C$44)+ABS('03_Sensibilidades'!$C$45)+ABS('03_Sensibilidades'!$C$46)+ABS('03_Sensibilidades'!$C$47))</x:f>
        <x:v>49.458594285714284</x:v>
      </x:c>
      <x:c r="F1395" s="5" t="n">
        <x:f>(1-'00_Arquitectura'!$B$95)*D1395+'00_Arquitectura'!$B$95*E1395</x:f>
        <x:v>49.39791748214285</x:v>
      </x:c>
      <x:c r="G1395" s="5" t="n">
        <x:f>'02_Actores'!$I$16</x:f>
        <x:v>45</x:v>
      </x:c>
      <x:c r="H1395" s="5" t="n">
        <x:f>IF(OR(AND(F1395&lt;'00_Arquitectura'!$B$118,G1395&lt;'00_Arquitectura'!$B$119),F1395&lt;'00_Arquitectura'!$B$120),1,0)</x:f>
        <x:v>0</x:v>
      </x:c>
      <x:c r="I1395" s="5" t="n">
        <x:f>IF($I$1377=1,IF(OR(AND(F1395&lt;'00_Arquitectura'!$B$121,G1395&lt;'00_Arquitectura'!$B$122),F1395&lt;'00_Arquitectura'!$B$123),1,0),IF(AND(H1395=1,$H$1377=1),1,0))</x:f>
        <x:v>0</x:v>
      </x:c>
      <x:c r="J1395" s="5" t="n">
        <x:f>-I1395*1.5*'02_Actores'!$E$16/10</x:f>
        <x:v>0</x:v>
      </x:c>
      <x:c r="K1395" s="5" t="n">
        <x:f>$K$1385</x:f>
        <x:v>48.92554799779957</x:v>
      </x:c>
      <x:c r="L1395" s="5" t="str">
        <x:v>J programa offset para t+1; efecto sustituible y acotado, sin voto adicional.</x:v>
      </x:c>
    </x:row>
    <x:row r="1396" ht="42" customHeight="1">
      <x:c r="A1396" s="10" t="str">
        <x:v>S4_PRESTAMO</x:v>
      </x:c>
      <x:c r="B1396" s="10" t="n">
        <x:v>5</x:v>
      </x:c>
      <x:c r="C1396" s="10" t="str">
        <x:v>ddhh</x:v>
      </x:c>
      <x:c r="D1396" s="10" t="n">
        <x:f>$F$1378</x:f>
        <x:v>51.735735294117646</x:v>
      </x:c>
      <x:c r="E1396" s="10" t="n">
        <x:f>(ABS('03_Sensibilidades'!$C$48)*IF('03_Sensibilidades'!$C$48&lt;0,100-$K$557,$K$557)+ABS('03_Sensibilidades'!$C$49)*IF('03_Sensibilidades'!$C$49&lt;0,100-$K$555,$K$555)+ABS('03_Sensibilidades'!$C$50)*IF('03_Sensibilidades'!$C$50&lt;0,100-$K$554,$K$554))/(ABS('03_Sensibilidades'!$C$48)+ABS('03_Sensibilidades'!$C$49)+ABS('03_Sensibilidades'!$C$50))</x:f>
        <x:v>52.05882352941177</x:v>
      </x:c>
      <x:c r="F1396" s="10" t="n">
        <x:f>(1-'00_Arquitectura'!$B$95)*D1396+'00_Arquitectura'!$B$95*E1396</x:f>
        <x:v>51.848816176470585</x:v>
      </x:c>
      <x:c r="G1396" s="10" t="n">
        <x:f>'02_Actores'!$I$17</x:f>
        <x:v>45</x:v>
      </x:c>
      <x:c r="H1396" s="10" t="n">
        <x:f>IF(OR(AND(F1396&lt;'00_Arquitectura'!$B$118,G1396&lt;'00_Arquitectura'!$B$119),F1396&lt;'00_Arquitectura'!$B$120),1,0)</x:f>
        <x:v>0</x:v>
      </x:c>
      <x:c r="I1396" s="10" t="n">
        <x:f>IF($I$1378=1,IF(OR(AND(F1396&lt;'00_Arquitectura'!$B$121,G1396&lt;'00_Arquitectura'!$B$122),F1396&lt;'00_Arquitectura'!$B$123),1,0),IF(AND(H1396=1,$H$1378=1),1,0))</x:f>
        <x:v>0</x:v>
      </x:c>
      <x:c r="J1396" s="10" t="n">
        <x:f>0</x:f>
        <x:v>0</x:v>
      </x:c>
      <x:c r="K1396" s="10" t="n">
        <x:f>$K$1385</x:f>
        <x:v>48.92554799779957</x:v>
      </x:c>
      <x:c r="L1396" s="10" t="str">
        <x:v>Conflicto activo captura menor eficacia en políticas ejecutadas en t+1. Magnitud0 en J: no es un offset directo de indicador.</x:v>
      </x:c>
    </x:row>
    <x:row r="1397" ht="42" customHeight="1">
      <x:c r="A1397" s="5" t="str">
        <x:v>S4_PRESTAMO</x:v>
      </x:c>
      <x:c r="B1397" s="5" t="n">
        <x:v>5</x:v>
      </x:c>
      <x:c r="C1397" s="5" t="str">
        <x:v>ambientalistas</x:v>
      </x:c>
      <x:c r="D1397" s="5" t="n">
        <x:f>$F$1379</x:f>
        <x:v>51.79187499999999</x:v>
      </x:c>
      <x:c r="E1397" s="5" t="n">
        <x:f>(ABS('03_Sensibilidades'!$C$51)*IF('03_Sensibilidades'!$C$51&lt;0,100-$K$558,$K$558)+ABS('03_Sensibilidades'!$C$52)*IF('03_Sensibilidades'!$C$52&lt;0,100-$K$557,$K$557)+ABS('03_Sensibilidades'!$C$53)*IF('03_Sensibilidades'!$C$53&lt;0,100-$K$553,$K$553))/(ABS('03_Sensibilidades'!$C$51)+ABS('03_Sensibilidades'!$C$52)+ABS('03_Sensibilidades'!$C$53))</x:f>
        <x:v>51.94444444444444</x:v>
      </x:c>
      <x:c r="F1397" s="5" t="n">
        <x:f>(1-'00_Arquitectura'!$B$95)*D1397+'00_Arquitectura'!$B$95*E1397</x:f>
        <x:v>51.84527430555555</x:v>
      </x:c>
      <x:c r="G1397" s="5" t="n">
        <x:f>'02_Actores'!$I$18</x:f>
        <x:v>45</x:v>
      </x:c>
      <x:c r="H1397" s="5" t="n">
        <x:f>IF(OR(AND(F1397&lt;'00_Arquitectura'!$B$118,G1397&lt;'00_Arquitectura'!$B$119),F1397&lt;'00_Arquitectura'!$B$120),1,0)</x:f>
        <x:v>0</x:v>
      </x:c>
      <x:c r="I1397" s="5" t="n">
        <x:f>IF($I$1379=1,IF(OR(AND(F1397&lt;'00_Arquitectura'!$B$121,G1397&lt;'00_Arquitectura'!$B$122),F1397&lt;'00_Arquitectura'!$B$123),1,0),IF(AND(H1397=1,$H$1379=1),1,0))</x:f>
        <x:v>0</x:v>
      </x:c>
      <x:c r="J1397" s="5" t="n">
        <x:f>0</x:f>
        <x:v>0</x:v>
      </x:c>
      <x:c r="K1397" s="5" t="n">
        <x:f>$K$1385</x:f>
        <x:v>48.92554799779957</x:v>
      </x:c>
      <x:c r="L1397" s="5" t="str">
        <x:v>Conflicto activo captura menor eficacia en políticas ejecutadas en t+1. Magnitud0 en J: no es un offset directo de indicador.</x:v>
      </x:c>
    </x:row>
    <x:row r="1398" ht="34" customHeight="1">
      <x:c r="A1398" s="10" t="str">
        <x:v>S4_PRESTAMO</x:v>
      </x:c>
      <x:c r="B1398" s="10" t="n">
        <x:v>5</x:v>
      </x:c>
      <x:c r="C1398" s="10" t="str">
        <x:v>cultura</x:v>
      </x:c>
      <x:c r="D1398" s="10" t="n">
        <x:f>$F$1380</x:f>
        <x:v>51.40031578947368</x:v>
      </x:c>
      <x:c r="E1398" s="10" t="n">
        <x:f>(ABS('03_Sensibilidades'!$C$54)*IF('03_Sensibilidades'!$C$54&lt;0,100-$K$557,$K$557)+ABS('03_Sensibilidades'!$C$55)*IF('03_Sensibilidades'!$C$55&lt;0,100-$K$552,$K$552)+ABS('03_Sensibilidades'!$C$56)*IF('03_Sensibilidades'!$C$56&lt;0,100-$K$547,$K$547))/(ABS('03_Sensibilidades'!$C$54)+ABS('03_Sensibilidades'!$C$55)+ABS('03_Sensibilidades'!$C$56))</x:f>
        <x:v>51.63107368421053</x:v>
      </x:c>
      <x:c r="F1398" s="10" t="n">
        <x:f>(1-'00_Arquitectura'!$B$95)*D1398+'00_Arquitectura'!$B$95*E1398</x:f>
        <x:v>51.48108105263157</x:v>
      </x:c>
      <x:c r="G1398" s="10" t="n">
        <x:f>'02_Actores'!$I$19</x:f>
        <x:v>45</x:v>
      </x:c>
      <x:c r="H1398" s="10" t="n">
        <x:f>IF(OR(AND(F1398&lt;'00_Arquitectura'!$B$118,G1398&lt;'00_Arquitectura'!$B$119),F1398&lt;'00_Arquitectura'!$B$120),1,0)</x:f>
        <x:v>0</x:v>
      </x:c>
      <x:c r="I1398" s="10" t="n">
        <x:f>IF($I$1380=1,IF(OR(AND(F1398&lt;'00_Arquitectura'!$B$121,G1398&lt;'00_Arquitectura'!$B$122),F1398&lt;'00_Arquitectura'!$B$123),1,0),IF(AND(H1398=1,$H$1380=1),1,0))</x:f>
        <x:v>0</x:v>
      </x:c>
      <x:c r="J1398" s="10" t="n">
        <x:f>0</x:f>
        <x:v>0</x:v>
      </x:c>
      <x:c r="K1398" s="10" t="n">
        <x:f>$K$1385</x:f>
        <x:v>48.92554799779957</x:v>
      </x:c>
      <x:c r="L1398" s="10" t="str">
        <x:v>Conflicto activo encarece agenda del turno siguiente; sin castigo electoral adicional.</x:v>
      </x:c>
    </x:row>
    <x:row r="1399" ht="34" customHeight="1">
      <x:c r="A1399" s="5" t="str">
        <x:v>S4_PRESTAMO</x:v>
      </x:c>
      <x:c r="B1399" s="5" t="n">
        <x:v>5</x:v>
      </x:c>
      <x:c r="C1399" s="5" t="str">
        <x:v>oficialismo</x:v>
      </x:c>
      <x:c r="D1399" s="5" t="n">
        <x:f>$F$1381</x:f>
        <x:v>51.71158640000001</x:v>
      </x:c>
      <x:c r="E1399" s="5" t="n">
        <x:f>(ABS('03_Sensibilidades'!$C$57)*IF('03_Sensibilidades'!$C$57&lt;0,100-$K$557,$K$557)+ABS('03_Sensibilidades'!$C$58)*IF('03_Sensibilidades'!$C$58&lt;0,100-$K$546,$K$546)+ABS('03_Sensibilidades'!$C$59)*IF('03_Sensibilidades'!$C$59&lt;0,100-$K$549,$K$549)+ABS('03_Sensibilidades'!$C$60)*IF('03_Sensibilidades'!$C$60&lt;0,100-$K$554,$K$554))/(ABS('03_Sensibilidades'!$C$57)+ABS('03_Sensibilidades'!$C$58)+ABS('03_Sensibilidades'!$C$59)+ABS('03_Sensibilidades'!$C$60))</x:f>
        <x:v>51.77488640000001</x:v>
      </x:c>
      <x:c r="F1399" s="5" t="n">
        <x:f>(1-'00_Arquitectura'!$B$95)*D1399+'00_Arquitectura'!$B$95*E1399</x:f>
        <x:v>51.733741400000014</x:v>
      </x:c>
      <x:c r="G1399" s="5" t="n">
        <x:f>'02_Actores'!$I$20</x:f>
        <x:v>60</x:v>
      </x:c>
      <x:c r="H1399" s="5" t="n">
        <x:f>IF(OR(AND(F1399&lt;'00_Arquitectura'!$B$118,G1399&lt;'00_Arquitectura'!$B$119),F1399&lt;'00_Arquitectura'!$B$120),1,0)</x:f>
        <x:v>0</x:v>
      </x:c>
      <x:c r="I1399" s="5" t="n">
        <x:f>IF($I$1381=1,IF(OR(AND(F1399&lt;'00_Arquitectura'!$B$121,G1399&lt;'00_Arquitectura'!$B$122),F1399&lt;'00_Arquitectura'!$B$123),1,0),IF(AND(H1399=1,$H$1381=1),1,0))</x:f>
        <x:v>0</x:v>
      </x:c>
      <x:c r="J1399" s="5" t="n">
        <x:f>0</x:f>
        <x:v>0</x:v>
      </x:c>
      <x:c r="K1399" s="5" t="n">
        <x:f>$K$1385</x:f>
        <x:v>48.92554799779957</x:v>
      </x:c>
      <x:c r="L1399" s="5" t="str">
        <x:v>No aporta E_social; S y R alimentan disposición a leyes según07.</x:v>
      </x:c>
    </x:row>
    <x:row r="1400" ht="34" customHeight="1">
      <x:c r="A1400" s="10" t="str">
        <x:v>S4_PRESTAMO</x:v>
      </x:c>
      <x:c r="B1400" s="10" t="n">
        <x:v>5</x:v>
      </x:c>
      <x:c r="C1400" s="10" t="str">
        <x:v>aliados</x:v>
      </x:c>
      <x:c r="D1400" s="10" t="n">
        <x:f>$F$1382</x:f>
        <x:v>52.64669047619048</x:v>
      </x:c>
      <x:c r="E1400" s="10" t="n">
        <x:f>(ABS('03_Sensibilidades'!$C$61)*IF('03_Sensibilidades'!$C$61&lt;0,100-$K$557,$K$557)+ABS('03_Sensibilidades'!$C$62)*IF('03_Sensibilidades'!$C$62&lt;0,100-$K$549,$K$549)+ABS('03_Sensibilidades'!$C$63)*IF('03_Sensibilidades'!$C$63&lt;0,100-$K$551,$K$551))/(ABS('03_Sensibilidades'!$C$61)+ABS('03_Sensibilidades'!$C$62)+ABS('03_Sensibilidades'!$C$63))</x:f>
        <x:v>52.77057523809524</x:v>
      </x:c>
      <x:c r="F1400" s="10" t="n">
        <x:f>(1-'00_Arquitectura'!$B$95)*D1400+'00_Arquitectura'!$B$95*E1400</x:f>
        <x:v>52.690050142857146</x:v>
      </x:c>
      <x:c r="G1400" s="10" t="n">
        <x:f>'02_Actores'!$I$21</x:f>
        <x:v>45</x:v>
      </x:c>
      <x:c r="H1400" s="10" t="n">
        <x:f>IF(OR(AND(F1400&lt;'00_Arquitectura'!$B$118,G1400&lt;'00_Arquitectura'!$B$119),F1400&lt;'00_Arquitectura'!$B$120),1,0)</x:f>
        <x:v>0</x:v>
      </x:c>
      <x:c r="I1400" s="10" t="n">
        <x:f>IF($I$1382=1,IF(OR(AND(F1400&lt;'00_Arquitectura'!$B$121,G1400&lt;'00_Arquitectura'!$B$122),F1400&lt;'00_Arquitectura'!$B$123),1,0),IF(AND(H1400=1,$H$1382=1),1,0))</x:f>
        <x:v>0</x:v>
      </x:c>
      <x:c r="J1400" s="10" t="n">
        <x:f>0</x:f>
        <x:v>0</x:v>
      </x:c>
      <x:c r="K1400" s="10" t="n">
        <x:f>$K$1385</x:f>
        <x:v>48.92554799779957</x:v>
      </x:c>
      <x:c r="L1400" s="10" t="str">
        <x:v>No aporta E_social; S y R alimentan disposición a leyes según07.</x:v>
      </x:c>
    </x:row>
    <x:row r="1401" ht="34" customHeight="1">
      <x:c r="A1401" s="5" t="str">
        <x:v>S4_PRESTAMO</x:v>
      </x:c>
      <x:c r="B1401" s="5" t="n">
        <x:v>5</x:v>
      </x:c>
      <x:c r="C1401" s="5" t="str">
        <x:v>oposicion</x:v>
      </x:c>
      <x:c r="D1401" s="5" t="n">
        <x:f>$F$1383</x:f>
        <x:v>53.681425</x:v>
      </x:c>
      <x:c r="E1401" s="5" t="n">
        <x:f>(ABS('03_Sensibilidades'!$C$64)*IF('03_Sensibilidades'!$C$64&lt;0,100-$K$557,$K$557)+ABS('03_Sensibilidades'!$C$65)*IF('03_Sensibilidades'!$C$65&lt;0,100-$K$549,$K$549)+ABS('03_Sensibilidades'!$C$66)*IF('03_Sensibilidades'!$C$66&lt;0,100-$K$555,$K$555))/(ABS('03_Sensibilidades'!$C$64)+ABS('03_Sensibilidades'!$C$65)+ABS('03_Sensibilidades'!$C$66))</x:f>
        <x:v>53.879232</x:v>
      </x:c>
      <x:c r="F1401" s="5" t="n">
        <x:f>(1-'00_Arquitectura'!$B$95)*D1401+'00_Arquitectura'!$B$95*E1401</x:f>
        <x:v>53.750657450000006</x:v>
      </x:c>
      <x:c r="G1401" s="5" t="n">
        <x:f>'02_Actores'!$I$22</x:f>
        <x:v>30</x:v>
      </x:c>
      <x:c r="H1401" s="5" t="n">
        <x:f>IF(OR(AND(F1401&lt;'00_Arquitectura'!$B$118,G1401&lt;'00_Arquitectura'!$B$119),F1401&lt;'00_Arquitectura'!$B$120),1,0)</x:f>
        <x:v>0</x:v>
      </x:c>
      <x:c r="I1401" s="5" t="n">
        <x:f>IF($I$1383=1,IF(OR(AND(F1401&lt;'00_Arquitectura'!$B$121,G1401&lt;'00_Arquitectura'!$B$122),F1401&lt;'00_Arquitectura'!$B$123),1,0),IF(AND(H1401=1,$H$1383=1),1,0))</x:f>
        <x:v>0</x:v>
      </x:c>
      <x:c r="J1401" s="5" t="n">
        <x:f>0</x:f>
        <x:v>0</x:v>
      </x:c>
      <x:c r="K1401" s="5" t="n">
        <x:f>$K$1385</x:f>
        <x:v>48.92554799779957</x:v>
      </x:c>
      <x:c r="L1401" s="5" t="str">
        <x:v>No aporta E_social; S y R alimentan disposición a leyes según07.</x:v>
      </x:c>
    </x:row>
    <x:row r="1402" ht="42" customHeight="1">
      <x:c r="A1402" s="10" t="str">
        <x:v>S4_PRESTAMO</x:v>
      </x:c>
      <x:c r="B1402" s="10" t="n">
        <x:v>5</x:v>
      </x:c>
      <x:c r="C1402" s="10" t="str">
        <x:v>gobernadores</x:v>
      </x:c>
      <x:c r="D1402" s="10" t="n">
        <x:f>$F$1384</x:f>
        <x:v>49.452448275862075</x:v>
      </x:c>
      <x:c r="E1402" s="10" t="n">
        <x:f>(ABS('03_Sensibilidades'!$C$67)*IF('03_Sensibilidades'!$C$67&lt;0,100-$K$551,$K$551)+ABS('03_Sensibilidades'!$C$68)*IF('03_Sensibilidades'!$C$68&lt;0,100-$K$553,$K$553)+ABS('03_Sensibilidades'!$C$69)*IF('03_Sensibilidades'!$C$69&lt;0,100-$K$552,$K$552)+ABS('03_Sensibilidades'!$C$70)*IF('03_Sensibilidades'!$C$70&lt;0,100-$K$549,$K$549))/(ABS('03_Sensibilidades'!$C$67)+ABS('03_Sensibilidades'!$C$68)+ABS('03_Sensibilidades'!$C$69)+ABS('03_Sensibilidades'!$C$70))</x:f>
        <x:v>49.399470344827584</x:v>
      </x:c>
      <x:c r="F1402" s="10" t="n">
        <x:f>(1-'00_Arquitectura'!$B$95)*D1402+'00_Arquitectura'!$B$95*E1402</x:f>
        <x:v>49.43390600000001</x:v>
      </x:c>
      <x:c r="G1402" s="10" t="n">
        <x:f>'02_Actores'!$I$23</x:f>
        <x:v>45</x:v>
      </x:c>
      <x:c r="H1402" s="10" t="n">
        <x:f>IF(OR(AND(F1402&lt;'00_Arquitectura'!$B$118,G1402&lt;'00_Arquitectura'!$B$119),F1402&lt;'00_Arquitectura'!$B$120),1,0)</x:f>
        <x:v>0</x:v>
      </x:c>
      <x:c r="I1402" s="10" t="n">
        <x:f>IF($I$1384=1,IF(OR(AND(F1402&lt;'00_Arquitectura'!$B$121,G1402&lt;'00_Arquitectura'!$B$122),F1402&lt;'00_Arquitectura'!$B$123),1,0),IF(AND(H1402=1,$H$1384=1),1,0))</x:f>
        <x:v>0</x:v>
      </x:c>
      <x:c r="J1402" s="10" t="n">
        <x:f>0</x:f>
        <x:v>0</x:v>
      </x:c>
      <x:c r="K1402" s="10" t="n">
        <x:f>$K$1385</x:f>
        <x:v>48.92554799779957</x:v>
      </x:c>
      <x:c r="L1402" s="10" t="str">
        <x:v>Conflicto activo captura menor eficacia en políticas ejecutadas en t+1. Magnitud0 en J: no es un offset directo de indicador.</x:v>
      </x:c>
    </x:row>
    <x:row r="1403" ht="34" customHeight="1">
      <x:c r="A1403" s="5" t="str">
        <x:v>S4_PRESTAMO</x:v>
      </x:c>
      <x:c r="B1403" s="5" t="n">
        <x:v>6</x:v>
      </x:c>
      <x:c r="C1403" s="5" t="str">
        <x:v>industria</x:v>
      </x:c>
      <x:c r="D1403" s="5" t="n">
        <x:f>$F$1385</x:f>
        <x:v>46.43206874074074</x:v>
      </x:c>
      <x:c r="E1403" s="5" t="n">
        <x:f>(ABS('03_Sensibilidades'!$C$6)*IF('03_Sensibilidades'!$C$6&lt;0,100-$K$562,$K$562)+ABS('03_Sensibilidades'!$C$7)*IF('03_Sensibilidades'!$C$7&lt;0,100-$K$560,$K$560)+ABS('03_Sensibilidades'!$C$8)*IF('03_Sensibilidades'!$C$8&lt;0,100-$K$565,$K$565)+ABS('03_Sensibilidades'!$C$9)*IF('03_Sensibilidades'!$C$9&lt;0,100-$K$564,$K$564))/(ABS('03_Sensibilidades'!$C$6)+ABS('03_Sensibilidades'!$C$7)+ABS('03_Sensibilidades'!$C$8)+ABS('03_Sensibilidades'!$C$9))</x:f>
        <x:v>46.38850334814815</x:v>
      </x:c>
      <x:c r="F1403" s="5" t="n">
        <x:f>(1-'00_Arquitectura'!$B$95)*D1403+'00_Arquitectura'!$B$95*E1403</x:f>
        <x:v>46.416820853333334</x:v>
      </x:c>
      <x:c r="G1403" s="5" t="n">
        <x:f>'02_Actores'!$I$6</x:f>
        <x:v>45</x:v>
      </x:c>
      <x:c r="H1403" s="5" t="n">
        <x:f>IF(OR(AND(F1403&lt;'00_Arquitectura'!$B$118,G1403&lt;'00_Arquitectura'!$B$119),F1403&lt;'00_Arquitectura'!$B$120),1,0)</x:f>
        <x:v>0</x:v>
      </x:c>
      <x:c r="I1403" s="5" t="n">
        <x:f>IF($I$1385=1,IF(OR(AND(F1403&lt;'00_Arquitectura'!$B$121,G1403&lt;'00_Arquitectura'!$B$122),F1403&lt;'00_Arquitectura'!$B$123),1,0),IF(AND(H1403=1,$H$1385=1),1,0))</x:f>
        <x:v>0</x:v>
      </x:c>
      <x:c r="J1403" s="5" t="n">
        <x:f>-I1403*2*'02_Actores'!$E$6/10</x:f>
        <x:v>0</x:v>
      </x:c>
      <x:c r="K1403" s="5" t="n">
        <x:f>($F$1403*'02_Actores'!$F$6+$F$1404*'02_Actores'!$F$7+$F$1405*'02_Actores'!$F$8+$F$1406*'02_Actores'!$F$9+$F$1407*'02_Actores'!$F$10+$F$1408*'02_Actores'!$F$11+$F$1409*'02_Actores'!$F$12+$F$1410*'02_Actores'!$F$13+$F$1411*'02_Actores'!$F$14+$F$1412*'02_Actores'!$F$15+$F$1413*'02_Actores'!$F$16+$F$1414*'02_Actores'!$F$17+$F$1415*'02_Actores'!$F$18+$F$1416*'02_Actores'!$F$19)/('02_Actores'!$F$6+'02_Actores'!$F$7+'02_Actores'!$F$8+'02_Actores'!$F$9+'02_Actores'!$F$10+'02_Actores'!$F$11+'02_Actores'!$F$12+'02_Actores'!$F$13+'02_Actores'!$F$14+'02_Actores'!$F$15+'02_Actores'!$F$16+'02_Actores'!$F$17+'02_Actores'!$F$18+'02_Actores'!$F$19)</x:f>
        <x:v>48.93685364703584</x:v>
      </x:c>
      <x:c r="L1403" s="5" t="str">
        <x:v>J programa offset para t+1; efecto sustituible y acotado, sin voto adicional.</x:v>
      </x:c>
    </x:row>
    <x:row r="1404" ht="34" customHeight="1">
      <x:c r="A1404" s="10" t="str">
        <x:v>S4_PRESTAMO</x:v>
      </x:c>
      <x:c r="B1404" s="10" t="n">
        <x:v>6</x:v>
      </x:c>
      <x:c r="C1404" s="10" t="str">
        <x:v>agro</x:v>
      </x:c>
      <x:c r="D1404" s="10" t="n">
        <x:f>$F$1386</x:f>
        <x:v>45.865257142857146</x:v>
      </x:c>
      <x:c r="E1404" s="10" t="n">
        <x:f>(ABS('03_Sensibilidades'!$C$10)*IF('03_Sensibilidades'!$C$10&lt;0,100-$K$564,$K$564)+ABS('03_Sensibilidades'!$C$11)*IF('03_Sensibilidades'!$C$11&lt;0,100-$K$565,$K$565)+ABS('03_Sensibilidades'!$C$12)*IF('03_Sensibilidades'!$C$12&lt;0,100-$K$572,$K$572)+ABS('03_Sensibilidades'!$C$13)*IF('03_Sensibilidades'!$C$13&lt;0,100-$K$562,$K$562))/(ABS('03_Sensibilidades'!$C$10)+ABS('03_Sensibilidades'!$C$11)+ABS('03_Sensibilidades'!$C$12)+ABS('03_Sensibilidades'!$C$13))</x:f>
        <x:v>45.844064071428576</x:v>
      </x:c>
      <x:c r="F1404" s="10" t="n">
        <x:f>(1-'00_Arquitectura'!$B$95)*D1404+'00_Arquitectura'!$B$95*E1404</x:f>
        <x:v>45.85783956785715</x:v>
      </x:c>
      <x:c r="G1404" s="10" t="n">
        <x:f>'02_Actores'!$I$7</x:f>
        <x:v>45</x:v>
      </x:c>
      <x:c r="H1404" s="10" t="n">
        <x:f>IF(OR(AND(F1404&lt;'00_Arquitectura'!$B$118,G1404&lt;'00_Arquitectura'!$B$119),F1404&lt;'00_Arquitectura'!$B$120),1,0)</x:f>
        <x:v>0</x:v>
      </x:c>
      <x:c r="I1404" s="10" t="n">
        <x:f>IF($I$1386=1,IF(OR(AND(F1404&lt;'00_Arquitectura'!$B$121,G1404&lt;'00_Arquitectura'!$B$122),F1404&lt;'00_Arquitectura'!$B$123),1,0),IF(AND(H1404=1,$H$1386=1),1,0))</x:f>
        <x:v>0</x:v>
      </x:c>
      <x:c r="J1404" s="10" t="n">
        <x:f>-I1404*2*'02_Actores'!$E$7/10</x:f>
        <x:v>0</x:v>
      </x:c>
      <x:c r="K1404" s="10" t="n">
        <x:f>$K$1403</x:f>
        <x:v>48.93685364703584</x:v>
      </x:c>
      <x:c r="L1404" s="10" t="str">
        <x:v>J programa offset para t+1; efecto sustituible y acotado, sin voto adicional.</x:v>
      </x:c>
    </x:row>
    <x:row r="1405" ht="34" customHeight="1">
      <x:c r="A1405" s="5" t="str">
        <x:v>S4_PRESTAMO</x:v>
      </x:c>
      <x:c r="B1405" s="5" t="n">
        <x:v>6</x:v>
      </x:c>
      <x:c r="C1405" s="5" t="str">
        <x:v>financiero</x:v>
      </x:c>
      <x:c r="D1405" s="5" t="n">
        <x:f>$F$1387</x:f>
        <x:v>54.0734075862069</x:v>
      </x:c>
      <x:c r="E1405" s="5" t="n">
        <x:f>(ABS('03_Sensibilidades'!$C$14)*IF('03_Sensibilidades'!$C$14&lt;0,100-$K$563,$K$563)+ABS('03_Sensibilidades'!$C$15)*IF('03_Sensibilidades'!$C$15&lt;0,100-$K$559,$K$559)+ABS('03_Sensibilidades'!$C$16)*IF('03_Sensibilidades'!$C$16&lt;0,100-$K$562,$K$562)+ABS('03_Sensibilidades'!$C$17)*IF('03_Sensibilidades'!$C$17&lt;0,100-$K$571,$K$571))/(ABS('03_Sensibilidades'!$C$14)+ABS('03_Sensibilidades'!$C$15)+ABS('03_Sensibilidades'!$C$16)+ABS('03_Sensibilidades'!$C$17))</x:f>
        <x:v>54.035661779310345</x:v>
      </x:c>
      <x:c r="F1405" s="5" t="n">
        <x:f>(1-'00_Arquitectura'!$B$95)*D1405+'00_Arquitectura'!$B$95*E1405</x:f>
        <x:v>54.060196553793105</x:v>
      </x:c>
      <x:c r="G1405" s="5" t="n">
        <x:f>'02_Actores'!$I$8</x:f>
        <x:v>45</x:v>
      </x:c>
      <x:c r="H1405" s="5" t="n">
        <x:f>IF(OR(AND(F1405&lt;'00_Arquitectura'!$B$118,G1405&lt;'00_Arquitectura'!$B$119),F1405&lt;'00_Arquitectura'!$B$120),1,0)</x:f>
        <x:v>0</x:v>
      </x:c>
      <x:c r="I1405" s="5" t="n">
        <x:f>IF($I$1387=1,IF(OR(AND(F1405&lt;'00_Arquitectura'!$B$121,G1405&lt;'00_Arquitectura'!$B$122),F1405&lt;'00_Arquitectura'!$B$123),1,0),IF(AND(H1405=1,$H$1387=1),1,0))</x:f>
        <x:v>0</x:v>
      </x:c>
      <x:c r="J1405" s="5" t="n">
        <x:f>-I1405*2*'02_Actores'!$E$8/10</x:f>
        <x:v>0</x:v>
      </x:c>
      <x:c r="K1405" s="5" t="n">
        <x:f>$K$1403</x:f>
        <x:v>48.93685364703584</x:v>
      </x:c>
      <x:c r="L1405" s="5" t="str">
        <x:v>J programa offset para t+1; efecto sustituible y acotado, sin voto adicional.</x:v>
      </x:c>
    </x:row>
    <x:row r="1406" ht="34" customHeight="1">
      <x:c r="A1406" s="10" t="str">
        <x:v>S4_PRESTAMO</x:v>
      </x:c>
      <x:c r="B1406" s="10" t="n">
        <x:v>6</x:v>
      </x:c>
      <x:c r="C1406" s="10" t="str">
        <x:v>sindicatos</x:v>
      </x:c>
      <x:c r="D1406" s="10" t="n">
        <x:f>$F$1388</x:f>
        <x:v>48.15363303448276</x:v>
      </x:c>
      <x:c r="E1406" s="10" t="n">
        <x:f>(ABS('03_Sensibilidades'!$C$18)*IF('03_Sensibilidades'!$C$18&lt;0,100-$K$561,$K$561)+ABS('03_Sensibilidades'!$C$19)*IF('03_Sensibilidades'!$C$19&lt;0,100-$K$560,$K$560)+ABS('03_Sensibilidades'!$C$20)*IF('03_Sensibilidades'!$C$20&lt;0,100-$K$568,$K$568)+ABS('03_Sensibilidades'!$C$21)*IF('03_Sensibilidades'!$C$21&lt;0,100-$K$571,$K$571))/(ABS('03_Sensibilidades'!$C$18)+ABS('03_Sensibilidades'!$C$19)+ABS('03_Sensibilidades'!$C$20)+ABS('03_Sensibilidades'!$C$21))</x:f>
        <x:v>48.19293517241379</x:v>
      </x:c>
      <x:c r="F1406" s="10" t="n">
        <x:f>(1-'00_Arquitectura'!$B$95)*D1406+'00_Arquitectura'!$B$95*E1406</x:f>
        <x:v>48.16738878275862</x:v>
      </x:c>
      <x:c r="G1406" s="10" t="n">
        <x:f>'02_Actores'!$I$9</x:f>
        <x:v>45</x:v>
      </x:c>
      <x:c r="H1406" s="10" t="n">
        <x:f>IF(OR(AND(F1406&lt;'00_Arquitectura'!$B$118,G1406&lt;'00_Arquitectura'!$B$119),F1406&lt;'00_Arquitectura'!$B$120),1,0)</x:f>
        <x:v>0</x:v>
      </x:c>
      <x:c r="I1406" s="10" t="n">
        <x:f>IF($I$1388=1,IF(OR(AND(F1406&lt;'00_Arquitectura'!$B$121,G1406&lt;'00_Arquitectura'!$B$122),F1406&lt;'00_Arquitectura'!$B$123),1,0),IF(AND(H1406=1,$H$1388=1),1,0))</x:f>
        <x:v>0</x:v>
      </x:c>
      <x:c r="J1406" s="10" t="n">
        <x:f>-I1406*2*'02_Actores'!$E$9/10</x:f>
        <x:v>0</x:v>
      </x:c>
      <x:c r="K1406" s="10" t="n">
        <x:f>$K$1403</x:f>
        <x:v>48.93685364703584</x:v>
      </x:c>
      <x:c r="L1406" s="10" t="str">
        <x:v>J programa offset para t+1; efecto sustituible y acotado, sin voto adicional.</x:v>
      </x:c>
    </x:row>
    <x:row r="1407" ht="34" customHeight="1">
      <x:c r="A1407" s="5" t="str">
        <x:v>S4_PRESTAMO</x:v>
      </x:c>
      <x:c r="B1407" s="5" t="n">
        <x:v>6</x:v>
      </x:c>
      <x:c r="C1407" s="5" t="str">
        <x:v>pymes</x:v>
      </x:c>
      <x:c r="D1407" s="5" t="n">
        <x:f>$F$1389</x:f>
        <x:v>49.08084579310345</x:v>
      </x:c>
      <x:c r="E1407" s="5" t="n">
        <x:f>(ABS('03_Sensibilidades'!$C$22)*IF('03_Sensibilidades'!$C$22&lt;0,100-$K$562,$K$562)+ABS('03_Sensibilidades'!$C$23)*IF('03_Sensibilidades'!$C$23&lt;0,100-$K$560,$K$560)+ABS('03_Sensibilidades'!$C$24)*IF('03_Sensibilidades'!$C$24&lt;0,100-$K$565,$K$565)+ABS('03_Sensibilidades'!$C$25)*IF('03_Sensibilidades'!$C$25&lt;0,100-$K$559,$K$559))/(ABS('03_Sensibilidades'!$C$22)+ABS('03_Sensibilidades'!$C$23)+ABS('03_Sensibilidades'!$C$24)+ABS('03_Sensibilidades'!$C$25))</x:f>
        <x:v>49.03112234482759</x:v>
      </x:c>
      <x:c r="F1407" s="5" t="n">
        <x:f>(1-'00_Arquitectura'!$B$95)*D1407+'00_Arquitectura'!$B$95*E1407</x:f>
        <x:v>49.0634425862069</x:v>
      </x:c>
      <x:c r="G1407" s="5" t="n">
        <x:f>'02_Actores'!$I$10</x:f>
        <x:v>45</x:v>
      </x:c>
      <x:c r="H1407" s="5" t="n">
        <x:f>IF(OR(AND(F1407&lt;'00_Arquitectura'!$B$118,G1407&lt;'00_Arquitectura'!$B$119),F1407&lt;'00_Arquitectura'!$B$120),1,0)</x:f>
        <x:v>0</x:v>
      </x:c>
      <x:c r="I1407" s="5" t="n">
        <x:f>IF($I$1389=1,IF(OR(AND(F1407&lt;'00_Arquitectura'!$B$121,G1407&lt;'00_Arquitectura'!$B$122),F1407&lt;'00_Arquitectura'!$B$123),1,0),IF(AND(H1407=1,$H$1389=1),1,0))</x:f>
        <x:v>0</x:v>
      </x:c>
      <x:c r="J1407" s="5" t="n">
        <x:f>-I1407*2*'02_Actores'!$E$10/10</x:f>
        <x:v>0</x:v>
      </x:c>
      <x:c r="K1407" s="5" t="n">
        <x:f>$K$1403</x:f>
        <x:v>48.93685364703584</x:v>
      </x:c>
      <x:c r="L1407" s="5" t="str">
        <x:v>J programa offset para t+1; efecto sustituible y acotado, sin voto adicional.</x:v>
      </x:c>
    </x:row>
    <x:row r="1408" ht="34" customHeight="1">
      <x:c r="A1408" s="10" t="str">
        <x:v>S4_PRESTAMO</x:v>
      </x:c>
      <x:c r="B1408" s="10" t="n">
        <x:v>6</x:v>
      </x:c>
      <x:c r="C1408" s="10" t="str">
        <x:v>clase_media</x:v>
      </x:c>
      <x:c r="D1408" s="10" t="n">
        <x:f>$F$1390</x:f>
        <x:v>48.333084444444445</x:v>
      </x:c>
      <x:c r="E1408" s="10" t="n">
        <x:f>(ABS('03_Sensibilidades'!$C$26)*IF('03_Sensibilidades'!$C$26&lt;0,100-$K$561,$K$561)+ABS('03_Sensibilidades'!$C$27)*IF('03_Sensibilidades'!$C$27&lt;0,100-$K$569,$K$569)+ABS('03_Sensibilidades'!$C$28)*IF('03_Sensibilidades'!$C$28&lt;0,100-$K$566,$K$566)+ABS('03_Sensibilidades'!$C$29)*IF('03_Sensibilidades'!$C$29&lt;0,100-$K$559,$K$559))/(ABS('03_Sensibilidades'!$C$26)+ABS('03_Sensibilidades'!$C$27)+ABS('03_Sensibilidades'!$C$28)+ABS('03_Sensibilidades'!$C$29))</x:f>
        <x:v>48.33185777777778</x:v>
      </x:c>
      <x:c r="F1408" s="10" t="n">
        <x:f>(1-'00_Arquitectura'!$B$95)*D1408+'00_Arquitectura'!$B$95*E1408</x:f>
        <x:v>48.33265511111111</x:v>
      </x:c>
      <x:c r="G1408" s="10" t="n">
        <x:f>'02_Actores'!$I$11</x:f>
        <x:v>45</x:v>
      </x:c>
      <x:c r="H1408" s="10" t="n">
        <x:f>IF(OR(AND(F1408&lt;'00_Arquitectura'!$B$118,G1408&lt;'00_Arquitectura'!$B$119),F1408&lt;'00_Arquitectura'!$B$120),1,0)</x:f>
        <x:v>0</x:v>
      </x:c>
      <x:c r="I1408" s="10" t="n">
        <x:f>IF($I$1390=1,IF(OR(AND(F1408&lt;'00_Arquitectura'!$B$121,G1408&lt;'00_Arquitectura'!$B$122),F1408&lt;'00_Arquitectura'!$B$123),1,0),IF(AND(H1408=1,$H$1390=1),1,0))</x:f>
        <x:v>0</x:v>
      </x:c>
      <x:c r="J1408" s="10" t="n">
        <x:f>0</x:f>
        <x:v>0</x:v>
      </x:c>
      <x:c r="K1408" s="10" t="n">
        <x:f>$K$1403</x:f>
        <x:v>48.93685364703584</x:v>
      </x:c>
      <x:c r="L1408" s="10" t="str">
        <x:v>Canal directo sólo al índice social; sin bono de popularidad.</x:v>
      </x:c>
    </x:row>
    <x:row r="1409" ht="34" customHeight="1">
      <x:c r="A1409" s="5" t="str">
        <x:v>S4_PRESTAMO</x:v>
      </x:c>
      <x:c r="B1409" s="5" t="n">
        <x:v>6</x:v>
      </x:c>
      <x:c r="C1409" s="5" t="str">
        <x:v>cooperativas</x:v>
      </x:c>
      <x:c r="D1409" s="5" t="n">
        <x:f>$F$1391</x:f>
        <x:v>47.97794718518519</x:v>
      </x:c>
      <x:c r="E1409" s="5" t="n">
        <x:f>(ABS('03_Sensibilidades'!$C$30)*IF('03_Sensibilidades'!$C$30&lt;0,100-$K$562,$K$562)+ABS('03_Sensibilidades'!$C$31)*IF('03_Sensibilidades'!$C$31&lt;0,100-$K$560,$K$560)+ABS('03_Sensibilidades'!$C$32)*IF('03_Sensibilidades'!$C$32&lt;0,100-$K$568,$K$568)+ABS('03_Sensibilidades'!$C$33)*IF('03_Sensibilidades'!$C$33&lt;0,100-$K$571,$K$571))/(ABS('03_Sensibilidades'!$C$30)+ABS('03_Sensibilidades'!$C$31)+ABS('03_Sensibilidades'!$C$32)+ABS('03_Sensibilidades'!$C$33))</x:f>
        <x:v>47.99271820740741</x:v>
      </x:c>
      <x:c r="F1409" s="5" t="n">
        <x:f>(1-'00_Arquitectura'!$B$95)*D1409+'00_Arquitectura'!$B$95*E1409</x:f>
        <x:v>47.98311704296296</x:v>
      </x:c>
      <x:c r="G1409" s="5" t="n">
        <x:f>'02_Actores'!$I$12</x:f>
        <x:v>45</x:v>
      </x:c>
      <x:c r="H1409" s="5" t="n">
        <x:f>IF(OR(AND(F1409&lt;'00_Arquitectura'!$B$118,G1409&lt;'00_Arquitectura'!$B$119),F1409&lt;'00_Arquitectura'!$B$120),1,0)</x:f>
        <x:v>0</x:v>
      </x:c>
      <x:c r="I1409" s="5" t="n">
        <x:f>IF($I$1391=1,IF(OR(AND(F1409&lt;'00_Arquitectura'!$B$121,G1409&lt;'00_Arquitectura'!$B$122),F1409&lt;'00_Arquitectura'!$B$123),1,0),IF(AND(H1409=1,$H$1391=1),1,0))</x:f>
        <x:v>0</x:v>
      </x:c>
      <x:c r="J1409" s="5" t="n">
        <x:f>-I1409*1.5*'02_Actores'!$E$12/10</x:f>
        <x:v>0</x:v>
      </x:c>
      <x:c r="K1409" s="5" t="n">
        <x:f>$K$1403</x:f>
        <x:v>48.93685364703584</x:v>
      </x:c>
      <x:c r="L1409" s="5" t="str">
        <x:v>J programa offset para t+1; efecto sustituible y acotado, sin voto adicional.</x:v>
      </x:c>
    </x:row>
    <x:row r="1410" ht="42" customHeight="1">
      <x:c r="A1410" s="10" t="str">
        <x:v>S4_PRESTAMO</x:v>
      </x:c>
      <x:c r="B1410" s="10" t="n">
        <x:v>6</x:v>
      </x:c>
      <x:c r="C1410" s="10" t="str">
        <x:v>estudiantes</x:v>
      </x:c>
      <x:c r="D1410" s="10" t="n">
        <x:f>$F$1392</x:f>
        <x:v>49.6599021</x:v>
      </x:c>
      <x:c r="E1410" s="10" t="n">
        <x:f>(ABS('03_Sensibilidades'!$C$34)*IF('03_Sensibilidades'!$C$34&lt;0,100-$K$566,$K$566)+ABS('03_Sensibilidades'!$C$35)*IF('03_Sensibilidades'!$C$35&lt;0,100-$K$561,$K$561)+ABS('03_Sensibilidades'!$C$36)*IF('03_Sensibilidades'!$C$36&lt;0,100-$K$571,$K$571)+ABS('03_Sensibilidades'!$C$37)*IF('03_Sensibilidades'!$C$37&lt;0,100-$K$570,$K$570))/(ABS('03_Sensibilidades'!$C$34)+ABS('03_Sensibilidades'!$C$35)+ABS('03_Sensibilidades'!$C$36)+ABS('03_Sensibilidades'!$C$37))</x:f>
        <x:v>49.7592032</x:v>
      </x:c>
      <x:c r="F1410" s="10" t="n">
        <x:f>(1-'00_Arquitectura'!$B$95)*D1410+'00_Arquitectura'!$B$95*E1410</x:f>
        <x:v>49.694657485</x:v>
      </x:c>
      <x:c r="G1410" s="10" t="n">
        <x:f>'02_Actores'!$I$13</x:f>
        <x:v>45</x:v>
      </x:c>
      <x:c r="H1410" s="10" t="n">
        <x:f>IF(OR(AND(F1410&lt;'00_Arquitectura'!$B$118,G1410&lt;'00_Arquitectura'!$B$119),F1410&lt;'00_Arquitectura'!$B$120),1,0)</x:f>
        <x:v>0</x:v>
      </x:c>
      <x:c r="I1410" s="10" t="n">
        <x:f>IF($I$1392=1,IF(OR(AND(F1410&lt;'00_Arquitectura'!$B$121,G1410&lt;'00_Arquitectura'!$B$122),F1410&lt;'00_Arquitectura'!$B$123),1,0),IF(AND(H1410=1,$H$1392=1),1,0))</x:f>
        <x:v>0</x:v>
      </x:c>
      <x:c r="J1410" s="10" t="n">
        <x:f>0</x:f>
        <x:v>0</x:v>
      </x:c>
      <x:c r="K1410" s="10" t="n">
        <x:f>$K$1403</x:f>
        <x:v>48.93685364703584</x:v>
      </x:c>
      <x:c r="L1410" s="10" t="str">
        <x:v>Conflicto activo captura menor eficacia en políticas ejecutadas en t+1. Magnitud0 en J: no es un offset directo de indicador.</x:v>
      </x:c>
    </x:row>
    <x:row r="1411" ht="34" customHeight="1">
      <x:c r="A1411" s="5" t="str">
        <x:v>S4_PRESTAMO</x:v>
      </x:c>
      <x:c r="B1411" s="5" t="n">
        <x:v>6</x:v>
      </x:c>
      <x:c r="C1411" s="5" t="str">
        <x:v>docentes</x:v>
      </x:c>
      <x:c r="D1411" s="5" t="n">
        <x:f>$F$1393</x:f>
        <x:v>49.19851747826087</x:v>
      </x:c>
      <x:c r="E1411" s="5" t="n">
        <x:f>(ABS('03_Sensibilidades'!$C$38)*IF('03_Sensibilidades'!$C$38&lt;0,100-$K$566,$K$566)+ABS('03_Sensibilidades'!$C$39)*IF('03_Sensibilidades'!$C$39&lt;0,100-$K$561,$K$561)+ABS('03_Sensibilidades'!$C$40)*IF('03_Sensibilidades'!$C$40&lt;0,100-$K$571,$K$571))/(ABS('03_Sensibilidades'!$C$38)+ABS('03_Sensibilidades'!$C$39)+ABS('03_Sensibilidades'!$C$40))</x:f>
        <x:v>49.25931060869566</x:v>
      </x:c>
      <x:c r="F1411" s="5" t="n">
        <x:f>(1-'00_Arquitectura'!$B$95)*D1411+'00_Arquitectura'!$B$95*E1411</x:f>
        <x:v>49.21979507391305</x:v>
      </x:c>
      <x:c r="G1411" s="5" t="n">
        <x:f>'02_Actores'!$I$14</x:f>
        <x:v>45</x:v>
      </x:c>
      <x:c r="H1411" s="5" t="n">
        <x:f>IF(OR(AND(F1411&lt;'00_Arquitectura'!$B$118,G1411&lt;'00_Arquitectura'!$B$119),F1411&lt;'00_Arquitectura'!$B$120),1,0)</x:f>
        <x:v>0</x:v>
      </x:c>
      <x:c r="I1411" s="5" t="n">
        <x:f>IF($I$1393=1,IF(OR(AND(F1411&lt;'00_Arquitectura'!$B$121,G1411&lt;'00_Arquitectura'!$B$122),F1411&lt;'00_Arquitectura'!$B$123),1,0),IF(AND(H1411=1,$H$1393=1),1,0))</x:f>
        <x:v>0</x:v>
      </x:c>
      <x:c r="J1411" s="5" t="n">
        <x:f>-I1411*1.5*'02_Actores'!$E$14/10</x:f>
        <x:v>0</x:v>
      </x:c>
      <x:c r="K1411" s="5" t="n">
        <x:f>$K$1403</x:f>
        <x:v>48.93685364703584</x:v>
      </x:c>
      <x:c r="L1411" s="5" t="str">
        <x:v>J programa offset para t+1; efecto sustituible y acotado, sin voto adicional.</x:v>
      </x:c>
    </x:row>
    <x:row r="1412" ht="34" customHeight="1">
      <x:c r="A1412" s="10" t="str">
        <x:v>S4_PRESTAMO</x:v>
      </x:c>
      <x:c r="B1412" s="10" t="n">
        <x:v>6</x:v>
      </x:c>
      <x:c r="C1412" s="10" t="str">
        <x:v>cientificos</x:v>
      </x:c>
      <x:c r="D1412" s="10" t="n">
        <x:f>$F$1394</x:f>
        <x:v>46.964315340909096</x:v>
      </x:c>
      <x:c r="E1412" s="10" t="n">
        <x:f>(ABS('03_Sensibilidades'!$C$41)*IF('03_Sensibilidades'!$C$41&lt;0,100-$K$570,$K$570)+ABS('03_Sensibilidades'!$C$42)*IF('03_Sensibilidades'!$C$42&lt;0,100-$K$566,$K$566)+ABS('03_Sensibilidades'!$C$43)*IF('03_Sensibilidades'!$C$43&lt;0,100-$K$571,$K$571))/(ABS('03_Sensibilidades'!$C$41)+ABS('03_Sensibilidades'!$C$42)+ABS('03_Sensibilidades'!$C$43))</x:f>
        <x:v>47.04545454545455</x:v>
      </x:c>
      <x:c r="F1412" s="10" t="n">
        <x:f>(1-'00_Arquitectura'!$B$95)*D1412+'00_Arquitectura'!$B$95*E1412</x:f>
        <x:v>46.9927140625</x:v>
      </x:c>
      <x:c r="G1412" s="10" t="n">
        <x:f>'02_Actores'!$I$15</x:f>
        <x:v>45</x:v>
      </x:c>
      <x:c r="H1412" s="10" t="n">
        <x:f>IF(OR(AND(F1412&lt;'00_Arquitectura'!$B$118,G1412&lt;'00_Arquitectura'!$B$119),F1412&lt;'00_Arquitectura'!$B$120),1,0)</x:f>
        <x:v>0</x:v>
      </x:c>
      <x:c r="I1412" s="10" t="n">
        <x:f>IF($I$1394=1,IF(OR(AND(F1412&lt;'00_Arquitectura'!$B$121,G1412&lt;'00_Arquitectura'!$B$122),F1412&lt;'00_Arquitectura'!$B$123),1,0),IF(AND(H1412=1,$H$1394=1),1,0))</x:f>
        <x:v>0</x:v>
      </x:c>
      <x:c r="J1412" s="10" t="n">
        <x:f>-I1412*1.5*'02_Actores'!$E$15/10</x:f>
        <x:v>0</x:v>
      </x:c>
      <x:c r="K1412" s="10" t="n">
        <x:f>$K$1403</x:f>
        <x:v>48.93685364703584</x:v>
      </x:c>
      <x:c r="L1412" s="10" t="str">
        <x:v>J programa offset para t+1; efecto sustituible y acotado, sin voto adicional.</x:v>
      </x:c>
    </x:row>
    <x:row r="1413" ht="34" customHeight="1">
      <x:c r="A1413" s="5" t="str">
        <x:v>S4_PRESTAMO</x:v>
      </x:c>
      <x:c r="B1413" s="5" t="n">
        <x:v>6</x:v>
      </x:c>
      <x:c r="C1413" s="5" t="str">
        <x:v>organizaciones</x:v>
      </x:c>
      <x:c r="D1413" s="5" t="n">
        <x:f>$F$1395</x:f>
        <x:v>49.39791748214285</x:v>
      </x:c>
      <x:c r="E1413" s="5" t="n">
        <x:f>(ABS('03_Sensibilidades'!$C$44)*IF('03_Sensibilidades'!$C$44&lt;0,100-$K$568,$K$568)+ABS('03_Sensibilidades'!$C$45)*IF('03_Sensibilidades'!$C$45&lt;0,100-$K$567,$K$567)+ABS('03_Sensibilidades'!$C$46)*IF('03_Sensibilidades'!$C$46&lt;0,100-$K$560,$K$560)+ABS('03_Sensibilidades'!$C$47)*IF('03_Sensibilidades'!$C$47&lt;0,100-$K$571,$K$571))/(ABS('03_Sensibilidades'!$C$44)+ABS('03_Sensibilidades'!$C$45)+ABS('03_Sensibilidades'!$C$46)+ABS('03_Sensibilidades'!$C$47))</x:f>
        <x:v>49.45559428571429</x:v>
      </x:c>
      <x:c r="F1413" s="5" t="n">
        <x:f>(1-'00_Arquitectura'!$B$95)*D1413+'00_Arquitectura'!$B$95*E1413</x:f>
        <x:v>49.41810436339286</x:v>
      </x:c>
      <x:c r="G1413" s="5" t="n">
        <x:f>'02_Actores'!$I$16</x:f>
        <x:v>45</x:v>
      </x:c>
      <x:c r="H1413" s="5" t="n">
        <x:f>IF(OR(AND(F1413&lt;'00_Arquitectura'!$B$118,G1413&lt;'00_Arquitectura'!$B$119),F1413&lt;'00_Arquitectura'!$B$120),1,0)</x:f>
        <x:v>0</x:v>
      </x:c>
      <x:c r="I1413" s="5" t="n">
        <x:f>IF($I$1395=1,IF(OR(AND(F1413&lt;'00_Arquitectura'!$B$121,G1413&lt;'00_Arquitectura'!$B$122),F1413&lt;'00_Arquitectura'!$B$123),1,0),IF(AND(H1413=1,$H$1395=1),1,0))</x:f>
        <x:v>0</x:v>
      </x:c>
      <x:c r="J1413" s="5" t="n">
        <x:f>-I1413*1.5*'02_Actores'!$E$16/10</x:f>
        <x:v>0</x:v>
      </x:c>
      <x:c r="K1413" s="5" t="n">
        <x:f>$K$1403</x:f>
        <x:v>48.93685364703584</x:v>
      </x:c>
      <x:c r="L1413" s="5" t="str">
        <x:v>J programa offset para t+1; efecto sustituible y acotado, sin voto adicional.</x:v>
      </x:c>
    </x:row>
    <x:row r="1414" ht="42" customHeight="1">
      <x:c r="A1414" s="10" t="str">
        <x:v>S4_PRESTAMO</x:v>
      </x:c>
      <x:c r="B1414" s="10" t="n">
        <x:v>6</x:v>
      </x:c>
      <x:c r="C1414" s="10" t="str">
        <x:v>ddhh</x:v>
      </x:c>
      <x:c r="D1414" s="10" t="n">
        <x:f>$F$1396</x:f>
        <x:v>51.848816176470585</x:v>
      </x:c>
      <x:c r="E1414" s="10" t="n">
        <x:f>(ABS('03_Sensibilidades'!$C$48)*IF('03_Sensibilidades'!$C$48&lt;0,100-$K$571,$K$571)+ABS('03_Sensibilidades'!$C$49)*IF('03_Sensibilidades'!$C$49&lt;0,100-$K$569,$K$569)+ABS('03_Sensibilidades'!$C$50)*IF('03_Sensibilidades'!$C$50&lt;0,100-$K$568,$K$568))/(ABS('03_Sensibilidades'!$C$48)+ABS('03_Sensibilidades'!$C$49)+ABS('03_Sensibilidades'!$C$50))</x:f>
        <x:v>52.05882352941177</x:v>
      </x:c>
      <x:c r="F1414" s="10" t="n">
        <x:f>(1-'00_Arquitectura'!$B$95)*D1414+'00_Arquitectura'!$B$95*E1414</x:f>
        <x:v>51.922318749999995</x:v>
      </x:c>
      <x:c r="G1414" s="10" t="n">
        <x:f>'02_Actores'!$I$17</x:f>
        <x:v>45</x:v>
      </x:c>
      <x:c r="H1414" s="10" t="n">
        <x:f>IF(OR(AND(F1414&lt;'00_Arquitectura'!$B$118,G1414&lt;'00_Arquitectura'!$B$119),F1414&lt;'00_Arquitectura'!$B$120),1,0)</x:f>
        <x:v>0</x:v>
      </x:c>
      <x:c r="I1414" s="10" t="n">
        <x:f>IF($I$1396=1,IF(OR(AND(F1414&lt;'00_Arquitectura'!$B$121,G1414&lt;'00_Arquitectura'!$B$122),F1414&lt;'00_Arquitectura'!$B$123),1,0),IF(AND(H1414=1,$H$1396=1),1,0))</x:f>
        <x:v>0</x:v>
      </x:c>
      <x:c r="J1414" s="10" t="n">
        <x:f>0</x:f>
        <x:v>0</x:v>
      </x:c>
      <x:c r="K1414" s="10" t="n">
        <x:f>$K$1403</x:f>
        <x:v>48.93685364703584</x:v>
      </x:c>
      <x:c r="L1414" s="10" t="str">
        <x:v>Conflicto activo captura menor eficacia en políticas ejecutadas en t+1. Magnitud0 en J: no es un offset directo de indicador.</x:v>
      </x:c>
    </x:row>
    <x:row r="1415" ht="42" customHeight="1">
      <x:c r="A1415" s="5" t="str">
        <x:v>S4_PRESTAMO</x:v>
      </x:c>
      <x:c r="B1415" s="5" t="n">
        <x:v>6</x:v>
      </x:c>
      <x:c r="C1415" s="5" t="str">
        <x:v>ambientalistas</x:v>
      </x:c>
      <x:c r="D1415" s="5" t="n">
        <x:f>$F$1397</x:f>
        <x:v>51.84527430555555</x:v>
      </x:c>
      <x:c r="E1415" s="5" t="n">
        <x:f>(ABS('03_Sensibilidades'!$C$51)*IF('03_Sensibilidades'!$C$51&lt;0,100-$K$572,$K$572)+ABS('03_Sensibilidades'!$C$52)*IF('03_Sensibilidades'!$C$52&lt;0,100-$K$571,$K$571)+ABS('03_Sensibilidades'!$C$53)*IF('03_Sensibilidades'!$C$53&lt;0,100-$K$567,$K$567))/(ABS('03_Sensibilidades'!$C$51)+ABS('03_Sensibilidades'!$C$52)+ABS('03_Sensibilidades'!$C$53))</x:f>
        <x:v>51.94444444444444</x:v>
      </x:c>
      <x:c r="F1415" s="5" t="n">
        <x:f>(1-'00_Arquitectura'!$B$95)*D1415+'00_Arquitectura'!$B$95*E1415</x:f>
        <x:v>51.87998385416667</x:v>
      </x:c>
      <x:c r="G1415" s="5" t="n">
        <x:f>'02_Actores'!$I$18</x:f>
        <x:v>45</x:v>
      </x:c>
      <x:c r="H1415" s="5" t="n">
        <x:f>IF(OR(AND(F1415&lt;'00_Arquitectura'!$B$118,G1415&lt;'00_Arquitectura'!$B$119),F1415&lt;'00_Arquitectura'!$B$120),1,0)</x:f>
        <x:v>0</x:v>
      </x:c>
      <x:c r="I1415" s="5" t="n">
        <x:f>IF($I$1397=1,IF(OR(AND(F1415&lt;'00_Arquitectura'!$B$121,G1415&lt;'00_Arquitectura'!$B$122),F1415&lt;'00_Arquitectura'!$B$123),1,0),IF(AND(H1415=1,$H$1397=1),1,0))</x:f>
        <x:v>0</x:v>
      </x:c>
      <x:c r="J1415" s="5" t="n">
        <x:f>0</x:f>
        <x:v>0</x:v>
      </x:c>
      <x:c r="K1415" s="5" t="n">
        <x:f>$K$1403</x:f>
        <x:v>48.93685364703584</x:v>
      </x:c>
      <x:c r="L1415" s="5" t="str">
        <x:v>Conflicto activo captura menor eficacia en políticas ejecutadas en t+1. Magnitud0 en J: no es un offset directo de indicador.</x:v>
      </x:c>
    </x:row>
    <x:row r="1416" ht="34" customHeight="1">
      <x:c r="A1416" s="10" t="str">
        <x:v>S4_PRESTAMO</x:v>
      </x:c>
      <x:c r="B1416" s="10" t="n">
        <x:v>6</x:v>
      </x:c>
      <x:c r="C1416" s="10" t="str">
        <x:v>cultura</x:v>
      </x:c>
      <x:c r="D1416" s="10" t="n">
        <x:f>$F$1398</x:f>
        <x:v>51.48108105263157</x:v>
      </x:c>
      <x:c r="E1416" s="10" t="n">
        <x:f>(ABS('03_Sensibilidades'!$C$54)*IF('03_Sensibilidades'!$C$54&lt;0,100-$K$571,$K$571)+ABS('03_Sensibilidades'!$C$55)*IF('03_Sensibilidades'!$C$55&lt;0,100-$K$566,$K$566)+ABS('03_Sensibilidades'!$C$56)*IF('03_Sensibilidades'!$C$56&lt;0,100-$K$561,$K$561))/(ABS('03_Sensibilidades'!$C$54)+ABS('03_Sensibilidades'!$C$55)+ABS('03_Sensibilidades'!$C$56))</x:f>
        <x:v>51.630530526315795</x:v>
      </x:c>
      <x:c r="F1416" s="10" t="n">
        <x:f>(1-'00_Arquitectura'!$B$95)*D1416+'00_Arquitectura'!$B$95*E1416</x:f>
        <x:v>51.53338836842106</x:v>
      </x:c>
      <x:c r="G1416" s="10" t="n">
        <x:f>'02_Actores'!$I$19</x:f>
        <x:v>45</x:v>
      </x:c>
      <x:c r="H1416" s="10" t="n">
        <x:f>IF(OR(AND(F1416&lt;'00_Arquitectura'!$B$118,G1416&lt;'00_Arquitectura'!$B$119),F1416&lt;'00_Arquitectura'!$B$120),1,0)</x:f>
        <x:v>0</x:v>
      </x:c>
      <x:c r="I1416" s="10" t="n">
        <x:f>IF($I$1398=1,IF(OR(AND(F1416&lt;'00_Arquitectura'!$B$121,G1416&lt;'00_Arquitectura'!$B$122),F1416&lt;'00_Arquitectura'!$B$123),1,0),IF(AND(H1416=1,$H$1398=1),1,0))</x:f>
        <x:v>0</x:v>
      </x:c>
      <x:c r="J1416" s="10" t="n">
        <x:f>0</x:f>
        <x:v>0</x:v>
      </x:c>
      <x:c r="K1416" s="10" t="n">
        <x:f>$K$1403</x:f>
        <x:v>48.93685364703584</x:v>
      </x:c>
      <x:c r="L1416" s="10" t="str">
        <x:v>Conflicto activo encarece agenda del turno siguiente; sin castigo electoral adicional.</x:v>
      </x:c>
    </x:row>
    <x:row r="1417" ht="34" customHeight="1">
      <x:c r="A1417" s="5" t="str">
        <x:v>S4_PRESTAMO</x:v>
      </x:c>
      <x:c r="B1417" s="5" t="n">
        <x:v>6</x:v>
      </x:c>
      <x:c r="C1417" s="5" t="str">
        <x:v>oficialismo</x:v>
      </x:c>
      <x:c r="D1417" s="5" t="n">
        <x:f>$F$1399</x:f>
        <x:v>51.733741400000014</x:v>
      </x:c>
      <x:c r="E1417" s="5" t="n">
        <x:f>(ABS('03_Sensibilidades'!$C$57)*IF('03_Sensibilidades'!$C$57&lt;0,100-$K$571,$K$571)+ABS('03_Sensibilidades'!$C$58)*IF('03_Sensibilidades'!$C$58&lt;0,100-$K$560,$K$560)+ABS('03_Sensibilidades'!$C$59)*IF('03_Sensibilidades'!$C$59&lt;0,100-$K$563,$K$563)+ABS('03_Sensibilidades'!$C$60)*IF('03_Sensibilidades'!$C$60&lt;0,100-$K$568,$K$568))/(ABS('03_Sensibilidades'!$C$57)+ABS('03_Sensibilidades'!$C$58)+ABS('03_Sensibilidades'!$C$59)+ABS('03_Sensibilidades'!$C$60))</x:f>
        <x:v>51.769745920000005</x:v>
      </x:c>
      <x:c r="F1417" s="5" t="n">
        <x:f>(1-'00_Arquitectura'!$B$95)*D1417+'00_Arquitectura'!$B$95*E1417</x:f>
        <x:v>51.746342982000016</x:v>
      </x:c>
      <x:c r="G1417" s="5" t="n">
        <x:f>'02_Actores'!$I$20</x:f>
        <x:v>60</x:v>
      </x:c>
      <x:c r="H1417" s="5" t="n">
        <x:f>IF(OR(AND(F1417&lt;'00_Arquitectura'!$B$118,G1417&lt;'00_Arquitectura'!$B$119),F1417&lt;'00_Arquitectura'!$B$120),1,0)</x:f>
        <x:v>0</x:v>
      </x:c>
      <x:c r="I1417" s="5" t="n">
        <x:f>IF($I$1399=1,IF(OR(AND(F1417&lt;'00_Arquitectura'!$B$121,G1417&lt;'00_Arquitectura'!$B$122),F1417&lt;'00_Arquitectura'!$B$123),1,0),IF(AND(H1417=1,$H$1399=1),1,0))</x:f>
        <x:v>0</x:v>
      </x:c>
      <x:c r="J1417" s="5" t="n">
        <x:f>0</x:f>
        <x:v>0</x:v>
      </x:c>
      <x:c r="K1417" s="5" t="n">
        <x:f>$K$1403</x:f>
        <x:v>48.93685364703584</x:v>
      </x:c>
      <x:c r="L1417" s="5" t="str">
        <x:v>No aporta E_social; S y R alimentan disposición a leyes según07.</x:v>
      </x:c>
    </x:row>
    <x:row r="1418" ht="34" customHeight="1">
      <x:c r="A1418" s="10" t="str">
        <x:v>S4_PRESTAMO</x:v>
      </x:c>
      <x:c r="B1418" s="10" t="n">
        <x:v>6</x:v>
      </x:c>
      <x:c r="C1418" s="10" t="str">
        <x:v>aliados</x:v>
      </x:c>
      <x:c r="D1418" s="10" t="n">
        <x:f>$F$1400</x:f>
        <x:v>52.690050142857146</x:v>
      </x:c>
      <x:c r="E1418" s="10" t="n">
        <x:f>(ABS('03_Sensibilidades'!$C$61)*IF('03_Sensibilidades'!$C$61&lt;0,100-$K$571,$K$571)+ABS('03_Sensibilidades'!$C$62)*IF('03_Sensibilidades'!$C$62&lt;0,100-$K$563,$K$563)+ABS('03_Sensibilidades'!$C$63)*IF('03_Sensibilidades'!$C$63&lt;0,100-$K$565,$K$565))/(ABS('03_Sensibilidades'!$C$61)+ABS('03_Sensibilidades'!$C$62)+ABS('03_Sensibilidades'!$C$63))</x:f>
        <x:v>52.76965790476191</x:v>
      </x:c>
      <x:c r="F1418" s="10" t="n">
        <x:f>(1-'00_Arquitectura'!$B$95)*D1418+'00_Arquitectura'!$B$95*E1418</x:f>
        <x:v>52.71791285952381</x:v>
      </x:c>
      <x:c r="G1418" s="10" t="n">
        <x:f>'02_Actores'!$I$21</x:f>
        <x:v>45</x:v>
      </x:c>
      <x:c r="H1418" s="10" t="n">
        <x:f>IF(OR(AND(F1418&lt;'00_Arquitectura'!$B$118,G1418&lt;'00_Arquitectura'!$B$119),F1418&lt;'00_Arquitectura'!$B$120),1,0)</x:f>
        <x:v>0</x:v>
      </x:c>
      <x:c r="I1418" s="10" t="n">
        <x:f>IF($I$1400=1,IF(OR(AND(F1418&lt;'00_Arquitectura'!$B$121,G1418&lt;'00_Arquitectura'!$B$122),F1418&lt;'00_Arquitectura'!$B$123),1,0),IF(AND(H1418=1,$H$1400=1),1,0))</x:f>
        <x:v>0</x:v>
      </x:c>
      <x:c r="J1418" s="10" t="n">
        <x:f>0</x:f>
        <x:v>0</x:v>
      </x:c>
      <x:c r="K1418" s="10" t="n">
        <x:f>$K$1403</x:f>
        <x:v>48.93685364703584</x:v>
      </x:c>
      <x:c r="L1418" s="10" t="str">
        <x:v>No aporta E_social; S y R alimentan disposición a leyes según07.</x:v>
      </x:c>
    </x:row>
    <x:row r="1419" ht="34" customHeight="1">
      <x:c r="A1419" s="5" t="str">
        <x:v>S4_PRESTAMO</x:v>
      </x:c>
      <x:c r="B1419" s="5" t="n">
        <x:v>6</x:v>
      </x:c>
      <x:c r="C1419" s="5" t="str">
        <x:v>oposicion</x:v>
      </x:c>
      <x:c r="D1419" s="5" t="n">
        <x:f>$F$1401</x:f>
        <x:v>53.750657450000006</x:v>
      </x:c>
      <x:c r="E1419" s="5" t="n">
        <x:f>(ABS('03_Sensibilidades'!$C$64)*IF('03_Sensibilidades'!$C$64&lt;0,100-$K$571,$K$571)+ABS('03_Sensibilidades'!$C$65)*IF('03_Sensibilidades'!$C$65&lt;0,100-$K$563,$K$563)+ABS('03_Sensibilidades'!$C$66)*IF('03_Sensibilidades'!$C$66&lt;0,100-$K$569,$K$569))/(ABS('03_Sensibilidades'!$C$64)+ABS('03_Sensibilidades'!$C$65)+ABS('03_Sensibilidades'!$C$66))</x:f>
        <x:v>53.878406399999996</x:v>
      </x:c>
      <x:c r="F1419" s="5" t="n">
        <x:f>(1-'00_Arquitectura'!$B$95)*D1419+'00_Arquitectura'!$B$95*E1419</x:f>
        <x:v>53.7953695825</x:v>
      </x:c>
      <x:c r="G1419" s="5" t="n">
        <x:f>'02_Actores'!$I$22</x:f>
        <x:v>30</x:v>
      </x:c>
      <x:c r="H1419" s="5" t="n">
        <x:f>IF(OR(AND(F1419&lt;'00_Arquitectura'!$B$118,G1419&lt;'00_Arquitectura'!$B$119),F1419&lt;'00_Arquitectura'!$B$120),1,0)</x:f>
        <x:v>0</x:v>
      </x:c>
      <x:c r="I1419" s="5" t="n">
        <x:f>IF($I$1401=1,IF(OR(AND(F1419&lt;'00_Arquitectura'!$B$121,G1419&lt;'00_Arquitectura'!$B$122),F1419&lt;'00_Arquitectura'!$B$123),1,0),IF(AND(H1419=1,$H$1401=1),1,0))</x:f>
        <x:v>0</x:v>
      </x:c>
      <x:c r="J1419" s="5" t="n">
        <x:f>0</x:f>
        <x:v>0</x:v>
      </x:c>
      <x:c r="K1419" s="5" t="n">
        <x:f>$K$1403</x:f>
        <x:v>48.93685364703584</x:v>
      </x:c>
      <x:c r="L1419" s="5" t="str">
        <x:v>No aporta E_social; S y R alimentan disposición a leyes según07.</x:v>
      </x:c>
    </x:row>
    <x:row r="1420" ht="42" customHeight="1">
      <x:c r="A1420" s="10" t="str">
        <x:v>S4_PRESTAMO</x:v>
      </x:c>
      <x:c r="B1420" s="10" t="n">
        <x:v>6</x:v>
      </x:c>
      <x:c r="C1420" s="10" t="str">
        <x:v>gobernadores</x:v>
      </x:c>
      <x:c r="D1420" s="10" t="n">
        <x:f>$F$1402</x:f>
        <x:v>49.43390600000001</x:v>
      </x:c>
      <x:c r="E1420" s="10" t="n">
        <x:f>(ABS('03_Sensibilidades'!$C$67)*IF('03_Sensibilidades'!$C$67&lt;0,100-$K$565,$K$565)+ABS('03_Sensibilidades'!$C$68)*IF('03_Sensibilidades'!$C$68&lt;0,100-$K$567,$K$567)+ABS('03_Sensibilidades'!$C$69)*IF('03_Sensibilidades'!$C$69&lt;0,100-$K$566,$K$566)+ABS('03_Sensibilidades'!$C$70)*IF('03_Sensibilidades'!$C$70&lt;0,100-$K$563,$K$563))/(ABS('03_Sensibilidades'!$C$67)+ABS('03_Sensibilidades'!$C$68)+ABS('03_Sensibilidades'!$C$69)+ABS('03_Sensibilidades'!$C$70))</x:f>
        <x:v>49.398900965517235</x:v>
      </x:c>
      <x:c r="F1420" s="10" t="n">
        <x:f>(1-'00_Arquitectura'!$B$95)*D1420+'00_Arquitectura'!$B$95*E1420</x:f>
        <x:v>49.42165423793104</x:v>
      </x:c>
      <x:c r="G1420" s="10" t="n">
        <x:f>'02_Actores'!$I$23</x:f>
        <x:v>45</x:v>
      </x:c>
      <x:c r="H1420" s="10" t="n">
        <x:f>IF(OR(AND(F1420&lt;'00_Arquitectura'!$B$118,G1420&lt;'00_Arquitectura'!$B$119),F1420&lt;'00_Arquitectura'!$B$120),1,0)</x:f>
        <x:v>0</x:v>
      </x:c>
      <x:c r="I1420" s="10" t="n">
        <x:f>IF($I$1402=1,IF(OR(AND(F1420&lt;'00_Arquitectura'!$B$121,G1420&lt;'00_Arquitectura'!$B$122),F1420&lt;'00_Arquitectura'!$B$123),1,0),IF(AND(H1420=1,$H$1402=1),1,0))</x:f>
        <x:v>0</x:v>
      </x:c>
      <x:c r="J1420" s="10" t="n">
        <x:f>0</x:f>
        <x:v>0</x:v>
      </x:c>
      <x:c r="K1420" s="10" t="n">
        <x:f>$K$1403</x:f>
        <x:v>48.93685364703584</x:v>
      </x:c>
      <x:c r="L1420" s="10" t="str">
        <x:v>Conflicto activo captura menor eficacia en políticas ejecutadas en t+1. Magnitud0 en J: no es un offset directo de indicador.</x:v>
      </x:c>
    </x:row>
    <x:row r="1421" ht="34" customHeight="1">
      <x:c r="A1421" s="5" t="str">
        <x:v>S4_PRESTAMO</x:v>
      </x:c>
      <x:c r="B1421" s="5" t="n">
        <x:v>7</x:v>
      </x:c>
      <x:c r="C1421" s="5" t="str">
        <x:v>industria</x:v>
      </x:c>
      <x:c r="D1421" s="5" t="n">
        <x:f>$F$1403</x:f>
        <x:v>46.416820853333334</x:v>
      </x:c>
      <x:c r="E1421" s="5" t="n">
        <x:f>(ABS('03_Sensibilidades'!$C$6)*IF('03_Sensibilidades'!$C$6&lt;0,100-$K$576,$K$576)+ABS('03_Sensibilidades'!$C$7)*IF('03_Sensibilidades'!$C$7&lt;0,100-$K$574,$K$574)+ABS('03_Sensibilidades'!$C$8)*IF('03_Sensibilidades'!$C$8&lt;0,100-$K$579,$K$579)+ABS('03_Sensibilidades'!$C$9)*IF('03_Sensibilidades'!$C$9&lt;0,100-$K$578,$K$578))/(ABS('03_Sensibilidades'!$C$6)+ABS('03_Sensibilidades'!$C$7)+ABS('03_Sensibilidades'!$C$8)+ABS('03_Sensibilidades'!$C$9))</x:f>
        <x:v>46.37639450192592</x:v>
      </x:c>
      <x:c r="F1421" s="5" t="n">
        <x:f>(1-'00_Arquitectura'!$B$95)*D1421+'00_Arquitectura'!$B$95*E1421</x:f>
        <x:v>46.40267163034074</x:v>
      </x:c>
      <x:c r="G1421" s="5" t="n">
        <x:f>'02_Actores'!$I$6</x:f>
        <x:v>45</x:v>
      </x:c>
      <x:c r="H1421" s="5" t="n">
        <x:f>IF(OR(AND(F1421&lt;'00_Arquitectura'!$B$118,G1421&lt;'00_Arquitectura'!$B$119),F1421&lt;'00_Arquitectura'!$B$120),1,0)</x:f>
        <x:v>0</x:v>
      </x:c>
      <x:c r="I1421" s="5" t="n">
        <x:f>IF($I$1403=1,IF(OR(AND(F1421&lt;'00_Arquitectura'!$B$121,G1421&lt;'00_Arquitectura'!$B$122),F1421&lt;'00_Arquitectura'!$B$123),1,0),IF(AND(H1421=1,$H$1403=1),1,0))</x:f>
        <x:v>0</x:v>
      </x:c>
      <x:c r="J1421" s="5" t="n">
        <x:f>-I1421*2*'02_Actores'!$E$6/10</x:f>
        <x:v>0</x:v>
      </x:c>
      <x:c r="K1421" s="5" t="n">
        <x:f>($F$1421*'02_Actores'!$F$6+$F$1422*'02_Actores'!$F$7+$F$1423*'02_Actores'!$F$8+$F$1424*'02_Actores'!$F$9+$F$1425*'02_Actores'!$F$10+$F$1426*'02_Actores'!$F$11+$F$1427*'02_Actores'!$F$12+$F$1428*'02_Actores'!$F$13+$F$1429*'02_Actores'!$F$14+$F$1430*'02_Actores'!$F$15+$F$1431*'02_Actores'!$F$16+$F$1432*'02_Actores'!$F$17+$F$1433*'02_Actores'!$F$18+$F$1434*'02_Actores'!$F$19)/('02_Actores'!$F$6+'02_Actores'!$F$7+'02_Actores'!$F$8+'02_Actores'!$F$9+'02_Actores'!$F$10+'02_Actores'!$F$11+'02_Actores'!$F$12+'02_Actores'!$F$13+'02_Actores'!$F$14+'02_Actores'!$F$15+'02_Actores'!$F$16+'02_Actores'!$F$17+'02_Actores'!$F$18+'02_Actores'!$F$19)</x:f>
        <x:v>48.94260772089814</x:v>
      </x:c>
      <x:c r="L1421" s="5" t="str">
        <x:v>J programa offset para t+1; efecto sustituible y acotado, sin voto adicional.</x:v>
      </x:c>
    </x:row>
    <x:row r="1422" ht="34" customHeight="1">
      <x:c r="A1422" s="10" t="str">
        <x:v>S4_PRESTAMO</x:v>
      </x:c>
      <x:c r="B1422" s="10" t="n">
        <x:v>7</x:v>
      </x:c>
      <x:c r="C1422" s="10" t="str">
        <x:v>agro</x:v>
      </x:c>
      <x:c r="D1422" s="10" t="n">
        <x:f>$F$1404</x:f>
        <x:v>45.85783956785715</x:v>
      </x:c>
      <x:c r="E1422" s="10" t="n">
        <x:f>(ABS('03_Sensibilidades'!$C$10)*IF('03_Sensibilidades'!$C$10&lt;0,100-$K$578,$K$578)+ABS('03_Sensibilidades'!$C$11)*IF('03_Sensibilidades'!$C$11&lt;0,100-$K$579,$K$579)+ABS('03_Sensibilidades'!$C$12)*IF('03_Sensibilidades'!$C$12&lt;0,100-$K$586,$K$586)+ABS('03_Sensibilidades'!$C$13)*IF('03_Sensibilidades'!$C$13&lt;0,100-$K$576,$K$576))/(ABS('03_Sensibilidades'!$C$10)+ABS('03_Sensibilidades'!$C$11)+ABS('03_Sensibilidades'!$C$12)+ABS('03_Sensibilidades'!$C$13))</x:f>
        <x:v>45.83922120357143</x:v>
      </x:c>
      <x:c r="F1422" s="10" t="n">
        <x:f>(1-'00_Arquitectura'!$B$95)*D1422+'00_Arquitectura'!$B$95*E1422</x:f>
        <x:v>45.851323140357145</x:v>
      </x:c>
      <x:c r="G1422" s="10" t="n">
        <x:f>'02_Actores'!$I$7</x:f>
        <x:v>45</x:v>
      </x:c>
      <x:c r="H1422" s="10" t="n">
        <x:f>IF(OR(AND(F1422&lt;'00_Arquitectura'!$B$118,G1422&lt;'00_Arquitectura'!$B$119),F1422&lt;'00_Arquitectura'!$B$120),1,0)</x:f>
        <x:v>0</x:v>
      </x:c>
      <x:c r="I1422" s="10" t="n">
        <x:f>IF($I$1404=1,IF(OR(AND(F1422&lt;'00_Arquitectura'!$B$121,G1422&lt;'00_Arquitectura'!$B$122),F1422&lt;'00_Arquitectura'!$B$123),1,0),IF(AND(H1422=1,$H$1404=1),1,0))</x:f>
        <x:v>0</x:v>
      </x:c>
      <x:c r="J1422" s="10" t="n">
        <x:f>-I1422*2*'02_Actores'!$E$7/10</x:f>
        <x:v>0</x:v>
      </x:c>
      <x:c r="K1422" s="10" t="n">
        <x:f>$K$1421</x:f>
        <x:v>48.94260772089814</x:v>
      </x:c>
      <x:c r="L1422" s="10" t="str">
        <x:v>J programa offset para t+1; efecto sustituible y acotado, sin voto adicional.</x:v>
      </x:c>
    </x:row>
    <x:row r="1423" ht="34" customHeight="1">
      <x:c r="A1423" s="5" t="str">
        <x:v>S4_PRESTAMO</x:v>
      </x:c>
      <x:c r="B1423" s="5" t="n">
        <x:v>7</x:v>
      </x:c>
      <x:c r="C1423" s="5" t="str">
        <x:v>financiero</x:v>
      </x:c>
      <x:c r="D1423" s="5" t="n">
        <x:f>$F$1405</x:f>
        <x:v>54.060196553793105</x:v>
      </x:c>
      <x:c r="E1423" s="5" t="n">
        <x:f>(ABS('03_Sensibilidades'!$C$14)*IF('03_Sensibilidades'!$C$14&lt;0,100-$K$577,$K$577)+ABS('03_Sensibilidades'!$C$15)*IF('03_Sensibilidades'!$C$15&lt;0,100-$K$573,$K$573)+ABS('03_Sensibilidades'!$C$16)*IF('03_Sensibilidades'!$C$16&lt;0,100-$K$576,$K$576)+ABS('03_Sensibilidades'!$C$17)*IF('03_Sensibilidades'!$C$17&lt;0,100-$K$585,$K$585))/(ABS('03_Sensibilidades'!$C$14)+ABS('03_Sensibilidades'!$C$15)+ABS('03_Sensibilidades'!$C$16)+ABS('03_Sensibilidades'!$C$17))</x:f>
        <x:v>54.02815004068965</x:v>
      </x:c>
      <x:c r="F1423" s="5" t="n">
        <x:f>(1-'00_Arquitectura'!$B$95)*D1423+'00_Arquitectura'!$B$95*E1423</x:f>
        <x:v>54.0489802742069</x:v>
      </x:c>
      <x:c r="G1423" s="5" t="n">
        <x:f>'02_Actores'!$I$8</x:f>
        <x:v>45</x:v>
      </x:c>
      <x:c r="H1423" s="5" t="n">
        <x:f>IF(OR(AND(F1423&lt;'00_Arquitectura'!$B$118,G1423&lt;'00_Arquitectura'!$B$119),F1423&lt;'00_Arquitectura'!$B$120),1,0)</x:f>
        <x:v>0</x:v>
      </x:c>
      <x:c r="I1423" s="5" t="n">
        <x:f>IF($I$1405=1,IF(OR(AND(F1423&lt;'00_Arquitectura'!$B$121,G1423&lt;'00_Arquitectura'!$B$122),F1423&lt;'00_Arquitectura'!$B$123),1,0),IF(AND(H1423=1,$H$1405=1),1,0))</x:f>
        <x:v>0</x:v>
      </x:c>
      <x:c r="J1423" s="5" t="n">
        <x:f>-I1423*2*'02_Actores'!$E$8/10</x:f>
        <x:v>0</x:v>
      </x:c>
      <x:c r="K1423" s="5" t="n">
        <x:f>$K$1421</x:f>
        <x:v>48.94260772089814</x:v>
      </x:c>
      <x:c r="L1423" s="5" t="str">
        <x:v>J programa offset para t+1; efecto sustituible y acotado, sin voto adicional.</x:v>
      </x:c>
    </x:row>
    <x:row r="1424" ht="34" customHeight="1">
      <x:c r="A1424" s="10" t="str">
        <x:v>S4_PRESTAMO</x:v>
      </x:c>
      <x:c r="B1424" s="10" t="n">
        <x:v>7</x:v>
      </x:c>
      <x:c r="C1424" s="10" t="str">
        <x:v>sindicatos</x:v>
      </x:c>
      <x:c r="D1424" s="10" t="n">
        <x:f>$F$1406</x:f>
        <x:v>48.16738878275862</x:v>
      </x:c>
      <x:c r="E1424" s="10" t="n">
        <x:f>(ABS('03_Sensibilidades'!$C$18)*IF('03_Sensibilidades'!$C$18&lt;0,100-$K$575,$K$575)+ABS('03_Sensibilidades'!$C$19)*IF('03_Sensibilidades'!$C$19&lt;0,100-$K$574,$K$574)+ABS('03_Sensibilidades'!$C$20)*IF('03_Sensibilidades'!$C$20&lt;0,100-$K$582,$K$582)+ABS('03_Sensibilidades'!$C$21)*IF('03_Sensibilidades'!$C$21&lt;0,100-$K$585,$K$585))/(ABS('03_Sensibilidades'!$C$18)+ABS('03_Sensibilidades'!$C$19)+ABS('03_Sensibilidades'!$C$20)+ABS('03_Sensibilidades'!$C$21))</x:f>
        <x:v>48.187944632275865</x:v>
      </x:c>
      <x:c r="F1424" s="10" t="n">
        <x:f>(1-'00_Arquitectura'!$B$95)*D1424+'00_Arquitectura'!$B$95*E1424</x:f>
        <x:v>48.17458333008966</x:v>
      </x:c>
      <x:c r="G1424" s="10" t="n">
        <x:f>'02_Actores'!$I$9</x:f>
        <x:v>45</x:v>
      </x:c>
      <x:c r="H1424" s="10" t="n">
        <x:f>IF(OR(AND(F1424&lt;'00_Arquitectura'!$B$118,G1424&lt;'00_Arquitectura'!$B$119),F1424&lt;'00_Arquitectura'!$B$120),1,0)</x:f>
        <x:v>0</x:v>
      </x:c>
      <x:c r="I1424" s="10" t="n">
        <x:f>IF($I$1406=1,IF(OR(AND(F1424&lt;'00_Arquitectura'!$B$121,G1424&lt;'00_Arquitectura'!$B$122),F1424&lt;'00_Arquitectura'!$B$123),1,0),IF(AND(H1424=1,$H$1406=1),1,0))</x:f>
        <x:v>0</x:v>
      </x:c>
      <x:c r="J1424" s="10" t="n">
        <x:f>-I1424*2*'02_Actores'!$E$9/10</x:f>
        <x:v>0</x:v>
      </x:c>
      <x:c r="K1424" s="10" t="n">
        <x:f>$K$1421</x:f>
        <x:v>48.94260772089814</x:v>
      </x:c>
      <x:c r="L1424" s="10" t="str">
        <x:v>J programa offset para t+1; efecto sustituible y acotado, sin voto adicional.</x:v>
      </x:c>
    </x:row>
    <x:row r="1425" ht="34" customHeight="1">
      <x:c r="A1425" s="5" t="str">
        <x:v>S4_PRESTAMO</x:v>
      </x:c>
      <x:c r="B1425" s="5" t="n">
        <x:v>7</x:v>
      </x:c>
      <x:c r="C1425" s="5" t="str">
        <x:v>pymes</x:v>
      </x:c>
      <x:c r="D1425" s="5" t="n">
        <x:f>$F$1407</x:f>
        <x:v>49.0634425862069</x:v>
      </x:c>
      <x:c r="E1425" s="5" t="n">
        <x:f>(ABS('03_Sensibilidades'!$C$22)*IF('03_Sensibilidades'!$C$22&lt;0,100-$K$576,$K$576)+ABS('03_Sensibilidades'!$C$23)*IF('03_Sensibilidades'!$C$23&lt;0,100-$K$574,$K$574)+ABS('03_Sensibilidades'!$C$24)*IF('03_Sensibilidades'!$C$24&lt;0,100-$K$579,$K$579)+ABS('03_Sensibilidades'!$C$25)*IF('03_Sensibilidades'!$C$25&lt;0,100-$K$573,$K$573))/(ABS('03_Sensibilidades'!$C$22)+ABS('03_Sensibilidades'!$C$23)+ABS('03_Sensibilidades'!$C$24)+ABS('03_Sensibilidades'!$C$25))</x:f>
        <x:v>49.01750419779311</x:v>
      </x:c>
      <x:c r="F1425" s="5" t="n">
        <x:f>(1-'00_Arquitectura'!$B$95)*D1425+'00_Arquitectura'!$B$95*E1425</x:f>
        <x:v>49.04736415026207</x:v>
      </x:c>
      <x:c r="G1425" s="5" t="n">
        <x:f>'02_Actores'!$I$10</x:f>
        <x:v>45</x:v>
      </x:c>
      <x:c r="H1425" s="5" t="n">
        <x:f>IF(OR(AND(F1425&lt;'00_Arquitectura'!$B$118,G1425&lt;'00_Arquitectura'!$B$119),F1425&lt;'00_Arquitectura'!$B$120),1,0)</x:f>
        <x:v>0</x:v>
      </x:c>
      <x:c r="I1425" s="5" t="n">
        <x:f>IF($I$1407=1,IF(OR(AND(F1425&lt;'00_Arquitectura'!$B$121,G1425&lt;'00_Arquitectura'!$B$122),F1425&lt;'00_Arquitectura'!$B$123),1,0),IF(AND(H1425=1,$H$1407=1),1,0))</x:f>
        <x:v>0</x:v>
      </x:c>
      <x:c r="J1425" s="5" t="n">
        <x:f>-I1425*2*'02_Actores'!$E$10/10</x:f>
        <x:v>0</x:v>
      </x:c>
      <x:c r="K1425" s="5" t="n">
        <x:f>$K$1421</x:f>
        <x:v>48.94260772089814</x:v>
      </x:c>
      <x:c r="L1425" s="5" t="str">
        <x:v>J programa offset para t+1; efecto sustituible y acotado, sin voto adicional.</x:v>
      </x:c>
    </x:row>
    <x:row r="1426" ht="34" customHeight="1">
      <x:c r="A1426" s="10" t="str">
        <x:v>S4_PRESTAMO</x:v>
      </x:c>
      <x:c r="B1426" s="10" t="n">
        <x:v>7</x:v>
      </x:c>
      <x:c r="C1426" s="10" t="str">
        <x:v>clase_media</x:v>
      </x:c>
      <x:c r="D1426" s="10" t="n">
        <x:f>$F$1408</x:f>
        <x:v>48.33265511111111</x:v>
      </x:c>
      <x:c r="E1426" s="10" t="n">
        <x:f>(ABS('03_Sensibilidades'!$C$26)*IF('03_Sensibilidades'!$C$26&lt;0,100-$K$575,$K$575)+ABS('03_Sensibilidades'!$C$27)*IF('03_Sensibilidades'!$C$27&lt;0,100-$K$583,$K$583)+ABS('03_Sensibilidades'!$C$28)*IF('03_Sensibilidades'!$C$28&lt;0,100-$K$580,$K$580)+ABS('03_Sensibilidades'!$C$29)*IF('03_Sensibilidades'!$C$29&lt;0,100-$K$573,$K$573))/(ABS('03_Sensibilidades'!$C$26)+ABS('03_Sensibilidades'!$C$27)+ABS('03_Sensibilidades'!$C$28)+ABS('03_Sensibilidades'!$C$29))</x:f>
        <x:v>48.33108000000001</x:v>
      </x:c>
      <x:c r="F1426" s="10" t="n">
        <x:f>(1-'00_Arquitectura'!$B$95)*D1426+'00_Arquitectura'!$B$95*E1426</x:f>
        <x:v>48.33210382222222</x:v>
      </x:c>
      <x:c r="G1426" s="10" t="n">
        <x:f>'02_Actores'!$I$11</x:f>
        <x:v>45</x:v>
      </x:c>
      <x:c r="H1426" s="10" t="n">
        <x:f>IF(OR(AND(F1426&lt;'00_Arquitectura'!$B$118,G1426&lt;'00_Arquitectura'!$B$119),F1426&lt;'00_Arquitectura'!$B$120),1,0)</x:f>
        <x:v>0</x:v>
      </x:c>
      <x:c r="I1426" s="10" t="n">
        <x:f>IF($I$1408=1,IF(OR(AND(F1426&lt;'00_Arquitectura'!$B$121,G1426&lt;'00_Arquitectura'!$B$122),F1426&lt;'00_Arquitectura'!$B$123),1,0),IF(AND(H1426=1,$H$1408=1),1,0))</x:f>
        <x:v>0</x:v>
      </x:c>
      <x:c r="J1426" s="10" t="n">
        <x:f>0</x:f>
        <x:v>0</x:v>
      </x:c>
      <x:c r="K1426" s="10" t="n">
        <x:f>$K$1421</x:f>
        <x:v>48.94260772089814</x:v>
      </x:c>
      <x:c r="L1426" s="10" t="str">
        <x:v>Canal directo sólo al índice social; sin bono de popularidad.</x:v>
      </x:c>
    </x:row>
    <x:row r="1427" ht="34" customHeight="1">
      <x:c r="A1427" s="5" t="str">
        <x:v>S4_PRESTAMO</x:v>
      </x:c>
      <x:c r="B1427" s="5" t="n">
        <x:v>7</x:v>
      </x:c>
      <x:c r="C1427" s="5" t="str">
        <x:v>cooperativas</x:v>
      </x:c>
      <x:c r="D1427" s="5" t="n">
        <x:f>$F$1409</x:f>
        <x:v>47.98311704296296</x:v>
      </x:c>
      <x:c r="E1427" s="5" t="n">
        <x:f>(ABS('03_Sensibilidades'!$C$30)*IF('03_Sensibilidades'!$C$30&lt;0,100-$K$576,$K$576)+ABS('03_Sensibilidades'!$C$31)*IF('03_Sensibilidades'!$C$31&lt;0,100-$K$574,$K$574)+ABS('03_Sensibilidades'!$C$32)*IF('03_Sensibilidades'!$C$32&lt;0,100-$K$582,$K$582)+ABS('03_Sensibilidades'!$C$33)*IF('03_Sensibilidades'!$C$33&lt;0,100-$K$585,$K$585))/(ABS('03_Sensibilidades'!$C$30)+ABS('03_Sensibilidades'!$C$31)+ABS('03_Sensibilidades'!$C$32)+ABS('03_Sensibilidades'!$C$33))</x:f>
        <x:v>47.98212296696296</x:v>
      </x:c>
      <x:c r="F1427" s="5" t="n">
        <x:f>(1-'00_Arquitectura'!$B$95)*D1427+'00_Arquitectura'!$B$95*E1427</x:f>
        <x:v>47.98276911636296</x:v>
      </x:c>
      <x:c r="G1427" s="5" t="n">
        <x:f>'02_Actores'!$I$12</x:f>
        <x:v>45</x:v>
      </x:c>
      <x:c r="H1427" s="5" t="n">
        <x:f>IF(OR(AND(F1427&lt;'00_Arquitectura'!$B$118,G1427&lt;'00_Arquitectura'!$B$119),F1427&lt;'00_Arquitectura'!$B$120),1,0)</x:f>
        <x:v>0</x:v>
      </x:c>
      <x:c r="I1427" s="5" t="n">
        <x:f>IF($I$1409=1,IF(OR(AND(F1427&lt;'00_Arquitectura'!$B$121,G1427&lt;'00_Arquitectura'!$B$122),F1427&lt;'00_Arquitectura'!$B$123),1,0),IF(AND(H1427=1,$H$1409=1),1,0))</x:f>
        <x:v>0</x:v>
      </x:c>
      <x:c r="J1427" s="5" t="n">
        <x:f>-I1427*1.5*'02_Actores'!$E$12/10</x:f>
        <x:v>0</x:v>
      </x:c>
      <x:c r="K1427" s="5" t="n">
        <x:f>$K$1421</x:f>
        <x:v>48.94260772089814</x:v>
      </x:c>
      <x:c r="L1427" s="5" t="str">
        <x:v>J programa offset para t+1; efecto sustituible y acotado, sin voto adicional.</x:v>
      </x:c>
    </x:row>
    <x:row r="1428" ht="42" customHeight="1">
      <x:c r="A1428" s="10" t="str">
        <x:v>S4_PRESTAMO</x:v>
      </x:c>
      <x:c r="B1428" s="10" t="n">
        <x:v>7</x:v>
      </x:c>
      <x:c r="C1428" s="10" t="str">
        <x:v>estudiantes</x:v>
      </x:c>
      <x:c r="D1428" s="10" t="n">
        <x:f>$F$1410</x:f>
        <x:v>49.694657485</x:v>
      </x:c>
      <x:c r="E1428" s="10" t="n">
        <x:f>(ABS('03_Sensibilidades'!$C$34)*IF('03_Sensibilidades'!$C$34&lt;0,100-$K$580,$K$580)+ABS('03_Sensibilidades'!$C$35)*IF('03_Sensibilidades'!$C$35&lt;0,100-$K$575,$K$575)+ABS('03_Sensibilidades'!$C$36)*IF('03_Sensibilidades'!$C$36&lt;0,100-$K$585,$K$585)+ABS('03_Sensibilidades'!$C$37)*IF('03_Sensibilidades'!$C$37&lt;0,100-$K$584,$K$584))/(ABS('03_Sensibilidades'!$C$34)+ABS('03_Sensibilidades'!$C$35)+ABS('03_Sensibilidades'!$C$36)+ABS('03_Sensibilidades'!$C$37))</x:f>
        <x:v>49.758783199999996</x:v>
      </x:c>
      <x:c r="F1428" s="10" t="n">
        <x:f>(1-'00_Arquitectura'!$B$95)*D1428+'00_Arquitectura'!$B$95*E1428</x:f>
        <x:v>49.71710148525</x:v>
      </x:c>
      <x:c r="G1428" s="10" t="n">
        <x:f>'02_Actores'!$I$13</x:f>
        <x:v>45</x:v>
      </x:c>
      <x:c r="H1428" s="10" t="n">
        <x:f>IF(OR(AND(F1428&lt;'00_Arquitectura'!$B$118,G1428&lt;'00_Arquitectura'!$B$119),F1428&lt;'00_Arquitectura'!$B$120),1,0)</x:f>
        <x:v>0</x:v>
      </x:c>
      <x:c r="I1428" s="10" t="n">
        <x:f>IF($I$1410=1,IF(OR(AND(F1428&lt;'00_Arquitectura'!$B$121,G1428&lt;'00_Arquitectura'!$B$122),F1428&lt;'00_Arquitectura'!$B$123),1,0),IF(AND(H1428=1,$H$1410=1),1,0))</x:f>
        <x:v>0</x:v>
      </x:c>
      <x:c r="J1428" s="10" t="n">
        <x:f>0</x:f>
        <x:v>0</x:v>
      </x:c>
      <x:c r="K1428" s="10" t="n">
        <x:f>$K$1421</x:f>
        <x:v>48.94260772089814</x:v>
      </x:c>
      <x:c r="L1428" s="10" t="str">
        <x:v>Conflicto activo captura menor eficacia en políticas ejecutadas en t+1. Magnitud0 en J: no es un offset directo de indicador.</x:v>
      </x:c>
    </x:row>
    <x:row r="1429" ht="34" customHeight="1">
      <x:c r="A1429" s="5" t="str">
        <x:v>S4_PRESTAMO</x:v>
      </x:c>
      <x:c r="B1429" s="5" t="n">
        <x:v>7</x:v>
      </x:c>
      <x:c r="C1429" s="5" t="str">
        <x:v>docentes</x:v>
      </x:c>
      <x:c r="D1429" s="5" t="n">
        <x:f>$F$1411</x:f>
        <x:v>49.21979507391305</x:v>
      </x:c>
      <x:c r="E1429" s="5" t="n">
        <x:f>(ABS('03_Sensibilidades'!$C$38)*IF('03_Sensibilidades'!$C$38&lt;0,100-$K$580,$K$580)+ABS('03_Sensibilidades'!$C$39)*IF('03_Sensibilidades'!$C$39&lt;0,100-$K$575,$K$575)+ABS('03_Sensibilidades'!$C$40)*IF('03_Sensibilidades'!$C$40&lt;0,100-$K$585,$K$585))/(ABS('03_Sensibilidades'!$C$38)+ABS('03_Sensibilidades'!$C$39)+ABS('03_Sensibilidades'!$C$40))</x:f>
        <x:v>49.25848886956522</x:v>
      </x:c>
      <x:c r="F1429" s="5" t="n">
        <x:f>(1-'00_Arquitectura'!$B$95)*D1429+'00_Arquitectura'!$B$95*E1429</x:f>
        <x:v>49.23333790239131</x:v>
      </x:c>
      <x:c r="G1429" s="5" t="n">
        <x:f>'02_Actores'!$I$14</x:f>
        <x:v>45</x:v>
      </x:c>
      <x:c r="H1429" s="5" t="n">
        <x:f>IF(OR(AND(F1429&lt;'00_Arquitectura'!$B$118,G1429&lt;'00_Arquitectura'!$B$119),F1429&lt;'00_Arquitectura'!$B$120),1,0)</x:f>
        <x:v>0</x:v>
      </x:c>
      <x:c r="I1429" s="5" t="n">
        <x:f>IF($I$1411=1,IF(OR(AND(F1429&lt;'00_Arquitectura'!$B$121,G1429&lt;'00_Arquitectura'!$B$122),F1429&lt;'00_Arquitectura'!$B$123),1,0),IF(AND(H1429=1,$H$1411=1),1,0))</x:f>
        <x:v>0</x:v>
      </x:c>
      <x:c r="J1429" s="5" t="n">
        <x:f>-I1429*1.5*'02_Actores'!$E$14/10</x:f>
        <x:v>0</x:v>
      </x:c>
      <x:c r="K1429" s="5" t="n">
        <x:f>$K$1421</x:f>
        <x:v>48.94260772089814</x:v>
      </x:c>
      <x:c r="L1429" s="5" t="str">
        <x:v>J programa offset para t+1; efecto sustituible y acotado, sin voto adicional.</x:v>
      </x:c>
    </x:row>
    <x:row r="1430" ht="34" customHeight="1">
      <x:c r="A1430" s="10" t="str">
        <x:v>S4_PRESTAMO</x:v>
      </x:c>
      <x:c r="B1430" s="10" t="n">
        <x:v>7</x:v>
      </x:c>
      <x:c r="C1430" s="10" t="str">
        <x:v>cientificos</x:v>
      </x:c>
      <x:c r="D1430" s="10" t="n">
        <x:f>$F$1412</x:f>
        <x:v>46.9927140625</x:v>
      </x:c>
      <x:c r="E1430" s="10" t="n">
        <x:f>(ABS('03_Sensibilidades'!$C$41)*IF('03_Sensibilidades'!$C$41&lt;0,100-$K$584,$K$584)+ABS('03_Sensibilidades'!$C$42)*IF('03_Sensibilidades'!$C$42&lt;0,100-$K$580,$K$580)+ABS('03_Sensibilidades'!$C$43)*IF('03_Sensibilidades'!$C$43&lt;0,100-$K$585,$K$585))/(ABS('03_Sensibilidades'!$C$41)+ABS('03_Sensibilidades'!$C$42)+ABS('03_Sensibilidades'!$C$43))</x:f>
        <x:v>47.04545454545455</x:v>
      </x:c>
      <x:c r="F1430" s="10" t="n">
        <x:f>(1-'00_Arquitectura'!$B$95)*D1430+'00_Arquitectura'!$B$95*E1430</x:f>
        <x:v>47.01117323153409</x:v>
      </x:c>
      <x:c r="G1430" s="10" t="n">
        <x:f>'02_Actores'!$I$15</x:f>
        <x:v>45</x:v>
      </x:c>
      <x:c r="H1430" s="10" t="n">
        <x:f>IF(OR(AND(F1430&lt;'00_Arquitectura'!$B$118,G1430&lt;'00_Arquitectura'!$B$119),F1430&lt;'00_Arquitectura'!$B$120),1,0)</x:f>
        <x:v>0</x:v>
      </x:c>
      <x:c r="I1430" s="10" t="n">
        <x:f>IF($I$1412=1,IF(OR(AND(F1430&lt;'00_Arquitectura'!$B$121,G1430&lt;'00_Arquitectura'!$B$122),F1430&lt;'00_Arquitectura'!$B$123),1,0),IF(AND(H1430=1,$H$1412=1),1,0))</x:f>
        <x:v>0</x:v>
      </x:c>
      <x:c r="J1430" s="10" t="n">
        <x:f>-I1430*1.5*'02_Actores'!$E$15/10</x:f>
        <x:v>0</x:v>
      </x:c>
      <x:c r="K1430" s="10" t="n">
        <x:f>$K$1421</x:f>
        <x:v>48.94260772089814</x:v>
      </x:c>
      <x:c r="L1430" s="10" t="str">
        <x:v>J programa offset para t+1; efecto sustituible y acotado, sin voto adicional.</x:v>
      </x:c>
    </x:row>
    <x:row r="1431" ht="34" customHeight="1">
      <x:c r="A1431" s="5" t="str">
        <x:v>S4_PRESTAMO</x:v>
      </x:c>
      <x:c r="B1431" s="5" t="n">
        <x:v>7</x:v>
      </x:c>
      <x:c r="C1431" s="5" t="str">
        <x:v>organizaciones</x:v>
      </x:c>
      <x:c r="D1431" s="5" t="n">
        <x:f>$F$1413</x:f>
        <x:v>49.41810436339286</x:v>
      </x:c>
      <x:c r="E1431" s="5" t="n">
        <x:f>(ABS('03_Sensibilidades'!$C$44)*IF('03_Sensibilidades'!$C$44&lt;0,100-$K$582,$K$582)+ABS('03_Sensibilidades'!$C$45)*IF('03_Sensibilidades'!$C$45&lt;0,100-$K$581,$K$581)+ABS('03_Sensibilidades'!$C$46)*IF('03_Sensibilidades'!$C$46&lt;0,100-$K$574,$K$574)+ABS('03_Sensibilidades'!$C$47)*IF('03_Sensibilidades'!$C$47&lt;0,100-$K$585,$K$585))/(ABS('03_Sensibilidades'!$C$44)+ABS('03_Sensibilidades'!$C$45)+ABS('03_Sensibilidades'!$C$46)+ABS('03_Sensibilidades'!$C$47))</x:f>
        <x:v>49.45264843657143</x:v>
      </x:c>
      <x:c r="F1431" s="5" t="n">
        <x:f>(1-'00_Arquitectura'!$B$95)*D1431+'00_Arquitectura'!$B$95*E1431</x:f>
        <x:v>49.430194789005355</x:v>
      </x:c>
      <x:c r="G1431" s="5" t="n">
        <x:f>'02_Actores'!$I$16</x:f>
        <x:v>45</x:v>
      </x:c>
      <x:c r="H1431" s="5" t="n">
        <x:f>IF(OR(AND(F1431&lt;'00_Arquitectura'!$B$118,G1431&lt;'00_Arquitectura'!$B$119),F1431&lt;'00_Arquitectura'!$B$120),1,0)</x:f>
        <x:v>0</x:v>
      </x:c>
      <x:c r="I1431" s="5" t="n">
        <x:f>IF($I$1413=1,IF(OR(AND(F1431&lt;'00_Arquitectura'!$B$121,G1431&lt;'00_Arquitectura'!$B$122),F1431&lt;'00_Arquitectura'!$B$123),1,0),IF(AND(H1431=1,$H$1413=1),1,0))</x:f>
        <x:v>0</x:v>
      </x:c>
      <x:c r="J1431" s="5" t="n">
        <x:f>-I1431*1.5*'02_Actores'!$E$16/10</x:f>
        <x:v>0</x:v>
      </x:c>
      <x:c r="K1431" s="5" t="n">
        <x:f>$K$1421</x:f>
        <x:v>48.94260772089814</x:v>
      </x:c>
      <x:c r="L1431" s="5" t="str">
        <x:v>J programa offset para t+1; efecto sustituible y acotado, sin voto adicional.</x:v>
      </x:c>
    </x:row>
    <x:row r="1432" ht="42" customHeight="1">
      <x:c r="A1432" s="10" t="str">
        <x:v>S4_PRESTAMO</x:v>
      </x:c>
      <x:c r="B1432" s="10" t="n">
        <x:v>7</x:v>
      </x:c>
      <x:c r="C1432" s="10" t="str">
        <x:v>ddhh</x:v>
      </x:c>
      <x:c r="D1432" s="10" t="n">
        <x:f>$F$1414</x:f>
        <x:v>51.922318749999995</x:v>
      </x:c>
      <x:c r="E1432" s="10" t="n">
        <x:f>(ABS('03_Sensibilidades'!$C$48)*IF('03_Sensibilidades'!$C$48&lt;0,100-$K$585,$K$585)+ABS('03_Sensibilidades'!$C$49)*IF('03_Sensibilidades'!$C$49&lt;0,100-$K$583,$K$583)+ABS('03_Sensibilidades'!$C$50)*IF('03_Sensibilidades'!$C$50&lt;0,100-$K$582,$K$582))/(ABS('03_Sensibilidades'!$C$48)+ABS('03_Sensibilidades'!$C$49)+ABS('03_Sensibilidades'!$C$50))</x:f>
        <x:v>52.05882352941177</x:v>
      </x:c>
      <x:c r="F1432" s="10" t="n">
        <x:f>(1-'00_Arquitectura'!$B$95)*D1432+'00_Arquitectura'!$B$95*E1432</x:f>
        <x:v>51.97009542279412</x:v>
      </x:c>
      <x:c r="G1432" s="10" t="n">
        <x:f>'02_Actores'!$I$17</x:f>
        <x:v>45</x:v>
      </x:c>
      <x:c r="H1432" s="10" t="n">
        <x:f>IF(OR(AND(F1432&lt;'00_Arquitectura'!$B$118,G1432&lt;'00_Arquitectura'!$B$119),F1432&lt;'00_Arquitectura'!$B$120),1,0)</x:f>
        <x:v>0</x:v>
      </x:c>
      <x:c r="I1432" s="10" t="n">
        <x:f>IF($I$1414=1,IF(OR(AND(F1432&lt;'00_Arquitectura'!$B$121,G1432&lt;'00_Arquitectura'!$B$122),F1432&lt;'00_Arquitectura'!$B$123),1,0),IF(AND(H1432=1,$H$1414=1),1,0))</x:f>
        <x:v>0</x:v>
      </x:c>
      <x:c r="J1432" s="10" t="n">
        <x:f>0</x:f>
        <x:v>0</x:v>
      </x:c>
      <x:c r="K1432" s="10" t="n">
        <x:f>$K$1421</x:f>
        <x:v>48.94260772089814</x:v>
      </x:c>
      <x:c r="L1432" s="10" t="str">
        <x:v>Conflicto activo captura menor eficacia en políticas ejecutadas en t+1. Magnitud0 en J: no es un offset directo de indicador.</x:v>
      </x:c>
    </x:row>
    <x:row r="1433" ht="42" customHeight="1">
      <x:c r="A1433" s="5" t="str">
        <x:v>S4_PRESTAMO</x:v>
      </x:c>
      <x:c r="B1433" s="5" t="n">
        <x:v>7</x:v>
      </x:c>
      <x:c r="C1433" s="5" t="str">
        <x:v>ambientalistas</x:v>
      </x:c>
      <x:c r="D1433" s="5" t="n">
        <x:f>$F$1415</x:f>
        <x:v>51.87998385416667</x:v>
      </x:c>
      <x:c r="E1433" s="5" t="n">
        <x:f>(ABS('03_Sensibilidades'!$C$51)*IF('03_Sensibilidades'!$C$51&lt;0,100-$K$586,$K$586)+ABS('03_Sensibilidades'!$C$52)*IF('03_Sensibilidades'!$C$52&lt;0,100-$K$585,$K$585)+ABS('03_Sensibilidades'!$C$53)*IF('03_Sensibilidades'!$C$53&lt;0,100-$K$581,$K$581))/(ABS('03_Sensibilidades'!$C$51)+ABS('03_Sensibilidades'!$C$52)+ABS('03_Sensibilidades'!$C$53))</x:f>
        <x:v>51.94444444444444</x:v>
      </x:c>
      <x:c r="F1433" s="5" t="n">
        <x:f>(1-'00_Arquitectura'!$B$95)*D1433+'00_Arquitectura'!$B$95*E1433</x:f>
        <x:v>51.902545060763885</x:v>
      </x:c>
      <x:c r="G1433" s="5" t="n">
        <x:f>'02_Actores'!$I$18</x:f>
        <x:v>45</x:v>
      </x:c>
      <x:c r="H1433" s="5" t="n">
        <x:f>IF(OR(AND(F1433&lt;'00_Arquitectura'!$B$118,G1433&lt;'00_Arquitectura'!$B$119),F1433&lt;'00_Arquitectura'!$B$120),1,0)</x:f>
        <x:v>0</x:v>
      </x:c>
      <x:c r="I1433" s="5" t="n">
        <x:f>IF($I$1415=1,IF(OR(AND(F1433&lt;'00_Arquitectura'!$B$121,G1433&lt;'00_Arquitectura'!$B$122),F1433&lt;'00_Arquitectura'!$B$123),1,0),IF(AND(H1433=1,$H$1415=1),1,0))</x:f>
        <x:v>0</x:v>
      </x:c>
      <x:c r="J1433" s="5" t="n">
        <x:f>0</x:f>
        <x:v>0</x:v>
      </x:c>
      <x:c r="K1433" s="5" t="n">
        <x:f>$K$1421</x:f>
        <x:v>48.94260772089814</x:v>
      </x:c>
      <x:c r="L1433" s="5" t="str">
        <x:v>Conflicto activo captura menor eficacia en políticas ejecutadas en t+1. Magnitud0 en J: no es un offset directo de indicador.</x:v>
      </x:c>
    </x:row>
    <x:row r="1434" ht="34" customHeight="1">
      <x:c r="A1434" s="10" t="str">
        <x:v>S4_PRESTAMO</x:v>
      </x:c>
      <x:c r="B1434" s="10" t="n">
        <x:v>7</x:v>
      </x:c>
      <x:c r="C1434" s="10" t="str">
        <x:v>cultura</x:v>
      </x:c>
      <x:c r="D1434" s="10" t="n">
        <x:f>$F$1416</x:f>
        <x:v>51.53338836842106</x:v>
      </x:c>
      <x:c r="E1434" s="10" t="n">
        <x:f>(ABS('03_Sensibilidades'!$C$54)*IF('03_Sensibilidades'!$C$54&lt;0,100-$K$585,$K$585)+ABS('03_Sensibilidades'!$C$55)*IF('03_Sensibilidades'!$C$55&lt;0,100-$K$580,$K$580)+ABS('03_Sensibilidades'!$C$56)*IF('03_Sensibilidades'!$C$56&lt;0,100-$K$575,$K$575))/(ABS('03_Sensibilidades'!$C$54)+ABS('03_Sensibilidades'!$C$55)+ABS('03_Sensibilidades'!$C$56))</x:f>
        <x:v>51.62997789473685</x:v>
      </x:c>
      <x:c r="F1434" s="10" t="n">
        <x:f>(1-'00_Arquitectura'!$B$95)*D1434+'00_Arquitectura'!$B$95*E1434</x:f>
        <x:v>51.56719470263158</x:v>
      </x:c>
      <x:c r="G1434" s="10" t="n">
        <x:f>'02_Actores'!$I$19</x:f>
        <x:v>45</x:v>
      </x:c>
      <x:c r="H1434" s="10" t="n">
        <x:f>IF(OR(AND(F1434&lt;'00_Arquitectura'!$B$118,G1434&lt;'00_Arquitectura'!$B$119),F1434&lt;'00_Arquitectura'!$B$120),1,0)</x:f>
        <x:v>0</x:v>
      </x:c>
      <x:c r="I1434" s="10" t="n">
        <x:f>IF($I$1416=1,IF(OR(AND(F1434&lt;'00_Arquitectura'!$B$121,G1434&lt;'00_Arquitectura'!$B$122),F1434&lt;'00_Arquitectura'!$B$123),1,0),IF(AND(H1434=1,$H$1416=1),1,0))</x:f>
        <x:v>0</x:v>
      </x:c>
      <x:c r="J1434" s="10" t="n">
        <x:f>0</x:f>
        <x:v>0</x:v>
      </x:c>
      <x:c r="K1434" s="10" t="n">
        <x:f>$K$1421</x:f>
        <x:v>48.94260772089814</x:v>
      </x:c>
      <x:c r="L1434" s="10" t="str">
        <x:v>Conflicto activo encarece agenda del turno siguiente; sin castigo electoral adicional.</x:v>
      </x:c>
    </x:row>
    <x:row r="1435" ht="34" customHeight="1">
      <x:c r="A1435" s="5" t="str">
        <x:v>S4_PRESTAMO</x:v>
      </x:c>
      <x:c r="B1435" s="5" t="n">
        <x:v>7</x:v>
      </x:c>
      <x:c r="C1435" s="5" t="str">
        <x:v>oficialismo</x:v>
      </x:c>
      <x:c r="D1435" s="5" t="n">
        <x:f>$F$1417</x:f>
        <x:v>51.746342982000016</x:v>
      </x:c>
      <x:c r="E1435" s="5" t="n">
        <x:f>(ABS('03_Sensibilidades'!$C$57)*IF('03_Sensibilidades'!$C$57&lt;0,100-$K$585,$K$585)+ABS('03_Sensibilidades'!$C$58)*IF('03_Sensibilidades'!$C$58&lt;0,100-$K$574,$K$574)+ABS('03_Sensibilidades'!$C$59)*IF('03_Sensibilidades'!$C$59&lt;0,100-$K$577,$K$577)+ABS('03_Sensibilidades'!$C$60)*IF('03_Sensibilidades'!$C$60&lt;0,100-$K$582,$K$582))/(ABS('03_Sensibilidades'!$C$57)+ABS('03_Sensibilidades'!$C$58)+ABS('03_Sensibilidades'!$C$59)+ABS('03_Sensibilidades'!$C$60))</x:f>
        <x:v>51.76467478528</x:v>
      </x:c>
      <x:c r="F1435" s="5" t="n">
        <x:f>(1-'00_Arquitectura'!$B$95)*D1435+'00_Arquitectura'!$B$95*E1435</x:f>
        <x:v>51.75275911314802</x:v>
      </x:c>
      <x:c r="G1435" s="5" t="n">
        <x:f>'02_Actores'!$I$20</x:f>
        <x:v>60</x:v>
      </x:c>
      <x:c r="H1435" s="5" t="n">
        <x:f>IF(OR(AND(F1435&lt;'00_Arquitectura'!$B$118,G1435&lt;'00_Arquitectura'!$B$119),F1435&lt;'00_Arquitectura'!$B$120),1,0)</x:f>
        <x:v>0</x:v>
      </x:c>
      <x:c r="I1435" s="5" t="n">
        <x:f>IF($I$1417=1,IF(OR(AND(F1435&lt;'00_Arquitectura'!$B$121,G1435&lt;'00_Arquitectura'!$B$122),F1435&lt;'00_Arquitectura'!$B$123),1,0),IF(AND(H1435=1,$H$1417=1),1,0))</x:f>
        <x:v>0</x:v>
      </x:c>
      <x:c r="J1435" s="5" t="n">
        <x:f>0</x:f>
        <x:v>0</x:v>
      </x:c>
      <x:c r="K1435" s="5" t="n">
        <x:f>$K$1421</x:f>
        <x:v>48.94260772089814</x:v>
      </x:c>
      <x:c r="L1435" s="5" t="str">
        <x:v>No aporta E_social; S y R alimentan disposición a leyes según07.</x:v>
      </x:c>
    </x:row>
    <x:row r="1436" ht="34" customHeight="1">
      <x:c r="A1436" s="10" t="str">
        <x:v>S4_PRESTAMO</x:v>
      </x:c>
      <x:c r="B1436" s="10" t="n">
        <x:v>7</x:v>
      </x:c>
      <x:c r="C1436" s="10" t="str">
        <x:v>aliados</x:v>
      </x:c>
      <x:c r="D1436" s="10" t="n">
        <x:f>$F$1418</x:f>
        <x:v>52.71791285952381</x:v>
      </x:c>
      <x:c r="E1436" s="10" t="n">
        <x:f>(ABS('03_Sensibilidades'!$C$61)*IF('03_Sensibilidades'!$C$61&lt;0,100-$K$585,$K$585)+ABS('03_Sensibilidades'!$C$62)*IF('03_Sensibilidades'!$C$62&lt;0,100-$K$577,$K$577)+ABS('03_Sensibilidades'!$C$63)*IF('03_Sensibilidades'!$C$63&lt;0,100-$K$579,$K$579))/(ABS('03_Sensibilidades'!$C$61)+ABS('03_Sensibilidades'!$C$62)+ABS('03_Sensibilidades'!$C$63))</x:f>
        <x:v>52.76872457142857</x:v>
      </x:c>
      <x:c r="F1436" s="10" t="n">
        <x:f>(1-'00_Arquitectura'!$B$95)*D1436+'00_Arquitectura'!$B$95*E1436</x:f>
        <x:v>52.73569695869047</x:v>
      </x:c>
      <x:c r="G1436" s="10" t="n">
        <x:f>'02_Actores'!$I$21</x:f>
        <x:v>45</x:v>
      </x:c>
      <x:c r="H1436" s="10" t="n">
        <x:f>IF(OR(AND(F1436&lt;'00_Arquitectura'!$B$118,G1436&lt;'00_Arquitectura'!$B$119),F1436&lt;'00_Arquitectura'!$B$120),1,0)</x:f>
        <x:v>0</x:v>
      </x:c>
      <x:c r="I1436" s="10" t="n">
        <x:f>IF($I$1418=1,IF(OR(AND(F1436&lt;'00_Arquitectura'!$B$121,G1436&lt;'00_Arquitectura'!$B$122),F1436&lt;'00_Arquitectura'!$B$123),1,0),IF(AND(H1436=1,$H$1418=1),1,0))</x:f>
        <x:v>0</x:v>
      </x:c>
      <x:c r="J1436" s="10" t="n">
        <x:f>0</x:f>
        <x:v>0</x:v>
      </x:c>
      <x:c r="K1436" s="10" t="n">
        <x:f>$K$1421</x:f>
        <x:v>48.94260772089814</x:v>
      </x:c>
      <x:c r="L1436" s="10" t="str">
        <x:v>No aporta E_social; S y R alimentan disposición a leyes según07.</x:v>
      </x:c>
    </x:row>
    <x:row r="1437" ht="34" customHeight="1">
      <x:c r="A1437" s="5" t="str">
        <x:v>S4_PRESTAMO</x:v>
      </x:c>
      <x:c r="B1437" s="5" t="n">
        <x:v>7</x:v>
      </x:c>
      <x:c r="C1437" s="5" t="str">
        <x:v>oposicion</x:v>
      </x:c>
      <x:c r="D1437" s="5" t="n">
        <x:f>$F$1419</x:f>
        <x:v>53.7953695825</x:v>
      </x:c>
      <x:c r="E1437" s="5" t="n">
        <x:f>(ABS('03_Sensibilidades'!$C$64)*IF('03_Sensibilidades'!$C$64&lt;0,100-$K$585,$K$585)+ABS('03_Sensibilidades'!$C$65)*IF('03_Sensibilidades'!$C$65&lt;0,100-$K$577,$K$577)+ABS('03_Sensibilidades'!$C$66)*IF('03_Sensibilidades'!$C$66&lt;0,100-$K$583,$K$583))/(ABS('03_Sensibilidades'!$C$64)+ABS('03_Sensibilidades'!$C$65)+ABS('03_Sensibilidades'!$C$66))</x:f>
        <x:v>53.8775664</x:v>
      </x:c>
      <x:c r="F1437" s="5" t="n">
        <x:f>(1-'00_Arquitectura'!$B$95)*D1437+'00_Arquitectura'!$B$95*E1437</x:f>
        <x:v>53.824138468624994</x:v>
      </x:c>
      <x:c r="G1437" s="5" t="n">
        <x:f>'02_Actores'!$I$22</x:f>
        <x:v>30</x:v>
      </x:c>
      <x:c r="H1437" s="5" t="n">
        <x:f>IF(OR(AND(F1437&lt;'00_Arquitectura'!$B$118,G1437&lt;'00_Arquitectura'!$B$119),F1437&lt;'00_Arquitectura'!$B$120),1,0)</x:f>
        <x:v>0</x:v>
      </x:c>
      <x:c r="I1437" s="5" t="n">
        <x:f>IF($I$1419=1,IF(OR(AND(F1437&lt;'00_Arquitectura'!$B$121,G1437&lt;'00_Arquitectura'!$B$122),F1437&lt;'00_Arquitectura'!$B$123),1,0),IF(AND(H1437=1,$H$1419=1),1,0))</x:f>
        <x:v>0</x:v>
      </x:c>
      <x:c r="J1437" s="5" t="n">
        <x:f>0</x:f>
        <x:v>0</x:v>
      </x:c>
      <x:c r="K1437" s="5" t="n">
        <x:f>$K$1421</x:f>
        <x:v>48.94260772089814</x:v>
      </x:c>
      <x:c r="L1437" s="5" t="str">
        <x:v>No aporta E_social; S y R alimentan disposición a leyes según07.</x:v>
      </x:c>
    </x:row>
    <x:row r="1438" ht="42" customHeight="1">
      <x:c r="A1438" s="10" t="str">
        <x:v>S4_PRESTAMO</x:v>
      </x:c>
      <x:c r="B1438" s="10" t="n">
        <x:v>7</x:v>
      </x:c>
      <x:c r="C1438" s="10" t="str">
        <x:v>gobernadores</x:v>
      </x:c>
      <x:c r="D1438" s="10" t="n">
        <x:f>$F$1420</x:f>
        <x:v>49.42165423793104</x:v>
      </x:c>
      <x:c r="E1438" s="10" t="n">
        <x:f>(ABS('03_Sensibilidades'!$C$67)*IF('03_Sensibilidades'!$C$67&lt;0,100-$K$579,$K$579)+ABS('03_Sensibilidades'!$C$68)*IF('03_Sensibilidades'!$C$68&lt;0,100-$K$581,$K$581)+ABS('03_Sensibilidades'!$C$69)*IF('03_Sensibilidades'!$C$69&lt;0,100-$K$580,$K$580)+ABS('03_Sensibilidades'!$C$70)*IF('03_Sensibilidades'!$C$70&lt;0,100-$K$577,$K$577))/(ABS('03_Sensibilidades'!$C$67)+ABS('03_Sensibilidades'!$C$68)+ABS('03_Sensibilidades'!$C$69)+ABS('03_Sensibilidades'!$C$70))</x:f>
        <x:v>49.39832165517242</x:v>
      </x:c>
      <x:c r="F1438" s="10" t="n">
        <x:f>(1-'00_Arquitectura'!$B$95)*D1438+'00_Arquitectura'!$B$95*E1438</x:f>
        <x:v>49.41348783396552</x:v>
      </x:c>
      <x:c r="G1438" s="10" t="n">
        <x:f>'02_Actores'!$I$23</x:f>
        <x:v>45</x:v>
      </x:c>
      <x:c r="H1438" s="10" t="n">
        <x:f>IF(OR(AND(F1438&lt;'00_Arquitectura'!$B$118,G1438&lt;'00_Arquitectura'!$B$119),F1438&lt;'00_Arquitectura'!$B$120),1,0)</x:f>
        <x:v>0</x:v>
      </x:c>
      <x:c r="I1438" s="10" t="n">
        <x:f>IF($I$1420=1,IF(OR(AND(F1438&lt;'00_Arquitectura'!$B$121,G1438&lt;'00_Arquitectura'!$B$122),F1438&lt;'00_Arquitectura'!$B$123),1,0),IF(AND(H1438=1,$H$1420=1),1,0))</x:f>
        <x:v>0</x:v>
      </x:c>
      <x:c r="J1438" s="10" t="n">
        <x:f>0</x:f>
        <x:v>0</x:v>
      </x:c>
      <x:c r="K1438" s="10" t="n">
        <x:f>$K$1421</x:f>
        <x:v>48.94260772089814</x:v>
      </x:c>
      <x:c r="L1438" s="10" t="str">
        <x:v>Conflicto activo captura menor eficacia en políticas ejecutadas en t+1. Magnitud0 en J: no es un offset directo de indicador.</x:v>
      </x:c>
    </x:row>
    <x:row r="1439" ht="34" customHeight="1">
      <x:c r="A1439" s="5" t="str">
        <x:v>S4_PRESTAMO</x:v>
      </x:c>
      <x:c r="B1439" s="5" t="n">
        <x:v>8</x:v>
      </x:c>
      <x:c r="C1439" s="5" t="str">
        <x:v>industria</x:v>
      </x:c>
      <x:c r="D1439" s="5" t="n">
        <x:f>$F$1421</x:f>
        <x:v>46.40267163034074</x:v>
      </x:c>
      <x:c r="E1439" s="5" t="n">
        <x:f>(ABS('03_Sensibilidades'!$C$6)*IF('03_Sensibilidades'!$C$6&lt;0,100-$K$590,$K$590)+ABS('03_Sensibilidades'!$C$7)*IF('03_Sensibilidades'!$C$7&lt;0,100-$K$588,$K$588)+ABS('03_Sensibilidades'!$C$8)*IF('03_Sensibilidades'!$C$8&lt;0,100-$K$593,$K$593)+ABS('03_Sensibilidades'!$C$9)*IF('03_Sensibilidades'!$C$9&lt;0,100-$K$592,$K$592))/(ABS('03_Sensibilidades'!$C$6)+ABS('03_Sensibilidades'!$C$7)+ABS('03_Sensibilidades'!$C$8)+ABS('03_Sensibilidades'!$C$9))</x:f>
        <x:v>46.36564620782222</x:v>
      </x:c>
      <x:c r="F1439" s="5" t="n">
        <x:f>(1-'00_Arquitectura'!$B$95)*D1439+'00_Arquitectura'!$B$95*E1439</x:f>
        <x:v>46.38971273245926</x:v>
      </x:c>
      <x:c r="G1439" s="5" t="n">
        <x:f>'02_Actores'!$I$6</x:f>
        <x:v>45</x:v>
      </x:c>
      <x:c r="H1439" s="5" t="n">
        <x:f>IF(OR(AND(F1439&lt;'00_Arquitectura'!$B$118,G1439&lt;'00_Arquitectura'!$B$119),F1439&lt;'00_Arquitectura'!$B$120),1,0)</x:f>
        <x:v>0</x:v>
      </x:c>
      <x:c r="I1439" s="5" t="n">
        <x:f>IF($I$1421=1,IF(OR(AND(F1439&lt;'00_Arquitectura'!$B$121,G1439&lt;'00_Arquitectura'!$B$122),F1439&lt;'00_Arquitectura'!$B$123),1,0),IF(AND(H1439=1,$H$1421=1),1,0))</x:f>
        <x:v>0</x:v>
      </x:c>
      <x:c r="J1439" s="5" t="n">
        <x:f>-I1439*2*'02_Actores'!$E$6/10</x:f>
        <x:v>0</x:v>
      </x:c>
      <x:c r="K1439" s="5" t="n">
        <x:f>($F$1439*'02_Actores'!$F$6+$F$1440*'02_Actores'!$F$7+$F$1441*'02_Actores'!$F$8+$F$1442*'02_Actores'!$F$9+$F$1443*'02_Actores'!$F$10+$F$1444*'02_Actores'!$F$11+$F$1445*'02_Actores'!$F$12+$F$1446*'02_Actores'!$F$13+$F$1447*'02_Actores'!$F$14+$F$1448*'02_Actores'!$F$15+$F$1449*'02_Actores'!$F$16+$F$1450*'02_Actores'!$F$17+$F$1451*'02_Actores'!$F$18+$F$1452*'02_Actores'!$F$19)/('02_Actores'!$F$6+'02_Actores'!$F$7+'02_Actores'!$F$8+'02_Actores'!$F$9+'02_Actores'!$F$10+'02_Actores'!$F$11+'02_Actores'!$F$12+'02_Actores'!$F$13+'02_Actores'!$F$14+'02_Actores'!$F$15+'02_Actores'!$F$16+'02_Actores'!$F$17+'02_Actores'!$F$18+'02_Actores'!$F$19)</x:f>
        <x:v>48.94491406363693</x:v>
      </x:c>
      <x:c r="L1439" s="5" t="str">
        <x:v>J programa offset para t+1; efecto sustituible y acotado, sin voto adicional.</x:v>
      </x:c>
    </x:row>
    <x:row r="1440" ht="34" customHeight="1">
      <x:c r="A1440" s="10" t="str">
        <x:v>S4_PRESTAMO</x:v>
      </x:c>
      <x:c r="B1440" s="10" t="n">
        <x:v>8</x:v>
      </x:c>
      <x:c r="C1440" s="10" t="str">
        <x:v>agro</x:v>
      </x:c>
      <x:c r="D1440" s="10" t="n">
        <x:f>$F$1422</x:f>
        <x:v>45.851323140357145</x:v>
      </x:c>
      <x:c r="E1440" s="10" t="n">
        <x:f>(ABS('03_Sensibilidades'!$C$10)*IF('03_Sensibilidades'!$C$10&lt;0,100-$K$592,$K$592)+ABS('03_Sensibilidades'!$C$11)*IF('03_Sensibilidades'!$C$11&lt;0,100-$K$593,$K$593)+ABS('03_Sensibilidades'!$C$12)*IF('03_Sensibilidades'!$C$12&lt;0,100-$K$600,$K$600)+ABS('03_Sensibilidades'!$C$13)*IF('03_Sensibilidades'!$C$13&lt;0,100-$K$590,$K$590))/(ABS('03_Sensibilidades'!$C$10)+ABS('03_Sensibilidades'!$C$11)+ABS('03_Sensibilidades'!$C$12)+ABS('03_Sensibilidades'!$C$13))</x:f>
        <x:v>45.835094765892855</x:v>
      </x:c>
      <x:c r="F1440" s="10" t="n">
        <x:f>(1-'00_Arquitectura'!$B$95)*D1440+'00_Arquitectura'!$B$95*E1440</x:f>
        <x:v>45.84564320929464</x:v>
      </x:c>
      <x:c r="G1440" s="10" t="n">
        <x:f>'02_Actores'!$I$7</x:f>
        <x:v>45</x:v>
      </x:c>
      <x:c r="H1440" s="10" t="n">
        <x:f>IF(OR(AND(F1440&lt;'00_Arquitectura'!$B$118,G1440&lt;'00_Arquitectura'!$B$119),F1440&lt;'00_Arquitectura'!$B$120),1,0)</x:f>
        <x:v>0</x:v>
      </x:c>
      <x:c r="I1440" s="10" t="n">
        <x:f>IF($I$1422=1,IF(OR(AND(F1440&lt;'00_Arquitectura'!$B$121,G1440&lt;'00_Arquitectura'!$B$122),F1440&lt;'00_Arquitectura'!$B$123),1,0),IF(AND(H1440=1,$H$1422=1),1,0))</x:f>
        <x:v>0</x:v>
      </x:c>
      <x:c r="J1440" s="10" t="n">
        <x:f>-I1440*2*'02_Actores'!$E$7/10</x:f>
        <x:v>0</x:v>
      </x:c>
      <x:c r="K1440" s="10" t="n">
        <x:f>$K$1439</x:f>
        <x:v>48.94491406363693</x:v>
      </x:c>
      <x:c r="L1440" s="10" t="str">
        <x:v>J programa offset para t+1; efecto sustituible y acotado, sin voto adicional.</x:v>
      </x:c>
    </x:row>
    <x:row r="1441" ht="34" customHeight="1">
      <x:c r="A1441" s="5" t="str">
        <x:v>S4_PRESTAMO</x:v>
      </x:c>
      <x:c r="B1441" s="5" t="n">
        <x:v>8</x:v>
      </x:c>
      <x:c r="C1441" s="5" t="str">
        <x:v>financiero</x:v>
      </x:c>
      <x:c r="D1441" s="5" t="n">
        <x:f>$F$1423</x:f>
        <x:v>54.0489802742069</x:v>
      </x:c>
      <x:c r="E1441" s="5" t="n">
        <x:f>(ABS('03_Sensibilidades'!$C$14)*IF('03_Sensibilidades'!$C$14&lt;0,100-$K$591,$K$591)+ABS('03_Sensibilidades'!$C$15)*IF('03_Sensibilidades'!$C$15&lt;0,100-$K$587,$K$587)+ABS('03_Sensibilidades'!$C$16)*IF('03_Sensibilidades'!$C$16&lt;0,100-$K$590,$K$590)+ABS('03_Sensibilidades'!$C$17)*IF('03_Sensibilidades'!$C$17&lt;0,100-$K$599,$K$599))/(ABS('03_Sensibilidades'!$C$14)+ABS('03_Sensibilidades'!$C$15)+ABS('03_Sensibilidades'!$C$16)+ABS('03_Sensibilidades'!$C$17))</x:f>
        <x:v>54.02162414589655</x:v>
      </x:c>
      <x:c r="F1441" s="5" t="n">
        <x:f>(1-'00_Arquitectura'!$B$95)*D1441+'00_Arquitectura'!$B$95*E1441</x:f>
        <x:v>54.03940562929827</x:v>
      </x:c>
      <x:c r="G1441" s="5" t="n">
        <x:f>'02_Actores'!$I$8</x:f>
        <x:v>45</x:v>
      </x:c>
      <x:c r="H1441" s="5" t="n">
        <x:f>IF(OR(AND(F1441&lt;'00_Arquitectura'!$B$118,G1441&lt;'00_Arquitectura'!$B$119),F1441&lt;'00_Arquitectura'!$B$120),1,0)</x:f>
        <x:v>0</x:v>
      </x:c>
      <x:c r="I1441" s="5" t="n">
        <x:f>IF($I$1423=1,IF(OR(AND(F1441&lt;'00_Arquitectura'!$B$121,G1441&lt;'00_Arquitectura'!$B$122),F1441&lt;'00_Arquitectura'!$B$123),1,0),IF(AND(H1441=1,$H$1423=1),1,0))</x:f>
        <x:v>0</x:v>
      </x:c>
      <x:c r="J1441" s="5" t="n">
        <x:f>-I1441*2*'02_Actores'!$E$8/10</x:f>
        <x:v>0</x:v>
      </x:c>
      <x:c r="K1441" s="5" t="n">
        <x:f>$K$1439</x:f>
        <x:v>48.94491406363693</x:v>
      </x:c>
      <x:c r="L1441" s="5" t="str">
        <x:v>J programa offset para t+1; efecto sustituible y acotado, sin voto adicional.</x:v>
      </x:c>
    </x:row>
    <x:row r="1442" ht="34" customHeight="1">
      <x:c r="A1442" s="10" t="str">
        <x:v>S4_PRESTAMO</x:v>
      </x:c>
      <x:c r="B1442" s="10" t="n">
        <x:v>8</x:v>
      </x:c>
      <x:c r="C1442" s="10" t="str">
        <x:v>sindicatos</x:v>
      </x:c>
      <x:c r="D1442" s="10" t="n">
        <x:f>$F$1424</x:f>
        <x:v>48.17458333008966</x:v>
      </x:c>
      <x:c r="E1442" s="10" t="n">
        <x:f>(ABS('03_Sensibilidades'!$C$18)*IF('03_Sensibilidades'!$C$18&lt;0,100-$K$589,$K$589)+ABS('03_Sensibilidades'!$C$19)*IF('03_Sensibilidades'!$C$19&lt;0,100-$K$588,$K$588)+ABS('03_Sensibilidades'!$C$20)*IF('03_Sensibilidades'!$C$20&lt;0,100-$K$596,$K$596)+ABS('03_Sensibilidades'!$C$21)*IF('03_Sensibilidades'!$C$21&lt;0,100-$K$599,$K$599))/(ABS('03_Sensibilidades'!$C$18)+ABS('03_Sensibilidades'!$C$19)+ABS('03_Sensibilidades'!$C$20)+ABS('03_Sensibilidades'!$C$21))</x:f>
        <x:v>48.18314711784828</x:v>
      </x:c>
      <x:c r="F1442" s="10" t="n">
        <x:f>(1-'00_Arquitectura'!$B$95)*D1442+'00_Arquitectura'!$B$95*E1442</x:f>
        <x:v>48.17758065580517</x:v>
      </x:c>
      <x:c r="G1442" s="10" t="n">
        <x:f>'02_Actores'!$I$9</x:f>
        <x:v>45</x:v>
      </x:c>
      <x:c r="H1442" s="10" t="n">
        <x:f>IF(OR(AND(F1442&lt;'00_Arquitectura'!$B$118,G1442&lt;'00_Arquitectura'!$B$119),F1442&lt;'00_Arquitectura'!$B$120),1,0)</x:f>
        <x:v>0</x:v>
      </x:c>
      <x:c r="I1442" s="10" t="n">
        <x:f>IF($I$1424=1,IF(OR(AND(F1442&lt;'00_Arquitectura'!$B$121,G1442&lt;'00_Arquitectura'!$B$122),F1442&lt;'00_Arquitectura'!$B$123),1,0),IF(AND(H1442=1,$H$1424=1),1,0))</x:f>
        <x:v>0</x:v>
      </x:c>
      <x:c r="J1442" s="10" t="n">
        <x:f>-I1442*2*'02_Actores'!$E$9/10</x:f>
        <x:v>0</x:v>
      </x:c>
      <x:c r="K1442" s="10" t="n">
        <x:f>$K$1439</x:f>
        <x:v>48.94491406363693</x:v>
      </x:c>
      <x:c r="L1442" s="10" t="str">
        <x:v>J programa offset para t+1; efecto sustituible y acotado, sin voto adicional.</x:v>
      </x:c>
    </x:row>
    <x:row r="1443" ht="34" customHeight="1">
      <x:c r="A1443" s="5" t="str">
        <x:v>S4_PRESTAMO</x:v>
      </x:c>
      <x:c r="B1443" s="5" t="n">
        <x:v>8</x:v>
      </x:c>
      <x:c r="C1443" s="5" t="str">
        <x:v>pymes</x:v>
      </x:c>
      <x:c r="D1443" s="5" t="n">
        <x:f>$F$1425</x:f>
        <x:v>49.04736415026207</x:v>
      </x:c>
      <x:c r="E1443" s="5" t="n">
        <x:f>(ABS('03_Sensibilidades'!$C$22)*IF('03_Sensibilidades'!$C$22&lt;0,100-$K$590,$K$590)+ABS('03_Sensibilidades'!$C$23)*IF('03_Sensibilidades'!$C$23&lt;0,100-$K$588,$K$588)+ABS('03_Sensibilidades'!$C$24)*IF('03_Sensibilidades'!$C$24&lt;0,100-$K$593,$K$593)+ABS('03_Sensibilidades'!$C$25)*IF('03_Sensibilidades'!$C$25&lt;0,100-$K$587,$K$587))/(ABS('03_Sensibilidades'!$C$22)+ABS('03_Sensibilidades'!$C$23)+ABS('03_Sensibilidades'!$C$24)+ABS('03_Sensibilidades'!$C$25))</x:f>
        <x:v>49.00544945695172</x:v>
      </x:c>
      <x:c r="F1443" s="5" t="n">
        <x:f>(1-'00_Arquitectura'!$B$95)*D1443+'00_Arquitectura'!$B$95*E1443</x:f>
        <x:v>49.032694007603446</x:v>
      </x:c>
      <x:c r="G1443" s="5" t="n">
        <x:f>'02_Actores'!$I$10</x:f>
        <x:v>45</x:v>
      </x:c>
      <x:c r="H1443" s="5" t="n">
        <x:f>IF(OR(AND(F1443&lt;'00_Arquitectura'!$B$118,G1443&lt;'00_Arquitectura'!$B$119),F1443&lt;'00_Arquitectura'!$B$120),1,0)</x:f>
        <x:v>0</x:v>
      </x:c>
      <x:c r="I1443" s="5" t="n">
        <x:f>IF($I$1425=1,IF(OR(AND(F1443&lt;'00_Arquitectura'!$B$121,G1443&lt;'00_Arquitectura'!$B$122),F1443&lt;'00_Arquitectura'!$B$123),1,0),IF(AND(H1443=1,$H$1425=1),1,0))</x:f>
        <x:v>0</x:v>
      </x:c>
      <x:c r="J1443" s="5" t="n">
        <x:f>-I1443*2*'02_Actores'!$E$10/10</x:f>
        <x:v>0</x:v>
      </x:c>
      <x:c r="K1443" s="5" t="n">
        <x:f>$K$1439</x:f>
        <x:v>48.94491406363693</x:v>
      </x:c>
      <x:c r="L1443" s="5" t="str">
        <x:v>J programa offset para t+1; efecto sustituible y acotado, sin voto adicional.</x:v>
      </x:c>
    </x:row>
    <x:row r="1444" ht="34" customHeight="1">
      <x:c r="A1444" s="10" t="str">
        <x:v>S4_PRESTAMO</x:v>
      </x:c>
      <x:c r="B1444" s="10" t="n">
        <x:v>8</x:v>
      </x:c>
      <x:c r="C1444" s="10" t="str">
        <x:v>clase_media</x:v>
      </x:c>
      <x:c r="D1444" s="10" t="n">
        <x:f>$F$1426</x:f>
        <x:v>48.33210382222222</x:v>
      </x:c>
      <x:c r="E1444" s="10" t="n">
        <x:f>(ABS('03_Sensibilidades'!$C$26)*IF('03_Sensibilidades'!$C$26&lt;0,100-$K$589,$K$589)+ABS('03_Sensibilidades'!$C$27)*IF('03_Sensibilidades'!$C$27&lt;0,100-$K$597,$K$597)+ABS('03_Sensibilidades'!$C$28)*IF('03_Sensibilidades'!$C$28&lt;0,100-$K$594,$K$594)+ABS('03_Sensibilidades'!$C$29)*IF('03_Sensibilidades'!$C$29&lt;0,100-$K$587,$K$587))/(ABS('03_Sensibilidades'!$C$26)+ABS('03_Sensibilidades'!$C$27)+ABS('03_Sensibilidades'!$C$28)+ABS('03_Sensibilidades'!$C$29))</x:f>
        <x:v>48.33031626133334</x:v>
      </x:c>
      <x:c r="F1444" s="10" t="n">
        <x:f>(1-'00_Arquitectura'!$B$95)*D1444+'00_Arquitectura'!$B$95*E1444</x:f>
        <x:v>48.331478175911116</x:v>
      </x:c>
      <x:c r="G1444" s="10" t="n">
        <x:f>'02_Actores'!$I$11</x:f>
        <x:v>45</x:v>
      </x:c>
      <x:c r="H1444" s="10" t="n">
        <x:f>IF(OR(AND(F1444&lt;'00_Arquitectura'!$B$118,G1444&lt;'00_Arquitectura'!$B$119),F1444&lt;'00_Arquitectura'!$B$120),1,0)</x:f>
        <x:v>0</x:v>
      </x:c>
      <x:c r="I1444" s="10" t="n">
        <x:f>IF($I$1426=1,IF(OR(AND(F1444&lt;'00_Arquitectura'!$B$121,G1444&lt;'00_Arquitectura'!$B$122),F1444&lt;'00_Arquitectura'!$B$123),1,0),IF(AND(H1444=1,$H$1426=1),1,0))</x:f>
        <x:v>0</x:v>
      </x:c>
      <x:c r="J1444" s="10" t="n">
        <x:f>0</x:f>
        <x:v>0</x:v>
      </x:c>
      <x:c r="K1444" s="10" t="n">
        <x:f>$K$1439</x:f>
        <x:v>48.94491406363693</x:v>
      </x:c>
      <x:c r="L1444" s="10" t="str">
        <x:v>Canal directo sólo al índice social; sin bono de popularidad.</x:v>
      </x:c>
    </x:row>
    <x:row r="1445" ht="34" customHeight="1">
      <x:c r="A1445" s="5" t="str">
        <x:v>S4_PRESTAMO</x:v>
      </x:c>
      <x:c r="B1445" s="5" t="n">
        <x:v>8</x:v>
      </x:c>
      <x:c r="C1445" s="5" t="str">
        <x:v>cooperativas</x:v>
      </x:c>
      <x:c r="D1445" s="5" t="n">
        <x:f>$F$1427</x:f>
        <x:v>47.98276911636296</x:v>
      </x:c>
      <x:c r="E1445" s="5" t="n">
        <x:f>(ABS('03_Sensibilidades'!$C$30)*IF('03_Sensibilidades'!$C$30&lt;0,100-$K$590,$K$590)+ABS('03_Sensibilidades'!$C$31)*IF('03_Sensibilidades'!$C$31&lt;0,100-$K$588,$K$588)+ABS('03_Sensibilidades'!$C$32)*IF('03_Sensibilidades'!$C$32&lt;0,100-$K$596,$K$596)+ABS('03_Sensibilidades'!$C$33)*IF('03_Sensibilidades'!$C$33&lt;0,100-$K$599,$K$599))/(ABS('03_Sensibilidades'!$C$30)+ABS('03_Sensibilidades'!$C$31)+ABS('03_Sensibilidades'!$C$32)+ABS('03_Sensibilidades'!$C$33))</x:f>
        <x:v>47.97271820962222</x:v>
      </x:c>
      <x:c r="F1445" s="5" t="n">
        <x:f>(1-'00_Arquitectura'!$B$95)*D1445+'00_Arquitectura'!$B$95*E1445</x:f>
        <x:v>47.9792512990037</x:v>
      </x:c>
      <x:c r="G1445" s="5" t="n">
        <x:f>'02_Actores'!$I$12</x:f>
        <x:v>45</x:v>
      </x:c>
      <x:c r="H1445" s="5" t="n">
        <x:f>IF(OR(AND(F1445&lt;'00_Arquitectura'!$B$118,G1445&lt;'00_Arquitectura'!$B$119),F1445&lt;'00_Arquitectura'!$B$120),1,0)</x:f>
        <x:v>0</x:v>
      </x:c>
      <x:c r="I1445" s="5" t="n">
        <x:f>IF($I$1427=1,IF(OR(AND(F1445&lt;'00_Arquitectura'!$B$121,G1445&lt;'00_Arquitectura'!$B$122),F1445&lt;'00_Arquitectura'!$B$123),1,0),IF(AND(H1445=1,$H$1427=1),1,0))</x:f>
        <x:v>0</x:v>
      </x:c>
      <x:c r="J1445" s="5" t="n">
        <x:f>-I1445*1.5*'02_Actores'!$E$12/10</x:f>
        <x:v>0</x:v>
      </x:c>
      <x:c r="K1445" s="5" t="n">
        <x:f>$K$1439</x:f>
        <x:v>48.94491406363693</x:v>
      </x:c>
      <x:c r="L1445" s="5" t="str">
        <x:v>J programa offset para t+1; efecto sustituible y acotado, sin voto adicional.</x:v>
      </x:c>
    </x:row>
    <x:row r="1446" ht="42" customHeight="1">
      <x:c r="A1446" s="10" t="str">
        <x:v>S4_PRESTAMO</x:v>
      </x:c>
      <x:c r="B1446" s="10" t="n">
        <x:v>8</x:v>
      </x:c>
      <x:c r="C1446" s="10" t="str">
        <x:v>estudiantes</x:v>
      </x:c>
      <x:c r="D1446" s="10" t="n">
        <x:f>$F$1428</x:f>
        <x:v>49.71710148525</x:v>
      </x:c>
      <x:c r="E1446" s="10" t="n">
        <x:f>(ABS('03_Sensibilidades'!$C$34)*IF('03_Sensibilidades'!$C$34&lt;0,100-$K$594,$K$594)+ABS('03_Sensibilidades'!$C$35)*IF('03_Sensibilidades'!$C$35&lt;0,100-$K$589,$K$589)+ABS('03_Sensibilidades'!$C$36)*IF('03_Sensibilidades'!$C$36&lt;0,100-$K$599,$K$599)+ABS('03_Sensibilidades'!$C$37)*IF('03_Sensibilidades'!$C$37&lt;0,100-$K$598,$K$598))/(ABS('03_Sensibilidades'!$C$34)+ABS('03_Sensibilidades'!$C$35)+ABS('03_Sensibilidades'!$C$36)+ABS('03_Sensibilidades'!$C$37))</x:f>
        <x:v>49.75837078112</x:v>
      </x:c>
      <x:c r="F1446" s="10" t="n">
        <x:f>(1-'00_Arquitectura'!$B$95)*D1446+'00_Arquitectura'!$B$95*E1446</x:f>
        <x:v>49.7315457388045</x:v>
      </x:c>
      <x:c r="G1446" s="10" t="n">
        <x:f>'02_Actores'!$I$13</x:f>
        <x:v>45</x:v>
      </x:c>
      <x:c r="H1446" s="10" t="n">
        <x:f>IF(OR(AND(F1446&lt;'00_Arquitectura'!$B$118,G1446&lt;'00_Arquitectura'!$B$119),F1446&lt;'00_Arquitectura'!$B$120),1,0)</x:f>
        <x:v>0</x:v>
      </x:c>
      <x:c r="I1446" s="10" t="n">
        <x:f>IF($I$1428=1,IF(OR(AND(F1446&lt;'00_Arquitectura'!$B$121,G1446&lt;'00_Arquitectura'!$B$122),F1446&lt;'00_Arquitectura'!$B$123),1,0),IF(AND(H1446=1,$H$1428=1),1,0))</x:f>
        <x:v>0</x:v>
      </x:c>
      <x:c r="J1446" s="10" t="n">
        <x:f>0</x:f>
        <x:v>0</x:v>
      </x:c>
      <x:c r="K1446" s="10" t="n">
        <x:f>$K$1439</x:f>
        <x:v>48.94491406363693</x:v>
      </x:c>
      <x:c r="L1446" s="10" t="str">
        <x:v>Conflicto activo captura menor eficacia en políticas ejecutadas en t+1. Magnitud0 en J: no es un offset directo de indicador.</x:v>
      </x:c>
    </x:row>
    <x:row r="1447" ht="34" customHeight="1">
      <x:c r="A1447" s="5" t="str">
        <x:v>S4_PRESTAMO</x:v>
      </x:c>
      <x:c r="B1447" s="5" t="n">
        <x:v>8</x:v>
      </x:c>
      <x:c r="C1447" s="5" t="str">
        <x:v>docentes</x:v>
      </x:c>
      <x:c r="D1447" s="5" t="n">
        <x:f>$F$1429</x:f>
        <x:v>49.23333790239131</x:v>
      </x:c>
      <x:c r="E1447" s="5" t="n">
        <x:f>(ABS('03_Sensibilidades'!$C$38)*IF('03_Sensibilidades'!$C$38&lt;0,100-$K$594,$K$594)+ABS('03_Sensibilidades'!$C$39)*IF('03_Sensibilidades'!$C$39&lt;0,100-$K$589,$K$589)+ABS('03_Sensibilidades'!$C$40)*IF('03_Sensibilidades'!$C$40&lt;0,100-$K$599,$K$599))/(ABS('03_Sensibilidades'!$C$38)+ABS('03_Sensibilidades'!$C$39)+ABS('03_Sensibilidades'!$C$40))</x:f>
        <x:v>49.257681963060875</x:v>
      </x:c>
      <x:c r="F1447" s="5" t="n">
        <x:f>(1-'00_Arquitectura'!$B$95)*D1447+'00_Arquitectura'!$B$95*E1447</x:f>
        <x:v>49.241858323625664</x:v>
      </x:c>
      <x:c r="G1447" s="5" t="n">
        <x:f>'02_Actores'!$I$14</x:f>
        <x:v>45</x:v>
      </x:c>
      <x:c r="H1447" s="5" t="n">
        <x:f>IF(OR(AND(F1447&lt;'00_Arquitectura'!$B$118,G1447&lt;'00_Arquitectura'!$B$119),F1447&lt;'00_Arquitectura'!$B$120),1,0)</x:f>
        <x:v>0</x:v>
      </x:c>
      <x:c r="I1447" s="5" t="n">
        <x:f>IF($I$1429=1,IF(OR(AND(F1447&lt;'00_Arquitectura'!$B$121,G1447&lt;'00_Arquitectura'!$B$122),F1447&lt;'00_Arquitectura'!$B$123),1,0),IF(AND(H1447=1,$H$1429=1),1,0))</x:f>
        <x:v>0</x:v>
      </x:c>
      <x:c r="J1447" s="5" t="n">
        <x:f>-I1447*1.5*'02_Actores'!$E$14/10</x:f>
        <x:v>0</x:v>
      </x:c>
      <x:c r="K1447" s="5" t="n">
        <x:f>$K$1439</x:f>
        <x:v>48.94491406363693</x:v>
      </x:c>
      <x:c r="L1447" s="5" t="str">
        <x:v>J programa offset para t+1; efecto sustituible y acotado, sin voto adicional.</x:v>
      </x:c>
    </x:row>
    <x:row r="1448" ht="34" customHeight="1">
      <x:c r="A1448" s="10" t="str">
        <x:v>S4_PRESTAMO</x:v>
      </x:c>
      <x:c r="B1448" s="10" t="n">
        <x:v>8</x:v>
      </x:c>
      <x:c r="C1448" s="10" t="str">
        <x:v>cientificos</x:v>
      </x:c>
      <x:c r="D1448" s="10" t="n">
        <x:f>$F$1430</x:f>
        <x:v>47.01117323153409</x:v>
      </x:c>
      <x:c r="E1448" s="10" t="n">
        <x:f>(ABS('03_Sensibilidades'!$C$41)*IF('03_Sensibilidades'!$C$41&lt;0,100-$K$598,$K$598)+ABS('03_Sensibilidades'!$C$42)*IF('03_Sensibilidades'!$C$42&lt;0,100-$K$594,$K$594)+ABS('03_Sensibilidades'!$C$43)*IF('03_Sensibilidades'!$C$43&lt;0,100-$K$599,$K$599))/(ABS('03_Sensibilidades'!$C$41)+ABS('03_Sensibilidades'!$C$42)+ABS('03_Sensibilidades'!$C$43))</x:f>
        <x:v>47.04545454545455</x:v>
      </x:c>
      <x:c r="F1448" s="10" t="n">
        <x:f>(1-'00_Arquitectura'!$B$95)*D1448+'00_Arquitectura'!$B$95*E1448</x:f>
        <x:v>47.02317169140625</x:v>
      </x:c>
      <x:c r="G1448" s="10" t="n">
        <x:f>'02_Actores'!$I$15</x:f>
        <x:v>45</x:v>
      </x:c>
      <x:c r="H1448" s="10" t="n">
        <x:f>IF(OR(AND(F1448&lt;'00_Arquitectura'!$B$118,G1448&lt;'00_Arquitectura'!$B$119),F1448&lt;'00_Arquitectura'!$B$120),1,0)</x:f>
        <x:v>0</x:v>
      </x:c>
      <x:c r="I1448" s="10" t="n">
        <x:f>IF($I$1430=1,IF(OR(AND(F1448&lt;'00_Arquitectura'!$B$121,G1448&lt;'00_Arquitectura'!$B$122),F1448&lt;'00_Arquitectura'!$B$123),1,0),IF(AND(H1448=1,$H$1430=1),1,0))</x:f>
        <x:v>0</x:v>
      </x:c>
      <x:c r="J1448" s="10" t="n">
        <x:f>-I1448*1.5*'02_Actores'!$E$15/10</x:f>
        <x:v>0</x:v>
      </x:c>
      <x:c r="K1448" s="10" t="n">
        <x:f>$K$1439</x:f>
        <x:v>48.94491406363693</x:v>
      </x:c>
      <x:c r="L1448" s="10" t="str">
        <x:v>J programa offset para t+1; efecto sustituible y acotado, sin voto adicional.</x:v>
      </x:c>
    </x:row>
    <x:row r="1449" ht="34" customHeight="1">
      <x:c r="A1449" s="5" t="str">
        <x:v>S4_PRESTAMO</x:v>
      </x:c>
      <x:c r="B1449" s="5" t="n">
        <x:v>8</x:v>
      </x:c>
      <x:c r="C1449" s="5" t="str">
        <x:v>organizaciones</x:v>
      </x:c>
      <x:c r="D1449" s="5" t="n">
        <x:f>$F$1431</x:f>
        <x:v>49.430194789005355</x:v>
      </x:c>
      <x:c r="E1449" s="5" t="n">
        <x:f>(ABS('03_Sensibilidades'!$C$44)*IF('03_Sensibilidades'!$C$44&lt;0,100-$K$596,$K$596)+ABS('03_Sensibilidades'!$C$45)*IF('03_Sensibilidades'!$C$45&lt;0,100-$K$595,$K$595)+ABS('03_Sensibilidades'!$C$46)*IF('03_Sensibilidades'!$C$46&lt;0,100-$K$588,$K$588)+ABS('03_Sensibilidades'!$C$47)*IF('03_Sensibilidades'!$C$47&lt;0,100-$K$599,$K$599))/(ABS('03_Sensibilidades'!$C$44)+ABS('03_Sensibilidades'!$C$45)+ABS('03_Sensibilidades'!$C$46)+ABS('03_Sensibilidades'!$C$47))</x:f>
        <x:v>49.44982684194286</x:v>
      </x:c>
      <x:c r="F1449" s="5" t="n">
        <x:f>(1-'00_Arquitectura'!$B$95)*D1449+'00_Arquitectura'!$B$95*E1449</x:f>
        <x:v>49.43706600753349</x:v>
      </x:c>
      <x:c r="G1449" s="5" t="n">
        <x:f>'02_Actores'!$I$16</x:f>
        <x:v>45</x:v>
      </x:c>
      <x:c r="H1449" s="5" t="n">
        <x:f>IF(OR(AND(F1449&lt;'00_Arquitectura'!$B$118,G1449&lt;'00_Arquitectura'!$B$119),F1449&lt;'00_Arquitectura'!$B$120),1,0)</x:f>
        <x:v>0</x:v>
      </x:c>
      <x:c r="I1449" s="5" t="n">
        <x:f>IF($I$1431=1,IF(OR(AND(F1449&lt;'00_Arquitectura'!$B$121,G1449&lt;'00_Arquitectura'!$B$122),F1449&lt;'00_Arquitectura'!$B$123),1,0),IF(AND(H1449=1,$H$1431=1),1,0))</x:f>
        <x:v>0</x:v>
      </x:c>
      <x:c r="J1449" s="5" t="n">
        <x:f>-I1449*1.5*'02_Actores'!$E$16/10</x:f>
        <x:v>0</x:v>
      </x:c>
      <x:c r="K1449" s="5" t="n">
        <x:f>$K$1439</x:f>
        <x:v>48.94491406363693</x:v>
      </x:c>
      <x:c r="L1449" s="5" t="str">
        <x:v>J programa offset para t+1; efecto sustituible y acotado, sin voto adicional.</x:v>
      </x:c>
    </x:row>
    <x:row r="1450" ht="42" customHeight="1">
      <x:c r="A1450" s="10" t="str">
        <x:v>S4_PRESTAMO</x:v>
      </x:c>
      <x:c r="B1450" s="10" t="n">
        <x:v>8</x:v>
      </x:c>
      <x:c r="C1450" s="10" t="str">
        <x:v>ddhh</x:v>
      </x:c>
      <x:c r="D1450" s="10" t="n">
        <x:f>$F$1432</x:f>
        <x:v>51.97009542279412</x:v>
      </x:c>
      <x:c r="E1450" s="10" t="n">
        <x:f>(ABS('03_Sensibilidades'!$C$48)*IF('03_Sensibilidades'!$C$48&lt;0,100-$K$599,$K$599)+ABS('03_Sensibilidades'!$C$49)*IF('03_Sensibilidades'!$C$49&lt;0,100-$K$597,$K$597)+ABS('03_Sensibilidades'!$C$50)*IF('03_Sensibilidades'!$C$50&lt;0,100-$K$596,$K$596))/(ABS('03_Sensibilidades'!$C$48)+ABS('03_Sensibilidades'!$C$49)+ABS('03_Sensibilidades'!$C$50))</x:f>
        <x:v>52.05882352941177</x:v>
      </x:c>
      <x:c r="F1450" s="10" t="n">
        <x:f>(1-'00_Arquitectura'!$B$95)*D1450+'00_Arquitectura'!$B$95*E1450</x:f>
        <x:v>52.00115026011029</x:v>
      </x:c>
      <x:c r="G1450" s="10" t="n">
        <x:f>'02_Actores'!$I$17</x:f>
        <x:v>45</x:v>
      </x:c>
      <x:c r="H1450" s="10" t="n">
        <x:f>IF(OR(AND(F1450&lt;'00_Arquitectura'!$B$118,G1450&lt;'00_Arquitectura'!$B$119),F1450&lt;'00_Arquitectura'!$B$120),1,0)</x:f>
        <x:v>0</x:v>
      </x:c>
      <x:c r="I1450" s="10" t="n">
        <x:f>IF($I$1432=1,IF(OR(AND(F1450&lt;'00_Arquitectura'!$B$121,G1450&lt;'00_Arquitectura'!$B$122),F1450&lt;'00_Arquitectura'!$B$123),1,0),IF(AND(H1450=1,$H$1432=1),1,0))</x:f>
        <x:v>0</x:v>
      </x:c>
      <x:c r="J1450" s="10" t="n">
        <x:f>0</x:f>
        <x:v>0</x:v>
      </x:c>
      <x:c r="K1450" s="10" t="n">
        <x:f>$K$1439</x:f>
        <x:v>48.94491406363693</x:v>
      </x:c>
      <x:c r="L1450" s="10" t="str">
        <x:v>Conflicto activo captura menor eficacia en políticas ejecutadas en t+1. Magnitud0 en J: no es un offset directo de indicador.</x:v>
      </x:c>
    </x:row>
    <x:row r="1451" ht="42" customHeight="1">
      <x:c r="A1451" s="5" t="str">
        <x:v>S4_PRESTAMO</x:v>
      </x:c>
      <x:c r="B1451" s="5" t="n">
        <x:v>8</x:v>
      </x:c>
      <x:c r="C1451" s="5" t="str">
        <x:v>ambientalistas</x:v>
      </x:c>
      <x:c r="D1451" s="5" t="n">
        <x:f>$F$1433</x:f>
        <x:v>51.902545060763885</x:v>
      </x:c>
      <x:c r="E1451" s="5" t="n">
        <x:f>(ABS('03_Sensibilidades'!$C$51)*IF('03_Sensibilidades'!$C$51&lt;0,100-$K$600,$K$600)+ABS('03_Sensibilidades'!$C$52)*IF('03_Sensibilidades'!$C$52&lt;0,100-$K$599,$K$599)+ABS('03_Sensibilidades'!$C$53)*IF('03_Sensibilidades'!$C$53&lt;0,100-$K$595,$K$595))/(ABS('03_Sensibilidades'!$C$51)+ABS('03_Sensibilidades'!$C$52)+ABS('03_Sensibilidades'!$C$53))</x:f>
        <x:v>51.94444444444444</x:v>
      </x:c>
      <x:c r="F1451" s="5" t="n">
        <x:f>(1-'00_Arquitectura'!$B$95)*D1451+'00_Arquitectura'!$B$95*E1451</x:f>
        <x:v>51.917209845052085</x:v>
      </x:c>
      <x:c r="G1451" s="5" t="n">
        <x:f>'02_Actores'!$I$18</x:f>
        <x:v>45</x:v>
      </x:c>
      <x:c r="H1451" s="5" t="n">
        <x:f>IF(OR(AND(F1451&lt;'00_Arquitectura'!$B$118,G1451&lt;'00_Arquitectura'!$B$119),F1451&lt;'00_Arquitectura'!$B$120),1,0)</x:f>
        <x:v>0</x:v>
      </x:c>
      <x:c r="I1451" s="5" t="n">
        <x:f>IF($I$1433=1,IF(OR(AND(F1451&lt;'00_Arquitectura'!$B$121,G1451&lt;'00_Arquitectura'!$B$122),F1451&lt;'00_Arquitectura'!$B$123),1,0),IF(AND(H1451=1,$H$1433=1),1,0))</x:f>
        <x:v>0</x:v>
      </x:c>
      <x:c r="J1451" s="5" t="n">
        <x:f>0</x:f>
        <x:v>0</x:v>
      </x:c>
      <x:c r="K1451" s="5" t="n">
        <x:f>$K$1439</x:f>
        <x:v>48.94491406363693</x:v>
      </x:c>
      <x:c r="L1451" s="5" t="str">
        <x:v>Conflicto activo captura menor eficacia en políticas ejecutadas en t+1. Magnitud0 en J: no es un offset directo de indicador.</x:v>
      </x:c>
    </x:row>
    <x:row r="1452" ht="34" customHeight="1">
      <x:c r="A1452" s="10" t="str">
        <x:v>S4_PRESTAMO</x:v>
      </x:c>
      <x:c r="B1452" s="10" t="n">
        <x:v>8</x:v>
      </x:c>
      <x:c r="C1452" s="10" t="str">
        <x:v>cultura</x:v>
      </x:c>
      <x:c r="D1452" s="10" t="n">
        <x:f>$F$1434</x:f>
        <x:v>51.56719470263158</x:v>
      </x:c>
      <x:c r="E1452" s="10" t="n">
        <x:f>(ABS('03_Sensibilidades'!$C$54)*IF('03_Sensibilidades'!$C$54&lt;0,100-$K$599,$K$599)+ABS('03_Sensibilidades'!$C$55)*IF('03_Sensibilidades'!$C$55&lt;0,100-$K$594,$K$594)+ABS('03_Sensibilidades'!$C$56)*IF('03_Sensibilidades'!$C$56&lt;0,100-$K$589,$K$589))/(ABS('03_Sensibilidades'!$C$54)+ABS('03_Sensibilidades'!$C$55)+ABS('03_Sensibilidades'!$C$56))</x:f>
        <x:v>51.62943523831579</x:v>
      </x:c>
      <x:c r="F1452" s="10" t="n">
        <x:f>(1-'00_Arquitectura'!$B$95)*D1452+'00_Arquitectura'!$B$95*E1452</x:f>
        <x:v>51.588978890121055</x:v>
      </x:c>
      <x:c r="G1452" s="10" t="n">
        <x:f>'02_Actores'!$I$19</x:f>
        <x:v>45</x:v>
      </x:c>
      <x:c r="H1452" s="10" t="n">
        <x:f>IF(OR(AND(F1452&lt;'00_Arquitectura'!$B$118,G1452&lt;'00_Arquitectura'!$B$119),F1452&lt;'00_Arquitectura'!$B$120),1,0)</x:f>
        <x:v>0</x:v>
      </x:c>
      <x:c r="I1452" s="10" t="n">
        <x:f>IF($I$1434=1,IF(OR(AND(F1452&lt;'00_Arquitectura'!$B$121,G1452&lt;'00_Arquitectura'!$B$122),F1452&lt;'00_Arquitectura'!$B$123),1,0),IF(AND(H1452=1,$H$1434=1),1,0))</x:f>
        <x:v>0</x:v>
      </x:c>
      <x:c r="J1452" s="10" t="n">
        <x:f>0</x:f>
        <x:v>0</x:v>
      </x:c>
      <x:c r="K1452" s="10" t="n">
        <x:f>$K$1439</x:f>
        <x:v>48.94491406363693</x:v>
      </x:c>
      <x:c r="L1452" s="10" t="str">
        <x:v>Conflicto activo encarece agenda del turno siguiente; sin castigo electoral adicional.</x:v>
      </x:c>
    </x:row>
    <x:row r="1453" ht="34" customHeight="1">
      <x:c r="A1453" s="5" t="str">
        <x:v>S4_PRESTAMO</x:v>
      </x:c>
      <x:c r="B1453" s="5" t="n">
        <x:v>8</x:v>
      </x:c>
      <x:c r="C1453" s="5" t="str">
        <x:v>oficialismo</x:v>
      </x:c>
      <x:c r="D1453" s="5" t="n">
        <x:f>$F$1435</x:f>
        <x:v>51.75275911314802</x:v>
      </x:c>
      <x:c r="E1453" s="5" t="n">
        <x:f>(ABS('03_Sensibilidades'!$C$57)*IF('03_Sensibilidades'!$C$57&lt;0,100-$K$599,$K$599)+ABS('03_Sensibilidades'!$C$58)*IF('03_Sensibilidades'!$C$58&lt;0,100-$K$588,$K$588)+ABS('03_Sensibilidades'!$C$59)*IF('03_Sensibilidades'!$C$59&lt;0,100-$K$591,$K$591)+ABS('03_Sensibilidades'!$C$60)*IF('03_Sensibilidades'!$C$60&lt;0,100-$K$596,$K$596))/(ABS('03_Sensibilidades'!$C$57)+ABS('03_Sensibilidades'!$C$58)+ABS('03_Sensibilidades'!$C$59)+ABS('03_Sensibilidades'!$C$60))</x:f>
        <x:v>51.759801333759995</x:v>
      </x:c>
      <x:c r="F1453" s="5" t="n">
        <x:f>(1-'00_Arquitectura'!$B$95)*D1453+'00_Arquitectura'!$B$95*E1453</x:f>
        <x:v>51.75522389036221</x:v>
      </x:c>
      <x:c r="G1453" s="5" t="n">
        <x:f>'02_Actores'!$I$20</x:f>
        <x:v>60</x:v>
      </x:c>
      <x:c r="H1453" s="5" t="n">
        <x:f>IF(OR(AND(F1453&lt;'00_Arquitectura'!$B$118,G1453&lt;'00_Arquitectura'!$B$119),F1453&lt;'00_Arquitectura'!$B$120),1,0)</x:f>
        <x:v>0</x:v>
      </x:c>
      <x:c r="I1453" s="5" t="n">
        <x:f>IF($I$1435=1,IF(OR(AND(F1453&lt;'00_Arquitectura'!$B$121,G1453&lt;'00_Arquitectura'!$B$122),F1453&lt;'00_Arquitectura'!$B$123),1,0),IF(AND(H1453=1,$H$1435=1),1,0))</x:f>
        <x:v>0</x:v>
      </x:c>
      <x:c r="J1453" s="5" t="n">
        <x:f>0</x:f>
        <x:v>0</x:v>
      </x:c>
      <x:c r="K1453" s="5" t="n">
        <x:f>$K$1439</x:f>
        <x:v>48.94491406363693</x:v>
      </x:c>
      <x:c r="L1453" s="5" t="str">
        <x:v>No aporta E_social; S y R alimentan disposición a leyes según07.</x:v>
      </x:c>
    </x:row>
    <x:row r="1454" ht="34" customHeight="1">
      <x:c r="A1454" s="10" t="str">
        <x:v>S4_PRESTAMO</x:v>
      </x:c>
      <x:c r="B1454" s="10" t="n">
        <x:v>8</x:v>
      </x:c>
      <x:c r="C1454" s="10" t="str">
        <x:v>aliados</x:v>
      </x:c>
      <x:c r="D1454" s="10" t="n">
        <x:f>$F$1436</x:f>
        <x:v>52.73569695869047</x:v>
      </x:c>
      <x:c r="E1454" s="10" t="n">
        <x:f>(ABS('03_Sensibilidades'!$C$61)*IF('03_Sensibilidades'!$C$61&lt;0,100-$K$599,$K$599)+ABS('03_Sensibilidades'!$C$62)*IF('03_Sensibilidades'!$C$62&lt;0,100-$K$591,$K$591)+ABS('03_Sensibilidades'!$C$63)*IF('03_Sensibilidades'!$C$63&lt;0,100-$K$593,$K$593))/(ABS('03_Sensibilidades'!$C$61)+ABS('03_Sensibilidades'!$C$62)+ABS('03_Sensibilidades'!$C$63))</x:f>
        <x:v>52.76780808502857</x:v>
      </x:c>
      <x:c r="F1454" s="10" t="n">
        <x:f>(1-'00_Arquitectura'!$B$95)*D1454+'00_Arquitectura'!$B$95*E1454</x:f>
        <x:v>52.746935852908805</x:v>
      </x:c>
      <x:c r="G1454" s="10" t="n">
        <x:f>'02_Actores'!$I$21</x:f>
        <x:v>45</x:v>
      </x:c>
      <x:c r="H1454" s="10" t="n">
        <x:f>IF(OR(AND(F1454&lt;'00_Arquitectura'!$B$118,G1454&lt;'00_Arquitectura'!$B$119),F1454&lt;'00_Arquitectura'!$B$120),1,0)</x:f>
        <x:v>0</x:v>
      </x:c>
      <x:c r="I1454" s="10" t="n">
        <x:f>IF($I$1436=1,IF(OR(AND(F1454&lt;'00_Arquitectura'!$B$121,G1454&lt;'00_Arquitectura'!$B$122),F1454&lt;'00_Arquitectura'!$B$123),1,0),IF(AND(H1454=1,$H$1436=1),1,0))</x:f>
        <x:v>0</x:v>
      </x:c>
      <x:c r="J1454" s="10" t="n">
        <x:f>0</x:f>
        <x:v>0</x:v>
      </x:c>
      <x:c r="K1454" s="10" t="n">
        <x:f>$K$1439</x:f>
        <x:v>48.94491406363693</x:v>
      </x:c>
      <x:c r="L1454" s="10" t="str">
        <x:v>No aporta E_social; S y R alimentan disposición a leyes según07.</x:v>
      </x:c>
    </x:row>
    <x:row r="1455" ht="34" customHeight="1">
      <x:c r="A1455" s="5" t="str">
        <x:v>S4_PRESTAMO</x:v>
      </x:c>
      <x:c r="B1455" s="5" t="n">
        <x:v>8</x:v>
      </x:c>
      <x:c r="C1455" s="5" t="str">
        <x:v>oposicion</x:v>
      </x:c>
      <x:c r="D1455" s="5" t="n">
        <x:f>$F$1437</x:f>
        <x:v>53.824138468624994</x:v>
      </x:c>
      <x:c r="E1455" s="5" t="n">
        <x:f>(ABS('03_Sensibilidades'!$C$64)*IF('03_Sensibilidades'!$C$64&lt;0,100-$K$599,$K$599)+ABS('03_Sensibilidades'!$C$65)*IF('03_Sensibilidades'!$C$65&lt;0,100-$K$591,$K$591)+ABS('03_Sensibilidades'!$C$66)*IF('03_Sensibilidades'!$C$66&lt;0,100-$K$597,$K$597))/(ABS('03_Sensibilidades'!$C$64)+ABS('03_Sensibilidades'!$C$65)+ABS('03_Sensibilidades'!$C$66))</x:f>
        <x:v>53.87674156224</x:v>
      </x:c>
      <x:c r="F1455" s="5" t="n">
        <x:f>(1-'00_Arquitectura'!$B$95)*D1455+'00_Arquitectura'!$B$95*E1455</x:f>
        <x:v>53.84254955139025</x:v>
      </x:c>
      <x:c r="G1455" s="5" t="n">
        <x:f>'02_Actores'!$I$22</x:f>
        <x:v>30</x:v>
      </x:c>
      <x:c r="H1455" s="5" t="n">
        <x:f>IF(OR(AND(F1455&lt;'00_Arquitectura'!$B$118,G1455&lt;'00_Arquitectura'!$B$119),F1455&lt;'00_Arquitectura'!$B$120),1,0)</x:f>
        <x:v>0</x:v>
      </x:c>
      <x:c r="I1455" s="5" t="n">
        <x:f>IF($I$1437=1,IF(OR(AND(F1455&lt;'00_Arquitectura'!$B$121,G1455&lt;'00_Arquitectura'!$B$122),F1455&lt;'00_Arquitectura'!$B$123),1,0),IF(AND(H1455=1,$H$1437=1),1,0))</x:f>
        <x:v>0</x:v>
      </x:c>
      <x:c r="J1455" s="5" t="n">
        <x:f>0</x:f>
        <x:v>0</x:v>
      </x:c>
      <x:c r="K1455" s="5" t="n">
        <x:f>$K$1439</x:f>
        <x:v>48.94491406363693</x:v>
      </x:c>
      <x:c r="L1455" s="5" t="str">
        <x:v>No aporta E_social; S y R alimentan disposición a leyes según07.</x:v>
      </x:c>
    </x:row>
    <x:row r="1456" ht="42" customHeight="1">
      <x:c r="A1456" s="10" t="str">
        <x:v>S4_PRESTAMO</x:v>
      </x:c>
      <x:c r="B1456" s="10" t="n">
        <x:v>8</x:v>
      </x:c>
      <x:c r="C1456" s="10" t="str">
        <x:v>gobernadores</x:v>
      </x:c>
      <x:c r="D1456" s="10" t="n">
        <x:f>$F$1438</x:f>
        <x:v>49.41348783396552</x:v>
      </x:c>
      <x:c r="E1456" s="10" t="n">
        <x:f>(ABS('03_Sensibilidades'!$C$67)*IF('03_Sensibilidades'!$C$67&lt;0,100-$K$593,$K$593)+ABS('03_Sensibilidades'!$C$68)*IF('03_Sensibilidades'!$C$68&lt;0,100-$K$595,$K$595)+ABS('03_Sensibilidades'!$C$69)*IF('03_Sensibilidades'!$C$69&lt;0,100-$K$594,$K$594)+ABS('03_Sensibilidades'!$C$70)*IF('03_Sensibilidades'!$C$70&lt;0,100-$K$591,$K$591))/(ABS('03_Sensibilidades'!$C$67)+ABS('03_Sensibilidades'!$C$68)+ABS('03_Sensibilidades'!$C$69)+ABS('03_Sensibilidades'!$C$70))</x:f>
        <x:v>49.397752801544826</x:v>
      </x:c>
      <x:c r="F1456" s="10" t="n">
        <x:f>(1-'00_Arquitectura'!$B$95)*D1456+'00_Arquitectura'!$B$95*E1456</x:f>
        <x:v>49.40798057261828</x:v>
      </x:c>
      <x:c r="G1456" s="10" t="n">
        <x:f>'02_Actores'!$I$23</x:f>
        <x:v>45</x:v>
      </x:c>
      <x:c r="H1456" s="10" t="n">
        <x:f>IF(OR(AND(F1456&lt;'00_Arquitectura'!$B$118,G1456&lt;'00_Arquitectura'!$B$119),F1456&lt;'00_Arquitectura'!$B$120),1,0)</x:f>
        <x:v>0</x:v>
      </x:c>
      <x:c r="I1456" s="10" t="n">
        <x:f>IF($I$1438=1,IF(OR(AND(F1456&lt;'00_Arquitectura'!$B$121,G1456&lt;'00_Arquitectura'!$B$122),F1456&lt;'00_Arquitectura'!$B$123),1,0),IF(AND(H1456=1,$H$1438=1),1,0))</x:f>
        <x:v>0</x:v>
      </x:c>
      <x:c r="J1456" s="10" t="n">
        <x:f>0</x:f>
        <x:v>0</x:v>
      </x:c>
      <x:c r="K1456" s="10" t="n">
        <x:f>$K$1439</x:f>
        <x:v>48.94491406363693</x:v>
      </x:c>
      <x:c r="L1456" s="10" t="str">
        <x:v>Conflicto activo captura menor eficacia en políticas ejecutadas en t+1. Magnitud0 en J: no es un offset directo de indicador.</x:v>
      </x:c>
    </x:row>
    <x:row r="1457" ht="34" customHeight="1">
      <x:c r="A1457" s="5" t="str">
        <x:v>S4_PRESTAMO</x:v>
      </x:c>
      <x:c r="B1457" s="5" t="n">
        <x:v>9</x:v>
      </x:c>
      <x:c r="C1457" s="5" t="str">
        <x:v>industria</x:v>
      </x:c>
      <x:c r="D1457" s="5" t="n">
        <x:f>$F$1439</x:f>
        <x:v>46.38971273245926</x:v>
      </x:c>
      <x:c r="E1457" s="5" t="n">
        <x:f>(ABS('03_Sensibilidades'!$C$6)*IF('03_Sensibilidades'!$C$6&lt;0,100-$K$604,$K$604)+ABS('03_Sensibilidades'!$C$7)*IF('03_Sensibilidades'!$C$7&lt;0,100-$K$602,$K$602)+ABS('03_Sensibilidades'!$C$8)*IF('03_Sensibilidades'!$C$8&lt;0,100-$K$607,$K$607)+ABS('03_Sensibilidades'!$C$9)*IF('03_Sensibilidades'!$C$9&lt;0,100-$K$606,$K$606))/(ABS('03_Sensibilidades'!$C$6)+ABS('03_Sensibilidades'!$C$7)+ABS('03_Sensibilidades'!$C$8)+ABS('03_Sensibilidades'!$C$9))</x:f>
        <x:v>46.356141191557334</x:v>
      </x:c>
      <x:c r="F1457" s="5" t="n">
        <x:f>(1-'00_Arquitectura'!$B$95)*D1457+'00_Arquitectura'!$B$95*E1457</x:f>
        <x:v>46.37796269314359</x:v>
      </x:c>
      <x:c r="G1457" s="5" t="n">
        <x:f>'02_Actores'!$I$6</x:f>
        <x:v>45</x:v>
      </x:c>
      <x:c r="H1457" s="5" t="n">
        <x:f>IF(OR(AND(F1457&lt;'00_Arquitectura'!$B$118,G1457&lt;'00_Arquitectura'!$B$119),F1457&lt;'00_Arquitectura'!$B$120),1,0)</x:f>
        <x:v>0</x:v>
      </x:c>
      <x:c r="I1457" s="5" t="n">
        <x:f>IF($I$1439=1,IF(OR(AND(F1457&lt;'00_Arquitectura'!$B$121,G1457&lt;'00_Arquitectura'!$B$122),F1457&lt;'00_Arquitectura'!$B$123),1,0),IF(AND(H1457=1,$H$1439=1),1,0))</x:f>
        <x:v>0</x:v>
      </x:c>
      <x:c r="J1457" s="5" t="n">
        <x:f>-I1457*2*'02_Actores'!$E$6/10</x:f>
        <x:v>0</x:v>
      </x:c>
      <x:c r="K1457" s="5" t="n">
        <x:f>($F$1457*'02_Actores'!$F$6+$F$1458*'02_Actores'!$F$7+$F$1459*'02_Actores'!$F$8+$F$1460*'02_Actores'!$F$9+$F$1461*'02_Actores'!$F$10+$F$1462*'02_Actores'!$F$11+$F$1463*'02_Actores'!$F$12+$F$1464*'02_Actores'!$F$13+$F$1465*'02_Actores'!$F$14+$F$1466*'02_Actores'!$F$15+$F$1467*'02_Actores'!$F$16+$F$1468*'02_Actores'!$F$17+$F$1469*'02_Actores'!$F$18+$F$1470*'02_Actores'!$F$19)/('02_Actores'!$F$6+'02_Actores'!$F$7+'02_Actores'!$F$8+'02_Actores'!$F$9+'02_Actores'!$F$10+'02_Actores'!$F$11+'02_Actores'!$F$12+'02_Actores'!$F$13+'02_Actores'!$F$14+'02_Actores'!$F$15+'02_Actores'!$F$16+'02_Actores'!$F$17+'02_Actores'!$F$18+'02_Actores'!$F$19)</x:f>
        <x:v>48.945131170737525</x:v>
      </x:c>
      <x:c r="L1457" s="5" t="str">
        <x:v>J programa offset para t+1; efecto sustituible y acotado, sin voto adicional.</x:v>
      </x:c>
    </x:row>
    <x:row r="1458" ht="34" customHeight="1">
      <x:c r="A1458" s="10" t="str">
        <x:v>S4_PRESTAMO</x:v>
      </x:c>
      <x:c r="B1458" s="10" t="n">
        <x:v>9</x:v>
      </x:c>
      <x:c r="C1458" s="10" t="str">
        <x:v>agro</x:v>
      </x:c>
      <x:c r="D1458" s="10" t="n">
        <x:f>$F$1440</x:f>
        <x:v>45.84564320929464</x:v>
      </x:c>
      <x:c r="E1458" s="10" t="n">
        <x:f>(ABS('03_Sensibilidades'!$C$10)*IF('03_Sensibilidades'!$C$10&lt;0,100-$K$606,$K$606)+ABS('03_Sensibilidades'!$C$11)*IF('03_Sensibilidades'!$C$11&lt;0,100-$K$607,$K$607)+ABS('03_Sensibilidades'!$C$12)*IF('03_Sensibilidades'!$C$12&lt;0,100-$K$614,$K$614)+ABS('03_Sensibilidades'!$C$13)*IF('03_Sensibilidades'!$C$13&lt;0,100-$K$604,$K$604))/(ABS('03_Sensibilidades'!$C$10)+ABS('03_Sensibilidades'!$C$11)+ABS('03_Sensibilidades'!$C$12)+ABS('03_Sensibilidades'!$C$13))</x:f>
        <x:v>45.83157747436893</x:v>
      </x:c>
      <x:c r="F1458" s="10" t="n">
        <x:f>(1-'00_Arquitectura'!$B$95)*D1458+'00_Arquitectura'!$B$95*E1458</x:f>
        <x:v>45.84072020207064</x:v>
      </x:c>
      <x:c r="G1458" s="10" t="n">
        <x:f>'02_Actores'!$I$7</x:f>
        <x:v>45</x:v>
      </x:c>
      <x:c r="H1458" s="10" t="n">
        <x:f>IF(OR(AND(F1458&lt;'00_Arquitectura'!$B$118,G1458&lt;'00_Arquitectura'!$B$119),F1458&lt;'00_Arquitectura'!$B$120),1,0)</x:f>
        <x:v>0</x:v>
      </x:c>
      <x:c r="I1458" s="10" t="n">
        <x:f>IF($I$1440=1,IF(OR(AND(F1458&lt;'00_Arquitectura'!$B$121,G1458&lt;'00_Arquitectura'!$B$122),F1458&lt;'00_Arquitectura'!$B$123),1,0),IF(AND(H1458=1,$H$1440=1),1,0))</x:f>
        <x:v>0</x:v>
      </x:c>
      <x:c r="J1458" s="10" t="n">
        <x:f>-I1458*2*'02_Actores'!$E$7/10</x:f>
        <x:v>0</x:v>
      </x:c>
      <x:c r="K1458" s="10" t="n">
        <x:f>$K$1457</x:f>
        <x:v>48.945131170737525</x:v>
      </x:c>
      <x:c r="L1458" s="10" t="str">
        <x:v>J programa offset para t+1; efecto sustituible y acotado, sin voto adicional.</x:v>
      </x:c>
    </x:row>
    <x:row r="1459" ht="34" customHeight="1">
      <x:c r="A1459" s="5" t="str">
        <x:v>S4_PRESTAMO</x:v>
      </x:c>
      <x:c r="B1459" s="5" t="n">
        <x:v>9</x:v>
      </x:c>
      <x:c r="C1459" s="5" t="str">
        <x:v>financiero</x:v>
      </x:c>
      <x:c r="D1459" s="5" t="n">
        <x:f>$F$1441</x:f>
        <x:v>54.03940562929827</x:v>
      </x:c>
      <x:c r="E1459" s="5" t="n">
        <x:f>(ABS('03_Sensibilidades'!$C$14)*IF('03_Sensibilidades'!$C$14&lt;0,100-$K$605,$K$605)+ABS('03_Sensibilidades'!$C$15)*IF('03_Sensibilidades'!$C$15&lt;0,100-$K$601,$K$601)+ABS('03_Sensibilidades'!$C$16)*IF('03_Sensibilidades'!$C$16&lt;0,100-$K$604,$K$604)+ABS('03_Sensibilidades'!$C$17)*IF('03_Sensibilidades'!$C$17&lt;0,100-$K$613,$K$613))/(ABS('03_Sensibilidades'!$C$14)+ABS('03_Sensibilidades'!$C$15)+ABS('03_Sensibilidades'!$C$16)+ABS('03_Sensibilidades'!$C$17))</x:f>
        <x:v>54.01596163862283</x:v>
      </x:c>
      <x:c r="F1459" s="5" t="n">
        <x:f>(1-'00_Arquitectura'!$B$95)*D1459+'00_Arquitectura'!$B$95*E1459</x:f>
        <x:v>54.031200232561865</x:v>
      </x:c>
      <x:c r="G1459" s="5" t="n">
        <x:f>'02_Actores'!$I$8</x:f>
        <x:v>45</x:v>
      </x:c>
      <x:c r="H1459" s="5" t="n">
        <x:f>IF(OR(AND(F1459&lt;'00_Arquitectura'!$B$118,G1459&lt;'00_Arquitectura'!$B$119),F1459&lt;'00_Arquitectura'!$B$120),1,0)</x:f>
        <x:v>0</x:v>
      </x:c>
      <x:c r="I1459" s="5" t="n">
        <x:f>IF($I$1441=1,IF(OR(AND(F1459&lt;'00_Arquitectura'!$B$121,G1459&lt;'00_Arquitectura'!$B$122),F1459&lt;'00_Arquitectura'!$B$123),1,0),IF(AND(H1459=1,$H$1441=1),1,0))</x:f>
        <x:v>0</x:v>
      </x:c>
      <x:c r="J1459" s="5" t="n">
        <x:f>-I1459*2*'02_Actores'!$E$8/10</x:f>
        <x:v>0</x:v>
      </x:c>
      <x:c r="K1459" s="5" t="n">
        <x:f>$K$1457</x:f>
        <x:v>48.945131170737525</x:v>
      </x:c>
      <x:c r="L1459" s="5" t="str">
        <x:v>J programa offset para t+1; efecto sustituible y acotado, sin voto adicional.</x:v>
      </x:c>
    </x:row>
    <x:row r="1460" ht="34" customHeight="1">
      <x:c r="A1460" s="10" t="str">
        <x:v>S4_PRESTAMO</x:v>
      </x:c>
      <x:c r="B1460" s="10" t="n">
        <x:v>9</x:v>
      </x:c>
      <x:c r="C1460" s="10" t="str">
        <x:v>sindicatos</x:v>
      </x:c>
      <x:c r="D1460" s="10" t="n">
        <x:f>$F$1442</x:f>
        <x:v>48.17758065580517</x:v>
      </x:c>
      <x:c r="E1460" s="10" t="n">
        <x:f>(ABS('03_Sensibilidades'!$C$18)*IF('03_Sensibilidades'!$C$18&lt;0,100-$K$603,$K$603)+ABS('03_Sensibilidades'!$C$19)*IF('03_Sensibilidades'!$C$19&lt;0,100-$K$602,$K$602)+ABS('03_Sensibilidades'!$C$20)*IF('03_Sensibilidades'!$C$20&lt;0,100-$K$610,$K$610)+ABS('03_Sensibilidades'!$C$21)*IF('03_Sensibilidades'!$C$21&lt;0,100-$K$613,$K$613))/(ABS('03_Sensibilidades'!$C$18)+ABS('03_Sensibilidades'!$C$19)+ABS('03_Sensibilidades'!$C$20)+ABS('03_Sensibilidades'!$C$21))</x:f>
        <x:v>48.17862316824</x:v>
      </x:c>
      <x:c r="F1460" s="10" t="n">
        <x:f>(1-'00_Arquitectura'!$B$95)*D1460+'00_Arquitectura'!$B$95*E1460</x:f>
        <x:v>48.17794553515736</x:v>
      </x:c>
      <x:c r="G1460" s="10" t="n">
        <x:f>'02_Actores'!$I$9</x:f>
        <x:v>45</x:v>
      </x:c>
      <x:c r="H1460" s="10" t="n">
        <x:f>IF(OR(AND(F1460&lt;'00_Arquitectura'!$B$118,G1460&lt;'00_Arquitectura'!$B$119),F1460&lt;'00_Arquitectura'!$B$120),1,0)</x:f>
        <x:v>0</x:v>
      </x:c>
      <x:c r="I1460" s="10" t="n">
        <x:f>IF($I$1442=1,IF(OR(AND(F1460&lt;'00_Arquitectura'!$B$121,G1460&lt;'00_Arquitectura'!$B$122),F1460&lt;'00_Arquitectura'!$B$123),1,0),IF(AND(H1460=1,$H$1442=1),1,0))</x:f>
        <x:v>0</x:v>
      </x:c>
      <x:c r="J1460" s="10" t="n">
        <x:f>-I1460*2*'02_Actores'!$E$9/10</x:f>
        <x:v>0</x:v>
      </x:c>
      <x:c r="K1460" s="10" t="n">
        <x:f>$K$1457</x:f>
        <x:v>48.945131170737525</x:v>
      </x:c>
      <x:c r="L1460" s="10" t="str">
        <x:v>J programa offset para t+1; efecto sustituible y acotado, sin voto adicional.</x:v>
      </x:c>
    </x:row>
    <x:row r="1461" ht="34" customHeight="1">
      <x:c r="A1461" s="5" t="str">
        <x:v>S4_PRESTAMO</x:v>
      </x:c>
      <x:c r="B1461" s="5" t="n">
        <x:v>9</x:v>
      </x:c>
      <x:c r="C1461" s="5" t="str">
        <x:v>pymes</x:v>
      </x:c>
      <x:c r="D1461" s="5" t="n">
        <x:f>$F$1443</x:f>
        <x:v>49.032694007603446</x:v>
      </x:c>
      <x:c r="E1461" s="5" t="n">
        <x:f>(ABS('03_Sensibilidades'!$C$22)*IF('03_Sensibilidades'!$C$22&lt;0,100-$K$604,$K$604)+ABS('03_Sensibilidades'!$C$23)*IF('03_Sensibilidades'!$C$23&lt;0,100-$K$602,$K$602)+ABS('03_Sensibilidades'!$C$24)*IF('03_Sensibilidades'!$C$24&lt;0,100-$K$607,$K$607)+ABS('03_Sensibilidades'!$C$25)*IF('03_Sensibilidades'!$C$25&lt;0,100-$K$601,$K$601))/(ABS('03_Sensibilidades'!$C$22)+ABS('03_Sensibilidades'!$C$23)+ABS('03_Sensibilidades'!$C$24)+ABS('03_Sensibilidades'!$C$25))</x:f>
        <x:v>48.99481457069034</x:v>
      </x:c>
      <x:c r="F1461" s="5" t="n">
        <x:f>(1-'00_Arquitectura'!$B$95)*D1461+'00_Arquitectura'!$B$95*E1461</x:f>
        <x:v>49.019436204683856</x:v>
      </x:c>
      <x:c r="G1461" s="5" t="n">
        <x:f>'02_Actores'!$I$10</x:f>
        <x:v>45</x:v>
      </x:c>
      <x:c r="H1461" s="5" t="n">
        <x:f>IF(OR(AND(F1461&lt;'00_Arquitectura'!$B$118,G1461&lt;'00_Arquitectura'!$B$119),F1461&lt;'00_Arquitectura'!$B$120),1,0)</x:f>
        <x:v>0</x:v>
      </x:c>
      <x:c r="I1461" s="5" t="n">
        <x:f>IF($I$1443=1,IF(OR(AND(F1461&lt;'00_Arquitectura'!$B$121,G1461&lt;'00_Arquitectura'!$B$122),F1461&lt;'00_Arquitectura'!$B$123),1,0),IF(AND(H1461=1,$H$1443=1),1,0))</x:f>
        <x:v>0</x:v>
      </x:c>
      <x:c r="J1461" s="5" t="n">
        <x:f>-I1461*2*'02_Actores'!$E$10/10</x:f>
        <x:v>0</x:v>
      </x:c>
      <x:c r="K1461" s="5" t="n">
        <x:f>$K$1457</x:f>
        <x:v>48.945131170737525</x:v>
      </x:c>
      <x:c r="L1461" s="5" t="str">
        <x:v>J programa offset para t+1; efecto sustituible y acotado, sin voto adicional.</x:v>
      </x:c>
    </x:row>
    <x:row r="1462" ht="34" customHeight="1">
      <x:c r="A1462" s="10" t="str">
        <x:v>S4_PRESTAMO</x:v>
      </x:c>
      <x:c r="B1462" s="10" t="n">
        <x:v>9</x:v>
      </x:c>
      <x:c r="C1462" s="10" t="str">
        <x:v>clase_media</x:v>
      </x:c>
      <x:c r="D1462" s="10" t="n">
        <x:f>$F$1444</x:f>
        <x:v>48.331478175911116</x:v>
      </x:c>
      <x:c r="E1462" s="10" t="n">
        <x:f>(ABS('03_Sensibilidades'!$C$26)*IF('03_Sensibilidades'!$C$26&lt;0,100-$K$603,$K$603)+ABS('03_Sensibilidades'!$C$27)*IF('03_Sensibilidades'!$C$27&lt;0,100-$K$611,$K$611)+ABS('03_Sensibilidades'!$C$28)*IF('03_Sensibilidades'!$C$28&lt;0,100-$K$608,$K$608)+ABS('03_Sensibilidades'!$C$29)*IF('03_Sensibilidades'!$C$29&lt;0,100-$K$601,$K$601))/(ABS('03_Sensibilidades'!$C$26)+ABS('03_Sensibilidades'!$C$27)+ABS('03_Sensibilidades'!$C$28)+ABS('03_Sensibilidades'!$C$29))</x:f>
        <x:v>48.3295847368</x:v>
      </x:c>
      <x:c r="F1462" s="10" t="n">
        <x:f>(1-'00_Arquitectura'!$B$95)*D1462+'00_Arquitectura'!$B$95*E1462</x:f>
        <x:v>48.33081547222223</x:v>
      </x:c>
      <x:c r="G1462" s="10" t="n">
        <x:f>'02_Actores'!$I$11</x:f>
        <x:v>45</x:v>
      </x:c>
      <x:c r="H1462" s="10" t="n">
        <x:f>IF(OR(AND(F1462&lt;'00_Arquitectura'!$B$118,G1462&lt;'00_Arquitectura'!$B$119),F1462&lt;'00_Arquitectura'!$B$120),1,0)</x:f>
        <x:v>0</x:v>
      </x:c>
      <x:c r="I1462" s="10" t="n">
        <x:f>IF($I$1444=1,IF(OR(AND(F1462&lt;'00_Arquitectura'!$B$121,G1462&lt;'00_Arquitectura'!$B$122),F1462&lt;'00_Arquitectura'!$B$123),1,0),IF(AND(H1462=1,$H$1444=1),1,0))</x:f>
        <x:v>0</x:v>
      </x:c>
      <x:c r="J1462" s="10" t="n">
        <x:f>0</x:f>
        <x:v>0</x:v>
      </x:c>
      <x:c r="K1462" s="10" t="n">
        <x:f>$K$1457</x:f>
        <x:v>48.945131170737525</x:v>
      </x:c>
      <x:c r="L1462" s="10" t="str">
        <x:v>Canal directo sólo al índice social; sin bono de popularidad.</x:v>
      </x:c>
    </x:row>
    <x:row r="1463" ht="34" customHeight="1">
      <x:c r="A1463" s="5" t="str">
        <x:v>S4_PRESTAMO</x:v>
      </x:c>
      <x:c r="B1463" s="5" t="n">
        <x:v>9</x:v>
      </x:c>
      <x:c r="C1463" s="5" t="str">
        <x:v>cooperativas</x:v>
      </x:c>
      <x:c r="D1463" s="5" t="n">
        <x:f>$F$1445</x:f>
        <x:v>47.9792512990037</x:v>
      </x:c>
      <x:c r="E1463" s="5" t="n">
        <x:f>(ABS('03_Sensibilidades'!$C$30)*IF('03_Sensibilidades'!$C$30&lt;0,100-$K$604,$K$604)+ABS('03_Sensibilidades'!$C$31)*IF('03_Sensibilidades'!$C$31&lt;0,100-$K$602,$K$602)+ABS('03_Sensibilidades'!$C$32)*IF('03_Sensibilidades'!$C$32&lt;0,100-$K$610,$K$610)+ABS('03_Sensibilidades'!$C$33)*IF('03_Sensibilidades'!$C$33&lt;0,100-$K$613,$K$613))/(ABS('03_Sensibilidades'!$C$30)+ABS('03_Sensibilidades'!$C$31)+ABS('03_Sensibilidades'!$C$32)+ABS('03_Sensibilidades'!$C$33))</x:f>
        <x:v>47.96440132039044</x:v>
      </x:c>
      <x:c r="F1463" s="5" t="n">
        <x:f>(1-'00_Arquitectura'!$B$95)*D1463+'00_Arquitectura'!$B$95*E1463</x:f>
        <x:v>47.97405380648905</x:v>
      </x:c>
      <x:c r="G1463" s="5" t="n">
        <x:f>'02_Actores'!$I$12</x:f>
        <x:v>45</x:v>
      </x:c>
      <x:c r="H1463" s="5" t="n">
        <x:f>IF(OR(AND(F1463&lt;'00_Arquitectura'!$B$118,G1463&lt;'00_Arquitectura'!$B$119),F1463&lt;'00_Arquitectura'!$B$120),1,0)</x:f>
        <x:v>0</x:v>
      </x:c>
      <x:c r="I1463" s="5" t="n">
        <x:f>IF($I$1445=1,IF(OR(AND(F1463&lt;'00_Arquitectura'!$B$121,G1463&lt;'00_Arquitectura'!$B$122),F1463&lt;'00_Arquitectura'!$B$123),1,0),IF(AND(H1463=1,$H$1445=1),1,0))</x:f>
        <x:v>0</x:v>
      </x:c>
      <x:c r="J1463" s="5" t="n">
        <x:f>-I1463*1.5*'02_Actores'!$E$12/10</x:f>
        <x:v>0</x:v>
      </x:c>
      <x:c r="K1463" s="5" t="n">
        <x:f>$K$1457</x:f>
        <x:v>48.945131170737525</x:v>
      </x:c>
      <x:c r="L1463" s="5" t="str">
        <x:v>J programa offset para t+1; efecto sustituible y acotado, sin voto adicional.</x:v>
      </x:c>
    </x:row>
    <x:row r="1464" ht="42" customHeight="1">
      <x:c r="A1464" s="10" t="str">
        <x:v>S4_PRESTAMO</x:v>
      </x:c>
      <x:c r="B1464" s="10" t="n">
        <x:v>9</x:v>
      </x:c>
      <x:c r="C1464" s="10" t="str">
        <x:v>estudiantes</x:v>
      </x:c>
      <x:c r="D1464" s="10" t="n">
        <x:f>$F$1446</x:f>
        <x:v>49.7315457388045</x:v>
      </x:c>
      <x:c r="E1464" s="10" t="n">
        <x:f>(ABS('03_Sensibilidades'!$C$34)*IF('03_Sensibilidades'!$C$34&lt;0,100-$K$608,$K$608)+ABS('03_Sensibilidades'!$C$35)*IF('03_Sensibilidades'!$C$35&lt;0,100-$K$603,$K$603)+ABS('03_Sensibilidades'!$C$36)*IF('03_Sensibilidades'!$C$36&lt;0,100-$K$613,$K$613)+ABS('03_Sensibilidades'!$C$37)*IF('03_Sensibilidades'!$C$37&lt;0,100-$K$612,$K$612))/(ABS('03_Sensibilidades'!$C$34)+ABS('03_Sensibilidades'!$C$35)+ABS('03_Sensibilidades'!$C$36)+ABS('03_Sensibilidades'!$C$37))</x:f>
        <x:v>49.757975757872</x:v>
      </x:c>
      <x:c r="F1464" s="10" t="n">
        <x:f>(1-'00_Arquitectura'!$B$95)*D1464+'00_Arquitectura'!$B$95*E1464</x:f>
        <x:v>49.74079624547812</x:v>
      </x:c>
      <x:c r="G1464" s="10" t="n">
        <x:f>'02_Actores'!$I$13</x:f>
        <x:v>45</x:v>
      </x:c>
      <x:c r="H1464" s="10" t="n">
        <x:f>IF(OR(AND(F1464&lt;'00_Arquitectura'!$B$118,G1464&lt;'00_Arquitectura'!$B$119),F1464&lt;'00_Arquitectura'!$B$120),1,0)</x:f>
        <x:v>0</x:v>
      </x:c>
      <x:c r="I1464" s="10" t="n">
        <x:f>IF($I$1446=1,IF(OR(AND(F1464&lt;'00_Arquitectura'!$B$121,G1464&lt;'00_Arquitectura'!$B$122),F1464&lt;'00_Arquitectura'!$B$123),1,0),IF(AND(H1464=1,$H$1446=1),1,0))</x:f>
        <x:v>0</x:v>
      </x:c>
      <x:c r="J1464" s="10" t="n">
        <x:f>0</x:f>
        <x:v>0</x:v>
      </x:c>
      <x:c r="K1464" s="10" t="n">
        <x:f>$K$1457</x:f>
        <x:v>48.945131170737525</x:v>
      </x:c>
      <x:c r="L1464" s="10" t="str">
        <x:v>Conflicto activo captura menor eficacia en políticas ejecutadas en t+1. Magnitud0 en J: no es un offset directo de indicador.</x:v>
      </x:c>
    </x:row>
    <x:row r="1465" ht="34" customHeight="1">
      <x:c r="A1465" s="5" t="str">
        <x:v>S4_PRESTAMO</x:v>
      </x:c>
      <x:c r="B1465" s="5" t="n">
        <x:v>9</x:v>
      </x:c>
      <x:c r="C1465" s="5" t="str">
        <x:v>docentes</x:v>
      </x:c>
      <x:c r="D1465" s="5" t="n">
        <x:f>$F$1447</x:f>
        <x:v>49.241858323625664</x:v>
      </x:c>
      <x:c r="E1465" s="5" t="n">
        <x:f>(ABS('03_Sensibilidades'!$C$38)*IF('03_Sensibilidades'!$C$38&lt;0,100-$K$608,$K$608)+ABS('03_Sensibilidades'!$C$39)*IF('03_Sensibilidades'!$C$39&lt;0,100-$K$603,$K$603)+ABS('03_Sensibilidades'!$C$40)*IF('03_Sensibilidades'!$C$40&lt;0,100-$K$613,$K$613))/(ABS('03_Sensibilidades'!$C$38)+ABS('03_Sensibilidades'!$C$39)+ABS('03_Sensibilidades'!$C$40))</x:f>
        <x:v>49.2569090914887</x:v>
      </x:c>
      <x:c r="F1465" s="5" t="n">
        <x:f>(1-'00_Arquitectura'!$B$95)*D1465+'00_Arquitectura'!$B$95*E1465</x:f>
        <x:v>49.24712609237773</x:v>
      </x:c>
      <x:c r="G1465" s="5" t="n">
        <x:f>'02_Actores'!$I$14</x:f>
        <x:v>45</x:v>
      </x:c>
      <x:c r="H1465" s="5" t="n">
        <x:f>IF(OR(AND(F1465&lt;'00_Arquitectura'!$B$118,G1465&lt;'00_Arquitectura'!$B$119),F1465&lt;'00_Arquitectura'!$B$120),1,0)</x:f>
        <x:v>0</x:v>
      </x:c>
      <x:c r="I1465" s="5" t="n">
        <x:f>IF($I$1447=1,IF(OR(AND(F1465&lt;'00_Arquitectura'!$B$121,G1465&lt;'00_Arquitectura'!$B$122),F1465&lt;'00_Arquitectura'!$B$123),1,0),IF(AND(H1465=1,$H$1447=1),1,0))</x:f>
        <x:v>0</x:v>
      </x:c>
      <x:c r="J1465" s="5" t="n">
        <x:f>-I1465*1.5*'02_Actores'!$E$14/10</x:f>
        <x:v>0</x:v>
      </x:c>
      <x:c r="K1465" s="5" t="n">
        <x:f>$K$1457</x:f>
        <x:v>48.945131170737525</x:v>
      </x:c>
      <x:c r="L1465" s="5" t="str">
        <x:v>J programa offset para t+1; efecto sustituible y acotado, sin voto adicional.</x:v>
      </x:c>
    </x:row>
    <x:row r="1466" ht="34" customHeight="1">
      <x:c r="A1466" s="10" t="str">
        <x:v>S4_PRESTAMO</x:v>
      </x:c>
      <x:c r="B1466" s="10" t="n">
        <x:v>9</x:v>
      </x:c>
      <x:c r="C1466" s="10" t="str">
        <x:v>cientificos</x:v>
      </x:c>
      <x:c r="D1466" s="10" t="n">
        <x:f>$F$1448</x:f>
        <x:v>47.02317169140625</x:v>
      </x:c>
      <x:c r="E1466" s="10" t="n">
        <x:f>(ABS('03_Sensibilidades'!$C$41)*IF('03_Sensibilidades'!$C$41&lt;0,100-$K$612,$K$612)+ABS('03_Sensibilidades'!$C$42)*IF('03_Sensibilidades'!$C$42&lt;0,100-$K$608,$K$608)+ABS('03_Sensibilidades'!$C$43)*IF('03_Sensibilidades'!$C$43&lt;0,100-$K$613,$K$613))/(ABS('03_Sensibilidades'!$C$41)+ABS('03_Sensibilidades'!$C$42)+ABS('03_Sensibilidades'!$C$43))</x:f>
        <x:v>47.04545454545455</x:v>
      </x:c>
      <x:c r="F1466" s="10" t="n">
        <x:f>(1-'00_Arquitectura'!$B$95)*D1466+'00_Arquitectura'!$B$95*E1466</x:f>
        <x:v>47.03097069032315</x:v>
      </x:c>
      <x:c r="G1466" s="10" t="n">
        <x:f>'02_Actores'!$I$15</x:f>
        <x:v>45</x:v>
      </x:c>
      <x:c r="H1466" s="10" t="n">
        <x:f>IF(OR(AND(F1466&lt;'00_Arquitectura'!$B$118,G1466&lt;'00_Arquitectura'!$B$119),F1466&lt;'00_Arquitectura'!$B$120),1,0)</x:f>
        <x:v>0</x:v>
      </x:c>
      <x:c r="I1466" s="10" t="n">
        <x:f>IF($I$1448=1,IF(OR(AND(F1466&lt;'00_Arquitectura'!$B$121,G1466&lt;'00_Arquitectura'!$B$122),F1466&lt;'00_Arquitectura'!$B$123),1,0),IF(AND(H1466=1,$H$1448=1),1,0))</x:f>
        <x:v>0</x:v>
      </x:c>
      <x:c r="J1466" s="10" t="n">
        <x:f>-I1466*1.5*'02_Actores'!$E$15/10</x:f>
        <x:v>0</x:v>
      </x:c>
      <x:c r="K1466" s="10" t="n">
        <x:f>$K$1457</x:f>
        <x:v>48.945131170737525</x:v>
      </x:c>
      <x:c r="L1466" s="10" t="str">
        <x:v>J programa offset para t+1; efecto sustituible y acotado, sin voto adicional.</x:v>
      </x:c>
    </x:row>
    <x:row r="1467" ht="34" customHeight="1">
      <x:c r="A1467" s="5" t="str">
        <x:v>S4_PRESTAMO</x:v>
      </x:c>
      <x:c r="B1467" s="5" t="n">
        <x:v>9</x:v>
      </x:c>
      <x:c r="C1467" s="5" t="str">
        <x:v>organizaciones</x:v>
      </x:c>
      <x:c r="D1467" s="5" t="n">
        <x:f>$F$1449</x:f>
        <x:v>49.43706600753349</x:v>
      </x:c>
      <x:c r="E1467" s="5" t="n">
        <x:f>(ABS('03_Sensibilidades'!$C$44)*IF('03_Sensibilidades'!$C$44&lt;0,100-$K$610,$K$610)+ABS('03_Sensibilidades'!$C$45)*IF('03_Sensibilidades'!$C$45&lt;0,100-$K$609,$K$609)+ABS('03_Sensibilidades'!$C$46)*IF('03_Sensibilidades'!$C$46&lt;0,100-$K$602,$K$602)+ABS('03_Sensibilidades'!$C$47)*IF('03_Sensibilidades'!$C$47&lt;0,100-$K$613,$K$613))/(ABS('03_Sensibilidades'!$C$44)+ABS('03_Sensibilidades'!$C$45)+ABS('03_Sensibilidades'!$C$46)+ABS('03_Sensibilidades'!$C$47))</x:f>
        <x:v>49.447173428222854</x:v>
      </x:c>
      <x:c r="F1467" s="5" t="n">
        <x:f>(1-'00_Arquitectura'!$B$95)*D1467+'00_Arquitectura'!$B$95*E1467</x:f>
        <x:v>49.440603604774765</x:v>
      </x:c>
      <x:c r="G1467" s="5" t="n">
        <x:f>'02_Actores'!$I$16</x:f>
        <x:v>45</x:v>
      </x:c>
      <x:c r="H1467" s="5" t="n">
        <x:f>IF(OR(AND(F1467&lt;'00_Arquitectura'!$B$118,G1467&lt;'00_Arquitectura'!$B$119),F1467&lt;'00_Arquitectura'!$B$120),1,0)</x:f>
        <x:v>0</x:v>
      </x:c>
      <x:c r="I1467" s="5" t="n">
        <x:f>IF($I$1449=1,IF(OR(AND(F1467&lt;'00_Arquitectura'!$B$121,G1467&lt;'00_Arquitectura'!$B$122),F1467&lt;'00_Arquitectura'!$B$123),1,0),IF(AND(H1467=1,$H$1449=1),1,0))</x:f>
        <x:v>0</x:v>
      </x:c>
      <x:c r="J1467" s="5" t="n">
        <x:f>-I1467*1.5*'02_Actores'!$E$16/10</x:f>
        <x:v>0</x:v>
      </x:c>
      <x:c r="K1467" s="5" t="n">
        <x:f>$K$1457</x:f>
        <x:v>48.945131170737525</x:v>
      </x:c>
      <x:c r="L1467" s="5" t="str">
        <x:v>J programa offset para t+1; efecto sustituible y acotado, sin voto adicional.</x:v>
      </x:c>
    </x:row>
    <x:row r="1468" ht="42" customHeight="1">
      <x:c r="A1468" s="10" t="str">
        <x:v>S4_PRESTAMO</x:v>
      </x:c>
      <x:c r="B1468" s="10" t="n">
        <x:v>9</x:v>
      </x:c>
      <x:c r="C1468" s="10" t="str">
        <x:v>ddhh</x:v>
      </x:c>
      <x:c r="D1468" s="10" t="n">
        <x:f>$F$1450</x:f>
        <x:v>52.00115026011029</x:v>
      </x:c>
      <x:c r="E1468" s="10" t="n">
        <x:f>(ABS('03_Sensibilidades'!$C$48)*IF('03_Sensibilidades'!$C$48&lt;0,100-$K$613,$K$613)+ABS('03_Sensibilidades'!$C$49)*IF('03_Sensibilidades'!$C$49&lt;0,100-$K$611,$K$611)+ABS('03_Sensibilidades'!$C$50)*IF('03_Sensibilidades'!$C$50&lt;0,100-$K$610,$K$610))/(ABS('03_Sensibilidades'!$C$48)+ABS('03_Sensibilidades'!$C$49)+ABS('03_Sensibilidades'!$C$50))</x:f>
        <x:v>52.05882352941177</x:v>
      </x:c>
      <x:c r="F1468" s="10" t="n">
        <x:f>(1-'00_Arquitectura'!$B$95)*D1468+'00_Arquitectura'!$B$95*E1468</x:f>
        <x:v>52.021335904365806</x:v>
      </x:c>
      <x:c r="G1468" s="10" t="n">
        <x:f>'02_Actores'!$I$17</x:f>
        <x:v>45</x:v>
      </x:c>
      <x:c r="H1468" s="10" t="n">
        <x:f>IF(OR(AND(F1468&lt;'00_Arquitectura'!$B$118,G1468&lt;'00_Arquitectura'!$B$119),F1468&lt;'00_Arquitectura'!$B$120),1,0)</x:f>
        <x:v>0</x:v>
      </x:c>
      <x:c r="I1468" s="10" t="n">
        <x:f>IF($I$1450=1,IF(OR(AND(F1468&lt;'00_Arquitectura'!$B$121,G1468&lt;'00_Arquitectura'!$B$122),F1468&lt;'00_Arquitectura'!$B$123),1,0),IF(AND(H1468=1,$H$1450=1),1,0))</x:f>
        <x:v>0</x:v>
      </x:c>
      <x:c r="J1468" s="10" t="n">
        <x:f>0</x:f>
        <x:v>0</x:v>
      </x:c>
      <x:c r="K1468" s="10" t="n">
        <x:f>$K$1457</x:f>
        <x:v>48.945131170737525</x:v>
      </x:c>
      <x:c r="L1468" s="10" t="str">
        <x:v>Conflicto activo captura menor eficacia en políticas ejecutadas en t+1. Magnitud0 en J: no es un offset directo de indicador.</x:v>
      </x:c>
    </x:row>
    <x:row r="1469" ht="42" customHeight="1">
      <x:c r="A1469" s="5" t="str">
        <x:v>S4_PRESTAMO</x:v>
      </x:c>
      <x:c r="B1469" s="5" t="n">
        <x:v>9</x:v>
      </x:c>
      <x:c r="C1469" s="5" t="str">
        <x:v>ambientalistas</x:v>
      </x:c>
      <x:c r="D1469" s="5" t="n">
        <x:f>$F$1451</x:f>
        <x:v>51.917209845052085</x:v>
      </x:c>
      <x:c r="E1469" s="5" t="n">
        <x:f>(ABS('03_Sensibilidades'!$C$51)*IF('03_Sensibilidades'!$C$51&lt;0,100-$K$614,$K$614)+ABS('03_Sensibilidades'!$C$52)*IF('03_Sensibilidades'!$C$52&lt;0,100-$K$613,$K$613)+ABS('03_Sensibilidades'!$C$53)*IF('03_Sensibilidades'!$C$53&lt;0,100-$K$609,$K$609))/(ABS('03_Sensibilidades'!$C$51)+ABS('03_Sensibilidades'!$C$52)+ABS('03_Sensibilidades'!$C$53))</x:f>
        <x:v>51.94444444444444</x:v>
      </x:c>
      <x:c r="F1469" s="5" t="n">
        <x:f>(1-'00_Arquitectura'!$B$95)*D1469+'00_Arquitectura'!$B$95*E1469</x:f>
        <x:v>51.926741954839414</x:v>
      </x:c>
      <x:c r="G1469" s="5" t="n">
        <x:f>'02_Actores'!$I$18</x:f>
        <x:v>45</x:v>
      </x:c>
      <x:c r="H1469" s="5" t="n">
        <x:f>IF(OR(AND(F1469&lt;'00_Arquitectura'!$B$118,G1469&lt;'00_Arquitectura'!$B$119),F1469&lt;'00_Arquitectura'!$B$120),1,0)</x:f>
        <x:v>0</x:v>
      </x:c>
      <x:c r="I1469" s="5" t="n">
        <x:f>IF($I$1451=1,IF(OR(AND(F1469&lt;'00_Arquitectura'!$B$121,G1469&lt;'00_Arquitectura'!$B$122),F1469&lt;'00_Arquitectura'!$B$123),1,0),IF(AND(H1469=1,$H$1451=1),1,0))</x:f>
        <x:v>0</x:v>
      </x:c>
      <x:c r="J1469" s="5" t="n">
        <x:f>0</x:f>
        <x:v>0</x:v>
      </x:c>
      <x:c r="K1469" s="5" t="n">
        <x:f>$K$1457</x:f>
        <x:v>48.945131170737525</x:v>
      </x:c>
      <x:c r="L1469" s="5" t="str">
        <x:v>Conflicto activo captura menor eficacia en políticas ejecutadas en t+1. Magnitud0 en J: no es un offset directo de indicador.</x:v>
      </x:c>
    </x:row>
    <x:row r="1470" ht="34" customHeight="1">
      <x:c r="A1470" s="10" t="str">
        <x:v>S4_PRESTAMO</x:v>
      </x:c>
      <x:c r="B1470" s="10" t="n">
        <x:v>9</x:v>
      </x:c>
      <x:c r="C1470" s="10" t="str">
        <x:v>cultura</x:v>
      </x:c>
      <x:c r="D1470" s="10" t="n">
        <x:f>$F$1452</x:f>
        <x:v>51.588978890121055</x:v>
      </x:c>
      <x:c r="E1470" s="10" t="n">
        <x:f>(ABS('03_Sensibilidades'!$C$54)*IF('03_Sensibilidades'!$C$54&lt;0,100-$K$613,$K$613)+ABS('03_Sensibilidades'!$C$55)*IF('03_Sensibilidades'!$C$55&lt;0,100-$K$608,$K$608)+ABS('03_Sensibilidades'!$C$56)*IF('03_Sensibilidades'!$C$56&lt;0,100-$K$603,$K$603))/(ABS('03_Sensibilidades'!$C$54)+ABS('03_Sensibilidades'!$C$55)+ABS('03_Sensibilidades'!$C$56))</x:f>
        <x:v>51.62891547088421</x:v>
      </x:c>
      <x:c r="F1470" s="10" t="n">
        <x:f>(1-'00_Arquitectura'!$B$95)*D1470+'00_Arquitectura'!$B$95*E1470</x:f>
        <x:v>51.60295669338816</x:v>
      </x:c>
      <x:c r="G1470" s="10" t="n">
        <x:f>'02_Actores'!$I$19</x:f>
        <x:v>45</x:v>
      </x:c>
      <x:c r="H1470" s="10" t="n">
        <x:f>IF(OR(AND(F1470&lt;'00_Arquitectura'!$B$118,G1470&lt;'00_Arquitectura'!$B$119),F1470&lt;'00_Arquitectura'!$B$120),1,0)</x:f>
        <x:v>0</x:v>
      </x:c>
      <x:c r="I1470" s="10" t="n">
        <x:f>IF($I$1452=1,IF(OR(AND(F1470&lt;'00_Arquitectura'!$B$121,G1470&lt;'00_Arquitectura'!$B$122),F1470&lt;'00_Arquitectura'!$B$123),1,0),IF(AND(H1470=1,$H$1452=1),1,0))</x:f>
        <x:v>0</x:v>
      </x:c>
      <x:c r="J1470" s="10" t="n">
        <x:f>0</x:f>
        <x:v>0</x:v>
      </x:c>
      <x:c r="K1470" s="10" t="n">
        <x:f>$K$1457</x:f>
        <x:v>48.945131170737525</x:v>
      </x:c>
      <x:c r="L1470" s="10" t="str">
        <x:v>Conflicto activo encarece agenda del turno siguiente; sin castigo electoral adicional.</x:v>
      </x:c>
    </x:row>
    <x:row r="1471" ht="34" customHeight="1">
      <x:c r="A1471" s="5" t="str">
        <x:v>S4_PRESTAMO</x:v>
      </x:c>
      <x:c r="B1471" s="5" t="n">
        <x:v>9</x:v>
      </x:c>
      <x:c r="C1471" s="5" t="str">
        <x:v>oficialismo</x:v>
      </x:c>
      <x:c r="D1471" s="5" t="n">
        <x:f>$F$1453</x:f>
        <x:v>51.75522389036221</x:v>
      </x:c>
      <x:c r="E1471" s="5" t="n">
        <x:f>(ABS('03_Sensibilidades'!$C$57)*IF('03_Sensibilidades'!$C$57&lt;0,100-$K$613,$K$613)+ABS('03_Sensibilidades'!$C$58)*IF('03_Sensibilidades'!$C$58&lt;0,100-$K$602,$K$602)+ABS('03_Sensibilidades'!$C$59)*IF('03_Sensibilidades'!$C$59&lt;0,100-$K$605,$K$605)+ABS('03_Sensibilidades'!$C$60)*IF('03_Sensibilidades'!$C$60&lt;0,100-$K$610,$K$610))/(ABS('03_Sensibilidades'!$C$57)+ABS('03_Sensibilidades'!$C$58)+ABS('03_Sensibilidades'!$C$59)+ABS('03_Sensibilidades'!$C$60))</x:f>
        <x:v>51.755206865408</x:v>
      </x:c>
      <x:c r="F1471" s="5" t="n">
        <x:f>(1-'00_Arquitectura'!$B$95)*D1471+'00_Arquitectura'!$B$95*E1471</x:f>
        <x:v>51.75521793162824</x:v>
      </x:c>
      <x:c r="G1471" s="5" t="n">
        <x:f>'02_Actores'!$I$20</x:f>
        <x:v>60</x:v>
      </x:c>
      <x:c r="H1471" s="5" t="n">
        <x:f>IF(OR(AND(F1471&lt;'00_Arquitectura'!$B$118,G1471&lt;'00_Arquitectura'!$B$119),F1471&lt;'00_Arquitectura'!$B$120),1,0)</x:f>
        <x:v>0</x:v>
      </x:c>
      <x:c r="I1471" s="5" t="n">
        <x:f>IF($I$1453=1,IF(OR(AND(F1471&lt;'00_Arquitectura'!$B$121,G1471&lt;'00_Arquitectura'!$B$122),F1471&lt;'00_Arquitectura'!$B$123),1,0),IF(AND(H1471=1,$H$1453=1),1,0))</x:f>
        <x:v>0</x:v>
      </x:c>
      <x:c r="J1471" s="5" t="n">
        <x:f>0</x:f>
        <x:v>0</x:v>
      </x:c>
      <x:c r="K1471" s="5" t="n">
        <x:f>$K$1457</x:f>
        <x:v>48.945131170737525</x:v>
      </x:c>
      <x:c r="L1471" s="5" t="str">
        <x:v>No aporta E_social; S y R alimentan disposición a leyes según07.</x:v>
      </x:c>
    </x:row>
    <x:row r="1472" ht="34" customHeight="1">
      <x:c r="A1472" s="10" t="str">
        <x:v>S4_PRESTAMO</x:v>
      </x:c>
      <x:c r="B1472" s="10" t="n">
        <x:v>9</x:v>
      </x:c>
      <x:c r="C1472" s="10" t="str">
        <x:v>aliados</x:v>
      </x:c>
      <x:c r="D1472" s="10" t="n">
        <x:f>$F$1454</x:f>
        <x:v>52.746935852908805</x:v>
      </x:c>
      <x:c r="E1472" s="10" t="n">
        <x:f>(ABS('03_Sensibilidades'!$C$61)*IF('03_Sensibilidades'!$C$61&lt;0,100-$K$613,$K$613)+ABS('03_Sensibilidades'!$C$62)*IF('03_Sensibilidades'!$C$62&lt;0,100-$K$605,$K$605)+ABS('03_Sensibilidades'!$C$63)*IF('03_Sensibilidades'!$C$63&lt;0,100-$K$607,$K$607))/(ABS('03_Sensibilidades'!$C$61)+ABS('03_Sensibilidades'!$C$62)+ABS('03_Sensibilidades'!$C$63))</x:f>
        <x:v>52.766930255588576</x:v>
      </x:c>
      <x:c r="F1472" s="10" t="n">
        <x:f>(1-'00_Arquitectura'!$B$95)*D1472+'00_Arquitectura'!$B$95*E1472</x:f>
        <x:v>52.75393389384672</x:v>
      </x:c>
      <x:c r="G1472" s="10" t="n">
        <x:f>'02_Actores'!$I$21</x:f>
        <x:v>45</x:v>
      </x:c>
      <x:c r="H1472" s="10" t="n">
        <x:f>IF(OR(AND(F1472&lt;'00_Arquitectura'!$B$118,G1472&lt;'00_Arquitectura'!$B$119),F1472&lt;'00_Arquitectura'!$B$120),1,0)</x:f>
        <x:v>0</x:v>
      </x:c>
      <x:c r="I1472" s="10" t="n">
        <x:f>IF($I$1454=1,IF(OR(AND(F1472&lt;'00_Arquitectura'!$B$121,G1472&lt;'00_Arquitectura'!$B$122),F1472&lt;'00_Arquitectura'!$B$123),1,0),IF(AND(H1472=1,$H$1454=1),1,0))</x:f>
        <x:v>0</x:v>
      </x:c>
      <x:c r="J1472" s="10" t="n">
        <x:f>0</x:f>
        <x:v>0</x:v>
      </x:c>
      <x:c r="K1472" s="10" t="n">
        <x:f>$K$1457</x:f>
        <x:v>48.945131170737525</x:v>
      </x:c>
      <x:c r="L1472" s="10" t="str">
        <x:v>No aporta E_social; S y R alimentan disposición a leyes según07.</x:v>
      </x:c>
    </x:row>
    <x:row r="1473" ht="34" customHeight="1">
      <x:c r="A1473" s="5" t="str">
        <x:v>S4_PRESTAMO</x:v>
      </x:c>
      <x:c r="B1473" s="5" t="n">
        <x:v>9</x:v>
      </x:c>
      <x:c r="C1473" s="5" t="str">
        <x:v>oposicion</x:v>
      </x:c>
      <x:c r="D1473" s="5" t="n">
        <x:f>$F$1455</x:f>
        <x:v>53.84254955139025</x:v>
      </x:c>
      <x:c r="E1473" s="5" t="n">
        <x:f>(ABS('03_Sensibilidades'!$C$64)*IF('03_Sensibilidades'!$C$64&lt;0,100-$K$613,$K$613)+ABS('03_Sensibilidades'!$C$65)*IF('03_Sensibilidades'!$C$65&lt;0,100-$K$605,$K$605)+ABS('03_Sensibilidades'!$C$66)*IF('03_Sensibilidades'!$C$66&lt;0,100-$K$611,$K$611))/(ABS('03_Sensibilidades'!$C$64)+ABS('03_Sensibilidades'!$C$65)+ABS('03_Sensibilidades'!$C$66))</x:f>
        <x:v>53.875951515744</x:v>
      </x:c>
      <x:c r="F1473" s="5" t="n">
        <x:f>(1-'00_Arquitectura'!$B$95)*D1473+'00_Arquitectura'!$B$95*E1473</x:f>
        <x:v>53.854240238914066</x:v>
      </x:c>
      <x:c r="G1473" s="5" t="n">
        <x:f>'02_Actores'!$I$22</x:f>
        <x:v>30</x:v>
      </x:c>
      <x:c r="H1473" s="5" t="n">
        <x:f>IF(OR(AND(F1473&lt;'00_Arquitectura'!$B$118,G1473&lt;'00_Arquitectura'!$B$119),F1473&lt;'00_Arquitectura'!$B$120),1,0)</x:f>
        <x:v>0</x:v>
      </x:c>
      <x:c r="I1473" s="5" t="n">
        <x:f>IF($I$1455=1,IF(OR(AND(F1473&lt;'00_Arquitectura'!$B$121,G1473&lt;'00_Arquitectura'!$B$122),F1473&lt;'00_Arquitectura'!$B$123),1,0),IF(AND(H1473=1,$H$1455=1),1,0))</x:f>
        <x:v>0</x:v>
      </x:c>
      <x:c r="J1473" s="5" t="n">
        <x:f>0</x:f>
        <x:v>0</x:v>
      </x:c>
      <x:c r="K1473" s="5" t="n">
        <x:f>$K$1457</x:f>
        <x:v>48.945131170737525</x:v>
      </x:c>
      <x:c r="L1473" s="5" t="str">
        <x:v>No aporta E_social; S y R alimentan disposición a leyes según07.</x:v>
      </x:c>
    </x:row>
    <x:row r="1474" ht="42" customHeight="1">
      <x:c r="A1474" s="10" t="str">
        <x:v>S4_PRESTAMO</x:v>
      </x:c>
      <x:c r="B1474" s="10" t="n">
        <x:v>9</x:v>
      </x:c>
      <x:c r="C1474" s="10" t="str">
        <x:v>gobernadores</x:v>
      </x:c>
      <x:c r="D1474" s="10" t="n">
        <x:f>$F$1456</x:f>
        <x:v>49.40798057261828</x:v>
      </x:c>
      <x:c r="E1474" s="10" t="n">
        <x:f>(ABS('03_Sensibilidades'!$C$67)*IF('03_Sensibilidades'!$C$67&lt;0,100-$K$607,$K$607)+ABS('03_Sensibilidades'!$C$68)*IF('03_Sensibilidades'!$C$68&lt;0,100-$K$609,$K$609)+ABS('03_Sensibilidades'!$C$69)*IF('03_Sensibilidades'!$C$69&lt;0,100-$K$608,$K$608)+ABS('03_Sensibilidades'!$C$70)*IF('03_Sensibilidades'!$C$70&lt;0,100-$K$605,$K$605))/(ABS('03_Sensibilidades'!$C$67)+ABS('03_Sensibilidades'!$C$68)+ABS('03_Sensibilidades'!$C$69)+ABS('03_Sensibilidades'!$C$70))</x:f>
        <x:v>49.39720794189241</x:v>
      </x:c>
      <x:c r="F1474" s="10" t="n">
        <x:f>(1-'00_Arquitectura'!$B$95)*D1474+'00_Arquitectura'!$B$95*E1474</x:f>
        <x:v>49.40421015186422</x:v>
      </x:c>
      <x:c r="G1474" s="10" t="n">
        <x:f>'02_Actores'!$I$23</x:f>
        <x:v>45</x:v>
      </x:c>
      <x:c r="H1474" s="10" t="n">
        <x:f>IF(OR(AND(F1474&lt;'00_Arquitectura'!$B$118,G1474&lt;'00_Arquitectura'!$B$119),F1474&lt;'00_Arquitectura'!$B$120),1,0)</x:f>
        <x:v>0</x:v>
      </x:c>
      <x:c r="I1474" s="10" t="n">
        <x:f>IF($I$1456=1,IF(OR(AND(F1474&lt;'00_Arquitectura'!$B$121,G1474&lt;'00_Arquitectura'!$B$122),F1474&lt;'00_Arquitectura'!$B$123),1,0),IF(AND(H1474=1,$H$1456=1),1,0))</x:f>
        <x:v>0</x:v>
      </x:c>
      <x:c r="J1474" s="10" t="n">
        <x:f>0</x:f>
        <x:v>0</x:v>
      </x:c>
      <x:c r="K1474" s="10" t="n">
        <x:f>$K$1457</x:f>
        <x:v>48.945131170737525</x:v>
      </x:c>
      <x:c r="L1474" s="10" t="str">
        <x:v>Conflicto activo captura menor eficacia en políticas ejecutadas en t+1. Magnitud0 en J: no es un offset directo de indicador.</x:v>
      </x:c>
    </x:row>
    <x:row r="1475" ht="34" customHeight="1">
      <x:c r="A1475" s="5" t="str">
        <x:v>S4_PRESTAMO</x:v>
      </x:c>
      <x:c r="B1475" s="5" t="n">
        <x:v>10</x:v>
      </x:c>
      <x:c r="C1475" s="5" t="str">
        <x:v>industria</x:v>
      </x:c>
      <x:c r="D1475" s="5" t="n">
        <x:f>$F$1457</x:f>
        <x:v>46.37796269314359</x:v>
      </x:c>
      <x:c r="E1475" s="5" t="n">
        <x:f>(ABS('03_Sensibilidades'!$C$6)*IF('03_Sensibilidades'!$C$6&lt;0,100-$K$618,$K$618)+ABS('03_Sensibilidades'!$C$7)*IF('03_Sensibilidades'!$C$7&lt;0,100-$K$616,$K$616)+ABS('03_Sensibilidades'!$C$8)*IF('03_Sensibilidades'!$C$8&lt;0,100-$K$621,$K$621)+ABS('03_Sensibilidades'!$C$9)*IF('03_Sensibilidades'!$C$9&lt;0,100-$K$620,$K$620))/(ABS('03_Sensibilidades'!$C$6)+ABS('03_Sensibilidades'!$C$7)+ABS('03_Sensibilidades'!$C$8)+ABS('03_Sensibilidades'!$C$9))</x:f>
        <x:v>46.34776287987999</x:v>
      </x:c>
      <x:c r="F1475" s="5" t="n">
        <x:f>(1-'00_Arquitectura'!$B$95)*D1475+'00_Arquitectura'!$B$95*E1475</x:f>
        <x:v>46.367392758501325</x:v>
      </x:c>
      <x:c r="G1475" s="5" t="n">
        <x:f>'02_Actores'!$I$6</x:f>
        <x:v>45</x:v>
      </x:c>
      <x:c r="H1475" s="5" t="n">
        <x:f>IF(OR(AND(F1475&lt;'00_Arquitectura'!$B$118,G1475&lt;'00_Arquitectura'!$B$119),F1475&lt;'00_Arquitectura'!$B$120),1,0)</x:f>
        <x:v>0</x:v>
      </x:c>
      <x:c r="I1475" s="5" t="n">
        <x:f>IF($I$1457=1,IF(OR(AND(F1475&lt;'00_Arquitectura'!$B$121,G1475&lt;'00_Arquitectura'!$B$122),F1475&lt;'00_Arquitectura'!$B$123),1,0),IF(AND(H1475=1,$H$1457=1),1,0))</x:f>
        <x:v>0</x:v>
      </x:c>
      <x:c r="J1475" s="5" t="n">
        <x:f>-I1475*2*'02_Actores'!$E$6/10</x:f>
        <x:v>0</x:v>
      </x:c>
      <x:c r="K1475" s="5" t="n">
        <x:f>($F$1475*'02_Actores'!$F$6+$F$1476*'02_Actores'!$F$7+$F$1477*'02_Actores'!$F$8+$F$1478*'02_Actores'!$F$9+$F$1479*'02_Actores'!$F$10+$F$1480*'02_Actores'!$F$11+$F$1481*'02_Actores'!$F$12+$F$1482*'02_Actores'!$F$13+$F$1483*'02_Actores'!$F$14+$F$1484*'02_Actores'!$F$15+$F$1485*'02_Actores'!$F$16+$F$1486*'02_Actores'!$F$17+$F$1487*'02_Actores'!$F$18+$F$1488*'02_Actores'!$F$19)/('02_Actores'!$F$6+'02_Actores'!$F$7+'02_Actores'!$F$8+'02_Actores'!$F$9+'02_Actores'!$F$10+'02_Actores'!$F$11+'02_Actores'!$F$12+'02_Actores'!$F$13+'02_Actores'!$F$14+'02_Actores'!$F$15+'02_Actores'!$F$16+'02_Actores'!$F$17+'02_Actores'!$F$18+'02_Actores'!$F$19)</x:f>
        <x:v>48.98551075213971</x:v>
      </x:c>
      <x:c r="L1475" s="5" t="str">
        <x:v>J programa offset para t+1; efecto sustituible y acotado, sin voto adicional.</x:v>
      </x:c>
    </x:row>
    <x:row r="1476" ht="34" customHeight="1">
      <x:c r="A1476" s="10" t="str">
        <x:v>S4_PRESTAMO</x:v>
      </x:c>
      <x:c r="B1476" s="10" t="n">
        <x:v>10</x:v>
      </x:c>
      <x:c r="C1476" s="10" t="str">
        <x:v>agro</x:v>
      </x:c>
      <x:c r="D1476" s="10" t="n">
        <x:f>$F$1458</x:f>
        <x:v>45.84072020207064</x:v>
      </x:c>
      <x:c r="E1476" s="10" t="n">
        <x:f>(ABS('03_Sensibilidades'!$C$10)*IF('03_Sensibilidades'!$C$10&lt;0,100-$K$620,$K$620)+ABS('03_Sensibilidades'!$C$11)*IF('03_Sensibilidades'!$C$11&lt;0,100-$K$621,$K$621)+ABS('03_Sensibilidades'!$C$12)*IF('03_Sensibilidades'!$C$12&lt;0,100-$K$628,$K$628)+ABS('03_Sensibilidades'!$C$13)*IF('03_Sensibilidades'!$C$13&lt;0,100-$K$618,$K$618))/(ABS('03_Sensibilidades'!$C$10)+ABS('03_Sensibilidades'!$C$11)+ABS('03_Sensibilidades'!$C$12)+ABS('03_Sensibilidades'!$C$13))</x:f>
        <x:v>45.82857837125816</x:v>
      </x:c>
      <x:c r="F1476" s="10" t="n">
        <x:f>(1-'00_Arquitectura'!$B$95)*D1476+'00_Arquitectura'!$B$95*E1476</x:f>
        <x:v>45.836470561286276</x:v>
      </x:c>
      <x:c r="G1476" s="10" t="n">
        <x:f>'02_Actores'!$I$7</x:f>
        <x:v>45</x:v>
      </x:c>
      <x:c r="H1476" s="10" t="n">
        <x:f>IF(OR(AND(F1476&lt;'00_Arquitectura'!$B$118,G1476&lt;'00_Arquitectura'!$B$119),F1476&lt;'00_Arquitectura'!$B$120),1,0)</x:f>
        <x:v>0</x:v>
      </x:c>
      <x:c r="I1476" s="10" t="n">
        <x:f>IF($I$1458=1,IF(OR(AND(F1476&lt;'00_Arquitectura'!$B$121,G1476&lt;'00_Arquitectura'!$B$122),F1476&lt;'00_Arquitectura'!$B$123),1,0),IF(AND(H1476=1,$H$1458=1),1,0))</x:f>
        <x:v>0</x:v>
      </x:c>
      <x:c r="J1476" s="10" t="n">
        <x:f>-I1476*2*'02_Actores'!$E$7/10</x:f>
        <x:v>0</x:v>
      </x:c>
      <x:c r="K1476" s="10" t="n">
        <x:f>$K$1475</x:f>
        <x:v>48.98551075213971</x:v>
      </x:c>
      <x:c r="L1476" s="10" t="str">
        <x:v>J programa offset para t+1; efecto sustituible y acotado, sin voto adicional.</x:v>
      </x:c>
    </x:row>
    <x:row r="1477" ht="34" customHeight="1">
      <x:c r="A1477" s="5" t="str">
        <x:v>S4_PRESTAMO</x:v>
      </x:c>
      <x:c r="B1477" s="5" t="n">
        <x:v>10</x:v>
      </x:c>
      <x:c r="C1477" s="5" t="str">
        <x:v>financiero</x:v>
      </x:c>
      <x:c r="D1477" s="5" t="n">
        <x:f>$F$1459</x:f>
        <x:v>54.031200232561865</x:v>
      </x:c>
      <x:c r="E1477" s="5" t="n">
        <x:f>(ABS('03_Sensibilidades'!$C$14)*IF('03_Sensibilidades'!$C$14&lt;0,100-$K$619,$K$619)+ABS('03_Sensibilidades'!$C$15)*IF('03_Sensibilidades'!$C$15&lt;0,100-$K$615,$K$615)+ABS('03_Sensibilidades'!$C$16)*IF('03_Sensibilidades'!$C$16&lt;0,100-$K$618,$K$618)+ABS('03_Sensibilidades'!$C$17)*IF('03_Sensibilidades'!$C$17&lt;0,100-$K$627,$K$627))/(ABS('03_Sensibilidades'!$C$14)+ABS('03_Sensibilidades'!$C$15)+ABS('03_Sensibilidades'!$C$16)+ABS('03_Sensibilidades'!$C$17))</x:f>
        <x:v>56.76967439597931</x:v>
      </x:c>
      <x:c r="F1477" s="5" t="n">
        <x:f>(1-'00_Arquitectura'!$B$95)*D1477+'00_Arquitectura'!$B$95*E1477</x:f>
        <x:v>54.98966618975797</x:v>
      </x:c>
      <x:c r="G1477" s="5" t="n">
        <x:f>'02_Actores'!$I$8</x:f>
        <x:v>45</x:v>
      </x:c>
      <x:c r="H1477" s="5" t="n">
        <x:f>IF(OR(AND(F1477&lt;'00_Arquitectura'!$B$118,G1477&lt;'00_Arquitectura'!$B$119),F1477&lt;'00_Arquitectura'!$B$120),1,0)</x:f>
        <x:v>0</x:v>
      </x:c>
      <x:c r="I1477" s="5" t="n">
        <x:f>IF($I$1459=1,IF(OR(AND(F1477&lt;'00_Arquitectura'!$B$121,G1477&lt;'00_Arquitectura'!$B$122),F1477&lt;'00_Arquitectura'!$B$123),1,0),IF(AND(H1477=1,$H$1459=1),1,0))</x:f>
        <x:v>0</x:v>
      </x:c>
      <x:c r="J1477" s="5" t="n">
        <x:f>-I1477*2*'02_Actores'!$E$8/10</x:f>
        <x:v>0</x:v>
      </x:c>
      <x:c r="K1477" s="5" t="n">
        <x:f>$K$1475</x:f>
        <x:v>48.98551075213971</x:v>
      </x:c>
      <x:c r="L1477" s="5" t="str">
        <x:v>J programa offset para t+1; efecto sustituible y acotado, sin voto adicional.</x:v>
      </x:c>
    </x:row>
    <x:row r="1478" ht="34" customHeight="1">
      <x:c r="A1478" s="10" t="str">
        <x:v>S4_PRESTAMO</x:v>
      </x:c>
      <x:c r="B1478" s="10" t="n">
        <x:v>10</x:v>
      </x:c>
      <x:c r="C1478" s="10" t="str">
        <x:v>sindicatos</x:v>
      </x:c>
      <x:c r="D1478" s="10" t="n">
        <x:f>$F$1460</x:f>
        <x:v>48.17794553515736</x:v>
      </x:c>
      <x:c r="E1478" s="10" t="n">
        <x:f>(ABS('03_Sensibilidades'!$C$18)*IF('03_Sensibilidades'!$C$18&lt;0,100-$K$617,$K$617)+ABS('03_Sensibilidades'!$C$19)*IF('03_Sensibilidades'!$C$19&lt;0,100-$K$616,$K$616)+ABS('03_Sensibilidades'!$C$20)*IF('03_Sensibilidades'!$C$20&lt;0,100-$K$624,$K$624)+ABS('03_Sensibilidades'!$C$21)*IF('03_Sensibilidades'!$C$21&lt;0,100-$K$627,$K$627))/(ABS('03_Sensibilidades'!$C$18)+ABS('03_Sensibilidades'!$C$19)+ABS('03_Sensibilidades'!$C$20)+ABS('03_Sensibilidades'!$C$21))</x:f>
        <x:v>48.174419364224256</x:v>
      </x:c>
      <x:c r="F1478" s="10" t="n">
        <x:f>(1-'00_Arquitectura'!$B$95)*D1478+'00_Arquitectura'!$B$95*E1478</x:f>
        <x:v>48.176711375330775</x:v>
      </x:c>
      <x:c r="G1478" s="10" t="n">
        <x:f>'02_Actores'!$I$9</x:f>
        <x:v>45</x:v>
      </x:c>
      <x:c r="H1478" s="10" t="n">
        <x:f>IF(OR(AND(F1478&lt;'00_Arquitectura'!$B$118,G1478&lt;'00_Arquitectura'!$B$119),F1478&lt;'00_Arquitectura'!$B$120),1,0)</x:f>
        <x:v>0</x:v>
      </x:c>
      <x:c r="I1478" s="10" t="n">
        <x:f>IF($I$1460=1,IF(OR(AND(F1478&lt;'00_Arquitectura'!$B$121,G1478&lt;'00_Arquitectura'!$B$122),F1478&lt;'00_Arquitectura'!$B$123),1,0),IF(AND(H1478=1,$H$1460=1),1,0))</x:f>
        <x:v>0</x:v>
      </x:c>
      <x:c r="J1478" s="10" t="n">
        <x:f>-I1478*2*'02_Actores'!$E$9/10</x:f>
        <x:v>0</x:v>
      </x:c>
      <x:c r="K1478" s="10" t="n">
        <x:f>$K$1475</x:f>
        <x:v>48.98551075213971</x:v>
      </x:c>
      <x:c r="L1478" s="10" t="str">
        <x:v>J programa offset para t+1; efecto sustituible y acotado, sin voto adicional.</x:v>
      </x:c>
    </x:row>
    <x:row r="1479" ht="34" customHeight="1">
      <x:c r="A1479" s="5" t="str">
        <x:v>S4_PRESTAMO</x:v>
      </x:c>
      <x:c r="B1479" s="5" t="n">
        <x:v>10</x:v>
      </x:c>
      <x:c r="C1479" s="5" t="str">
        <x:v>pymes</x:v>
      </x:c>
      <x:c r="D1479" s="5" t="n">
        <x:f>$F$1461</x:f>
        <x:v>49.019436204683856</x:v>
      </x:c>
      <x:c r="E1479" s="5" t="n">
        <x:f>(ABS('03_Sensibilidades'!$C$22)*IF('03_Sensibilidades'!$C$22&lt;0,100-$K$618,$K$618)+ABS('03_Sensibilidades'!$C$23)*IF('03_Sensibilidades'!$C$23&lt;0,100-$K$616,$K$616)+ABS('03_Sensibilidades'!$C$24)*IF('03_Sensibilidades'!$C$24&lt;0,100-$K$621,$K$621)+ABS('03_Sensibilidades'!$C$25)*IF('03_Sensibilidades'!$C$25&lt;0,100-$K$615,$K$615))/(ABS('03_Sensibilidades'!$C$22)+ABS('03_Sensibilidades'!$C$23)+ABS('03_Sensibilidades'!$C$24)+ABS('03_Sensibilidades'!$C$25))</x:f>
        <x:v>48.98545987432416</x:v>
      </x:c>
      <x:c r="F1479" s="5" t="n">
        <x:f>(1-'00_Arquitectura'!$B$95)*D1479+'00_Arquitectura'!$B$95*E1479</x:f>
        <x:v>49.00754448905796</x:v>
      </x:c>
      <x:c r="G1479" s="5" t="n">
        <x:f>'02_Actores'!$I$10</x:f>
        <x:v>45</x:v>
      </x:c>
      <x:c r="H1479" s="5" t="n">
        <x:f>IF(OR(AND(F1479&lt;'00_Arquitectura'!$B$118,G1479&lt;'00_Arquitectura'!$B$119),F1479&lt;'00_Arquitectura'!$B$120),1,0)</x:f>
        <x:v>0</x:v>
      </x:c>
      <x:c r="I1479" s="5" t="n">
        <x:f>IF($I$1461=1,IF(OR(AND(F1479&lt;'00_Arquitectura'!$B$121,G1479&lt;'00_Arquitectura'!$B$122),F1479&lt;'00_Arquitectura'!$B$123),1,0),IF(AND(H1479=1,$H$1461=1),1,0))</x:f>
        <x:v>0</x:v>
      </x:c>
      <x:c r="J1479" s="5" t="n">
        <x:f>-I1479*2*'02_Actores'!$E$10/10</x:f>
        <x:v>0</x:v>
      </x:c>
      <x:c r="K1479" s="5" t="n">
        <x:f>$K$1475</x:f>
        <x:v>48.98551075213971</x:v>
      </x:c>
      <x:c r="L1479" s="5" t="str">
        <x:v>J programa offset para t+1; efecto sustituible y acotado, sin voto adicional.</x:v>
      </x:c>
    </x:row>
    <x:row r="1480" ht="34" customHeight="1">
      <x:c r="A1480" s="10" t="str">
        <x:v>S4_PRESTAMO</x:v>
      </x:c>
      <x:c r="B1480" s="10" t="n">
        <x:v>10</x:v>
      </x:c>
      <x:c r="C1480" s="10" t="str">
        <x:v>clase_media</x:v>
      </x:c>
      <x:c r="D1480" s="10" t="n">
        <x:f>$F$1462</x:f>
        <x:v>48.33081547222223</x:v>
      </x:c>
      <x:c r="E1480" s="10" t="n">
        <x:f>(ABS('03_Sensibilidades'!$C$26)*IF('03_Sensibilidades'!$C$26&lt;0,100-$K$617,$K$617)+ABS('03_Sensibilidades'!$C$27)*IF('03_Sensibilidades'!$C$27&lt;0,100-$K$625,$K$625)+ABS('03_Sensibilidades'!$C$28)*IF('03_Sensibilidades'!$C$28&lt;0,100-$K$622,$K$622)+ABS('03_Sensibilidades'!$C$29)*IF('03_Sensibilidades'!$C$29&lt;0,100-$K$615,$K$615))/(ABS('03_Sensibilidades'!$C$26)+ABS('03_Sensibilidades'!$C$27)+ABS('03_Sensibilidades'!$C$28)+ABS('03_Sensibilidades'!$C$29))</x:f>
        <x:v>48.328896814724445</x:v>
      </x:c>
      <x:c r="F1480" s="10" t="n">
        <x:f>(1-'00_Arquitectura'!$B$95)*D1480+'00_Arquitectura'!$B$95*E1480</x:f>
        <x:v>48.330143942098005</x:v>
      </x:c>
      <x:c r="G1480" s="10" t="n">
        <x:f>'02_Actores'!$I$11</x:f>
        <x:v>45</x:v>
      </x:c>
      <x:c r="H1480" s="10" t="n">
        <x:f>IF(OR(AND(F1480&lt;'00_Arquitectura'!$B$118,G1480&lt;'00_Arquitectura'!$B$119),F1480&lt;'00_Arquitectura'!$B$120),1,0)</x:f>
        <x:v>0</x:v>
      </x:c>
      <x:c r="I1480" s="10" t="n">
        <x:f>IF($I$1462=1,IF(OR(AND(F1480&lt;'00_Arquitectura'!$B$121,G1480&lt;'00_Arquitectura'!$B$122),F1480&lt;'00_Arquitectura'!$B$123),1,0),IF(AND(H1480=1,$H$1462=1),1,0))</x:f>
        <x:v>0</x:v>
      </x:c>
      <x:c r="J1480" s="10" t="n">
        <x:f>0</x:f>
        <x:v>0</x:v>
      </x:c>
      <x:c r="K1480" s="10" t="n">
        <x:f>$K$1475</x:f>
        <x:v>48.98551075213971</x:v>
      </x:c>
      <x:c r="L1480" s="10" t="str">
        <x:v>Canal directo sólo al índice social; sin bono de popularidad.</x:v>
      </x:c>
    </x:row>
    <x:row r="1481" ht="34" customHeight="1">
      <x:c r="A1481" s="5" t="str">
        <x:v>S4_PRESTAMO</x:v>
      </x:c>
      <x:c r="B1481" s="5" t="n">
        <x:v>10</x:v>
      </x:c>
      <x:c r="C1481" s="5" t="str">
        <x:v>cooperativas</x:v>
      </x:c>
      <x:c r="D1481" s="5" t="n">
        <x:f>$F$1463</x:f>
        <x:v>47.97405380648905</x:v>
      </x:c>
      <x:c r="E1481" s="5" t="n">
        <x:f>(ABS('03_Sensibilidades'!$C$30)*IF('03_Sensibilidades'!$C$30&lt;0,100-$K$618,$K$618)+ABS('03_Sensibilidades'!$C$31)*IF('03_Sensibilidades'!$C$31&lt;0,100-$K$616,$K$616)+ABS('03_Sensibilidades'!$C$32)*IF('03_Sensibilidades'!$C$32&lt;0,100-$K$624,$K$624)+ABS('03_Sensibilidades'!$C$33)*IF('03_Sensibilidades'!$C$33&lt;0,100-$K$627,$K$627))/(ABS('03_Sensibilidades'!$C$30)+ABS('03_Sensibilidades'!$C$31)+ABS('03_Sensibilidades'!$C$32)+ABS('03_Sensibilidades'!$C$33))</x:f>
        <x:v>47.95707029767277</x:v>
      </x:c>
      <x:c r="F1481" s="5" t="n">
        <x:f>(1-'00_Arquitectura'!$B$95)*D1481+'00_Arquitectura'!$B$95*E1481</x:f>
        <x:v>47.96810957840336</x:v>
      </x:c>
      <x:c r="G1481" s="5" t="n">
        <x:f>'02_Actores'!$I$12</x:f>
        <x:v>45</x:v>
      </x:c>
      <x:c r="H1481" s="5" t="n">
        <x:f>IF(OR(AND(F1481&lt;'00_Arquitectura'!$B$118,G1481&lt;'00_Arquitectura'!$B$119),F1481&lt;'00_Arquitectura'!$B$120),1,0)</x:f>
        <x:v>0</x:v>
      </x:c>
      <x:c r="I1481" s="5" t="n">
        <x:f>IF($I$1463=1,IF(OR(AND(F1481&lt;'00_Arquitectura'!$B$121,G1481&lt;'00_Arquitectura'!$B$122),F1481&lt;'00_Arquitectura'!$B$123),1,0),IF(AND(H1481=1,$H$1463=1),1,0))</x:f>
        <x:v>0</x:v>
      </x:c>
      <x:c r="J1481" s="5" t="n">
        <x:f>-I1481*1.5*'02_Actores'!$E$12/10</x:f>
        <x:v>0</x:v>
      </x:c>
      <x:c r="K1481" s="5" t="n">
        <x:f>$K$1475</x:f>
        <x:v>48.98551075213971</x:v>
      </x:c>
      <x:c r="L1481" s="5" t="str">
        <x:v>J programa offset para t+1; efecto sustituible y acotado, sin voto adicional.</x:v>
      </x:c>
    </x:row>
    <x:row r="1482" ht="42" customHeight="1">
      <x:c r="A1482" s="10" t="str">
        <x:v>S4_PRESTAMO</x:v>
      </x:c>
      <x:c r="B1482" s="10" t="n">
        <x:v>10</x:v>
      </x:c>
      <x:c r="C1482" s="10" t="str">
        <x:v>estudiantes</x:v>
      </x:c>
      <x:c r="D1482" s="10" t="n">
        <x:f>$F$1464</x:f>
        <x:v>49.74079624547812</x:v>
      </x:c>
      <x:c r="E1482" s="10" t="n">
        <x:f>(ABS('03_Sensibilidades'!$C$34)*IF('03_Sensibilidades'!$C$34&lt;0,100-$K$622,$K$622)+ABS('03_Sensibilidades'!$C$35)*IF('03_Sensibilidades'!$C$35&lt;0,100-$K$617,$K$617)+ABS('03_Sensibilidades'!$C$36)*IF('03_Sensibilidades'!$C$36&lt;0,100-$K$627,$K$627)+ABS('03_Sensibilidades'!$C$37)*IF('03_Sensibilidades'!$C$37&lt;0,100-$K$626,$K$626))/(ABS('03_Sensibilidades'!$C$34)+ABS('03_Sensibilidades'!$C$35)+ABS('03_Sensibilidades'!$C$36)+ABS('03_Sensibilidades'!$C$37))</x:f>
        <x:v>49.7576042799512</x:v>
      </x:c>
      <x:c r="F1482" s="10" t="n">
        <x:f>(1-'00_Arquitectura'!$B$95)*D1482+'00_Arquitectura'!$B$95*E1482</x:f>
        <x:v>49.7466790575437</x:v>
      </x:c>
      <x:c r="G1482" s="10" t="n">
        <x:f>'02_Actores'!$I$13</x:f>
        <x:v>45</x:v>
      </x:c>
      <x:c r="H1482" s="10" t="n">
        <x:f>IF(OR(AND(F1482&lt;'00_Arquitectura'!$B$118,G1482&lt;'00_Arquitectura'!$B$119),F1482&lt;'00_Arquitectura'!$B$120),1,0)</x:f>
        <x:v>0</x:v>
      </x:c>
      <x:c r="I1482" s="10" t="n">
        <x:f>IF($I$1464=1,IF(OR(AND(F1482&lt;'00_Arquitectura'!$B$121,G1482&lt;'00_Arquitectura'!$B$122),F1482&lt;'00_Arquitectura'!$B$123),1,0),IF(AND(H1482=1,$H$1464=1),1,0))</x:f>
        <x:v>0</x:v>
      </x:c>
      <x:c r="J1482" s="10" t="n">
        <x:f>0</x:f>
        <x:v>0</x:v>
      </x:c>
      <x:c r="K1482" s="10" t="n">
        <x:f>$K$1475</x:f>
        <x:v>48.98551075213971</x:v>
      </x:c>
      <x:c r="L1482" s="10" t="str">
        <x:v>Conflicto activo captura menor eficacia en políticas ejecutadas en t+1. Magnitud0 en J: no es un offset directo de indicador.</x:v>
      </x:c>
    </x:row>
    <x:row r="1483" ht="34" customHeight="1">
      <x:c r="A1483" s="5" t="str">
        <x:v>S4_PRESTAMO</x:v>
      </x:c>
      <x:c r="B1483" s="5" t="n">
        <x:v>10</x:v>
      </x:c>
      <x:c r="C1483" s="5" t="str">
        <x:v>docentes</x:v>
      </x:c>
      <x:c r="D1483" s="5" t="n">
        <x:f>$F$1465</x:f>
        <x:v>49.24712609237773</x:v>
      </x:c>
      <x:c r="E1483" s="5" t="n">
        <x:f>(ABS('03_Sensibilidades'!$C$38)*IF('03_Sensibilidades'!$C$38&lt;0,100-$K$622,$K$622)+ABS('03_Sensibilidades'!$C$39)*IF('03_Sensibilidades'!$C$39&lt;0,100-$K$617,$K$617)+ABS('03_Sensibilidades'!$C$40)*IF('03_Sensibilidades'!$C$40&lt;0,100-$K$627,$K$627))/(ABS('03_Sensibilidades'!$C$38)+ABS('03_Sensibilidades'!$C$39)+ABS('03_Sensibilidades'!$C$40))</x:f>
        <x:v>49.25618228686105</x:v>
      </x:c>
      <x:c r="F1483" s="5" t="n">
        <x:f>(1-'00_Arquitectura'!$B$95)*D1483+'00_Arquitectura'!$B$95*E1483</x:f>
        <x:v>49.25029576044689</x:v>
      </x:c>
      <x:c r="G1483" s="5" t="n">
        <x:f>'02_Actores'!$I$14</x:f>
        <x:v>45</x:v>
      </x:c>
      <x:c r="H1483" s="5" t="n">
        <x:f>IF(OR(AND(F1483&lt;'00_Arquitectura'!$B$118,G1483&lt;'00_Arquitectura'!$B$119),F1483&lt;'00_Arquitectura'!$B$120),1,0)</x:f>
        <x:v>0</x:v>
      </x:c>
      <x:c r="I1483" s="5" t="n">
        <x:f>IF($I$1465=1,IF(OR(AND(F1483&lt;'00_Arquitectura'!$B$121,G1483&lt;'00_Arquitectura'!$B$122),F1483&lt;'00_Arquitectura'!$B$123),1,0),IF(AND(H1483=1,$H$1465=1),1,0))</x:f>
        <x:v>0</x:v>
      </x:c>
      <x:c r="J1483" s="5" t="n">
        <x:f>-I1483*1.5*'02_Actores'!$E$14/10</x:f>
        <x:v>0</x:v>
      </x:c>
      <x:c r="K1483" s="5" t="n">
        <x:f>$K$1475</x:f>
        <x:v>48.98551075213971</x:v>
      </x:c>
      <x:c r="L1483" s="5" t="str">
        <x:v>J programa offset para t+1; efecto sustituible y acotado, sin voto adicional.</x:v>
      </x:c>
    </x:row>
    <x:row r="1484" ht="34" customHeight="1">
      <x:c r="A1484" s="10" t="str">
        <x:v>S4_PRESTAMO</x:v>
      </x:c>
      <x:c r="B1484" s="10" t="n">
        <x:v>10</x:v>
      </x:c>
      <x:c r="C1484" s="10" t="str">
        <x:v>cientificos</x:v>
      </x:c>
      <x:c r="D1484" s="10" t="n">
        <x:f>$F$1466</x:f>
        <x:v>47.03097069032315</x:v>
      </x:c>
      <x:c r="E1484" s="10" t="n">
        <x:f>(ABS('03_Sensibilidades'!$C$41)*IF('03_Sensibilidades'!$C$41&lt;0,100-$K$626,$K$626)+ABS('03_Sensibilidades'!$C$42)*IF('03_Sensibilidades'!$C$42&lt;0,100-$K$622,$K$622)+ABS('03_Sensibilidades'!$C$43)*IF('03_Sensibilidades'!$C$43&lt;0,100-$K$627,$K$627))/(ABS('03_Sensibilidades'!$C$41)+ABS('03_Sensibilidades'!$C$42)+ABS('03_Sensibilidades'!$C$43))</x:f>
        <x:v>47.04545454545455</x:v>
      </x:c>
      <x:c r="F1484" s="10" t="n">
        <x:f>(1-'00_Arquitectura'!$B$95)*D1484+'00_Arquitectura'!$B$95*E1484</x:f>
        <x:v>47.03604003961914</x:v>
      </x:c>
      <x:c r="G1484" s="10" t="n">
        <x:f>'02_Actores'!$I$15</x:f>
        <x:v>45</x:v>
      </x:c>
      <x:c r="H1484" s="10" t="n">
        <x:f>IF(OR(AND(F1484&lt;'00_Arquitectura'!$B$118,G1484&lt;'00_Arquitectura'!$B$119),F1484&lt;'00_Arquitectura'!$B$120),1,0)</x:f>
        <x:v>0</x:v>
      </x:c>
      <x:c r="I1484" s="10" t="n">
        <x:f>IF($I$1466=1,IF(OR(AND(F1484&lt;'00_Arquitectura'!$B$121,G1484&lt;'00_Arquitectura'!$B$122),F1484&lt;'00_Arquitectura'!$B$123),1,0),IF(AND(H1484=1,$H$1466=1),1,0))</x:f>
        <x:v>0</x:v>
      </x:c>
      <x:c r="J1484" s="10" t="n">
        <x:f>-I1484*1.5*'02_Actores'!$E$15/10</x:f>
        <x:v>0</x:v>
      </x:c>
      <x:c r="K1484" s="10" t="n">
        <x:f>$K$1475</x:f>
        <x:v>48.98551075213971</x:v>
      </x:c>
      <x:c r="L1484" s="10" t="str">
        <x:v>J programa offset para t+1; efecto sustituible y acotado, sin voto adicional.</x:v>
      </x:c>
    </x:row>
    <x:row r="1485" ht="34" customHeight="1">
      <x:c r="A1485" s="5" t="str">
        <x:v>S4_PRESTAMO</x:v>
      </x:c>
      <x:c r="B1485" s="5" t="n">
        <x:v>10</x:v>
      </x:c>
      <x:c r="C1485" s="5" t="str">
        <x:v>organizaciones</x:v>
      </x:c>
      <x:c r="D1485" s="5" t="n">
        <x:f>$F$1467</x:f>
        <x:v>49.440603604774765</x:v>
      </x:c>
      <x:c r="E1485" s="5" t="n">
        <x:f>(ABS('03_Sensibilidades'!$C$44)*IF('03_Sensibilidades'!$C$44&lt;0,100-$K$624,$K$624)+ABS('03_Sensibilidades'!$C$45)*IF('03_Sensibilidades'!$C$45&lt;0,100-$K$623,$K$623)+ABS('03_Sensibilidades'!$C$46)*IF('03_Sensibilidades'!$C$46&lt;0,100-$K$616,$K$616)+ABS('03_Sensibilidades'!$C$47)*IF('03_Sensibilidades'!$C$47&lt;0,100-$K$627,$K$627))/(ABS('03_Sensibilidades'!$C$44)+ABS('03_Sensibilidades'!$C$45)+ABS('03_Sensibilidades'!$C$46)+ABS('03_Sensibilidades'!$C$47))</x:f>
        <x:v>49.44471303726056</x:v>
      </x:c>
      <x:c r="F1485" s="5" t="n">
        <x:f>(1-'00_Arquitectura'!$B$95)*D1485+'00_Arquitectura'!$B$95*E1485</x:f>
        <x:v>49.442041906144794</x:v>
      </x:c>
      <x:c r="G1485" s="5" t="n">
        <x:f>'02_Actores'!$I$16</x:f>
        <x:v>45</x:v>
      </x:c>
      <x:c r="H1485" s="5" t="n">
        <x:f>IF(OR(AND(F1485&lt;'00_Arquitectura'!$B$118,G1485&lt;'00_Arquitectura'!$B$119),F1485&lt;'00_Arquitectura'!$B$120),1,0)</x:f>
        <x:v>0</x:v>
      </x:c>
      <x:c r="I1485" s="5" t="n">
        <x:f>IF($I$1467=1,IF(OR(AND(F1485&lt;'00_Arquitectura'!$B$121,G1485&lt;'00_Arquitectura'!$B$122),F1485&lt;'00_Arquitectura'!$B$123),1,0),IF(AND(H1485=1,$H$1467=1),1,0))</x:f>
        <x:v>0</x:v>
      </x:c>
      <x:c r="J1485" s="5" t="n">
        <x:f>-I1485*1.5*'02_Actores'!$E$16/10</x:f>
        <x:v>0</x:v>
      </x:c>
      <x:c r="K1485" s="5" t="n">
        <x:f>$K$1475</x:f>
        <x:v>48.98551075213971</x:v>
      </x:c>
      <x:c r="L1485" s="5" t="str">
        <x:v>J programa offset para t+1; efecto sustituible y acotado, sin voto adicional.</x:v>
      </x:c>
    </x:row>
    <x:row r="1486" ht="42" customHeight="1">
      <x:c r="A1486" s="10" t="str">
        <x:v>S4_PRESTAMO</x:v>
      </x:c>
      <x:c r="B1486" s="10" t="n">
        <x:v>10</x:v>
      </x:c>
      <x:c r="C1486" s="10" t="str">
        <x:v>ddhh</x:v>
      </x:c>
      <x:c r="D1486" s="10" t="n">
        <x:f>$F$1468</x:f>
        <x:v>52.021335904365806</x:v>
      </x:c>
      <x:c r="E1486" s="10" t="n">
        <x:f>(ABS('03_Sensibilidades'!$C$48)*IF('03_Sensibilidades'!$C$48&lt;0,100-$K$627,$K$627)+ABS('03_Sensibilidades'!$C$49)*IF('03_Sensibilidades'!$C$49&lt;0,100-$K$625,$K$625)+ABS('03_Sensibilidades'!$C$50)*IF('03_Sensibilidades'!$C$50&lt;0,100-$K$624,$K$624))/(ABS('03_Sensibilidades'!$C$48)+ABS('03_Sensibilidades'!$C$49)+ABS('03_Sensibilidades'!$C$50))</x:f>
        <x:v>52.05882352941177</x:v>
      </x:c>
      <x:c r="F1486" s="10" t="n">
        <x:f>(1-'00_Arquitectura'!$B$95)*D1486+'00_Arquitectura'!$B$95*E1486</x:f>
        <x:v>52.03445657313189</x:v>
      </x:c>
      <x:c r="G1486" s="10" t="n">
        <x:f>'02_Actores'!$I$17</x:f>
        <x:v>45</x:v>
      </x:c>
      <x:c r="H1486" s="10" t="n">
        <x:f>IF(OR(AND(F1486&lt;'00_Arquitectura'!$B$118,G1486&lt;'00_Arquitectura'!$B$119),F1486&lt;'00_Arquitectura'!$B$120),1,0)</x:f>
        <x:v>0</x:v>
      </x:c>
      <x:c r="I1486" s="10" t="n">
        <x:f>IF($I$1468=1,IF(OR(AND(F1486&lt;'00_Arquitectura'!$B$121,G1486&lt;'00_Arquitectura'!$B$122),F1486&lt;'00_Arquitectura'!$B$123),1,0),IF(AND(H1486=1,$H$1468=1),1,0))</x:f>
        <x:v>0</x:v>
      </x:c>
      <x:c r="J1486" s="10" t="n">
        <x:f>0</x:f>
        <x:v>0</x:v>
      </x:c>
      <x:c r="K1486" s="10" t="n">
        <x:f>$K$1475</x:f>
        <x:v>48.98551075213971</x:v>
      </x:c>
      <x:c r="L1486" s="10" t="str">
        <x:v>Conflicto activo captura menor eficacia en políticas ejecutadas en t+1. Magnitud0 en J: no es un offset directo de indicador.</x:v>
      </x:c>
    </x:row>
    <x:row r="1487" ht="42" customHeight="1">
      <x:c r="A1487" s="5" t="str">
        <x:v>S4_PRESTAMO</x:v>
      </x:c>
      <x:c r="B1487" s="5" t="n">
        <x:v>10</x:v>
      </x:c>
      <x:c r="C1487" s="5" t="str">
        <x:v>ambientalistas</x:v>
      </x:c>
      <x:c r="D1487" s="5" t="n">
        <x:f>$F$1469</x:f>
        <x:v>51.926741954839414</x:v>
      </x:c>
      <x:c r="E1487" s="5" t="n">
        <x:f>(ABS('03_Sensibilidades'!$C$51)*IF('03_Sensibilidades'!$C$51&lt;0,100-$K$628,$K$628)+ABS('03_Sensibilidades'!$C$52)*IF('03_Sensibilidades'!$C$52&lt;0,100-$K$627,$K$627)+ABS('03_Sensibilidades'!$C$53)*IF('03_Sensibilidades'!$C$53&lt;0,100-$K$623,$K$623))/(ABS('03_Sensibilidades'!$C$51)+ABS('03_Sensibilidades'!$C$52)+ABS('03_Sensibilidades'!$C$53))</x:f>
        <x:v>51.94444444444444</x:v>
      </x:c>
      <x:c r="F1487" s="5" t="n">
        <x:f>(1-'00_Arquitectura'!$B$95)*D1487+'00_Arquitectura'!$B$95*E1487</x:f>
        <x:v>51.93293782620117</x:v>
      </x:c>
      <x:c r="G1487" s="5" t="n">
        <x:f>'02_Actores'!$I$18</x:f>
        <x:v>45</x:v>
      </x:c>
      <x:c r="H1487" s="5" t="n">
        <x:f>IF(OR(AND(F1487&lt;'00_Arquitectura'!$B$118,G1487&lt;'00_Arquitectura'!$B$119),F1487&lt;'00_Arquitectura'!$B$120),1,0)</x:f>
        <x:v>0</x:v>
      </x:c>
      <x:c r="I1487" s="5" t="n">
        <x:f>IF($I$1469=1,IF(OR(AND(F1487&lt;'00_Arquitectura'!$B$121,G1487&lt;'00_Arquitectura'!$B$122),F1487&lt;'00_Arquitectura'!$B$123),1,0),IF(AND(H1487=1,$H$1469=1),1,0))</x:f>
        <x:v>0</x:v>
      </x:c>
      <x:c r="J1487" s="5" t="n">
        <x:f>0</x:f>
        <x:v>0</x:v>
      </x:c>
      <x:c r="K1487" s="5" t="n">
        <x:f>$K$1475</x:f>
        <x:v>48.98551075213971</x:v>
      </x:c>
      <x:c r="L1487" s="5" t="str">
        <x:v>Conflicto activo captura menor eficacia en políticas ejecutadas en t+1. Magnitud0 en J: no es un offset directo de indicador.</x:v>
      </x:c>
    </x:row>
    <x:row r="1488" ht="34" customHeight="1">
      <x:c r="A1488" s="10" t="str">
        <x:v>S4_PRESTAMO</x:v>
      </x:c>
      <x:c r="B1488" s="10" t="n">
        <x:v>10</x:v>
      </x:c>
      <x:c r="C1488" s="10" t="str">
        <x:v>cultura</x:v>
      </x:c>
      <x:c r="D1488" s="10" t="n">
        <x:f>$F$1470</x:f>
        <x:v>51.60295669338816</x:v>
      </x:c>
      <x:c r="E1488" s="10" t="n">
        <x:f>(ABS('03_Sensibilidades'!$C$54)*IF('03_Sensibilidades'!$C$54&lt;0,100-$K$627,$K$627)+ABS('03_Sensibilidades'!$C$55)*IF('03_Sensibilidades'!$C$55&lt;0,100-$K$622,$K$622)+ABS('03_Sensibilidades'!$C$56)*IF('03_Sensibilidades'!$C$56&lt;0,100-$K$617,$K$617))/(ABS('03_Sensibilidades'!$C$54)+ABS('03_Sensibilidades'!$C$55)+ABS('03_Sensibilidades'!$C$56))</x:f>
        <x:v>51.62842668414632</x:v>
      </x:c>
      <x:c r="F1488" s="10" t="n">
        <x:f>(1-'00_Arquitectura'!$B$95)*D1488+'00_Arquitectura'!$B$95*E1488</x:f>
        <x:v>51.61187119015351</x:v>
      </x:c>
      <x:c r="G1488" s="10" t="n">
        <x:f>'02_Actores'!$I$19</x:f>
        <x:v>45</x:v>
      </x:c>
      <x:c r="H1488" s="10" t="n">
        <x:f>IF(OR(AND(F1488&lt;'00_Arquitectura'!$B$118,G1488&lt;'00_Arquitectura'!$B$119),F1488&lt;'00_Arquitectura'!$B$120),1,0)</x:f>
        <x:v>0</x:v>
      </x:c>
      <x:c r="I1488" s="10" t="n">
        <x:f>IF($I$1470=1,IF(OR(AND(F1488&lt;'00_Arquitectura'!$B$121,G1488&lt;'00_Arquitectura'!$B$122),F1488&lt;'00_Arquitectura'!$B$123),1,0),IF(AND(H1488=1,$H$1470=1),1,0))</x:f>
        <x:v>0</x:v>
      </x:c>
      <x:c r="J1488" s="10" t="n">
        <x:f>0</x:f>
        <x:v>0</x:v>
      </x:c>
      <x:c r="K1488" s="10" t="n">
        <x:f>$K$1475</x:f>
        <x:v>48.98551075213971</x:v>
      </x:c>
      <x:c r="L1488" s="10" t="str">
        <x:v>Conflicto activo encarece agenda del turno siguiente; sin castigo electoral adicional.</x:v>
      </x:c>
    </x:row>
    <x:row r="1489" ht="34" customHeight="1">
      <x:c r="A1489" s="5" t="str">
        <x:v>S4_PRESTAMO</x:v>
      </x:c>
      <x:c r="B1489" s="5" t="n">
        <x:v>10</x:v>
      </x:c>
      <x:c r="C1489" s="5" t="str">
        <x:v>oficialismo</x:v>
      </x:c>
      <x:c r="D1489" s="5" t="n">
        <x:f>$F$1471</x:f>
        <x:v>51.75521793162824</x:v>
      </x:c>
      <x:c r="E1489" s="5" t="n">
        <x:f>(ABS('03_Sensibilidades'!$C$57)*IF('03_Sensibilidades'!$C$57&lt;0,100-$K$627,$K$627)+ABS('03_Sensibilidades'!$C$58)*IF('03_Sensibilidades'!$C$58&lt;0,100-$K$616,$K$616)+ABS('03_Sensibilidades'!$C$59)*IF('03_Sensibilidades'!$C$59&lt;0,100-$K$619,$K$619)+ABS('03_Sensibilidades'!$C$60)*IF('03_Sensibilidades'!$C$60&lt;0,100-$K$624,$K$624))/(ABS('03_Sensibilidades'!$C$57)+ABS('03_Sensibilidades'!$C$58)+ABS('03_Sensibilidades'!$C$59)+ABS('03_Sensibilidades'!$C$60))</x:f>
        <x:v>53.67093831689768</x:v>
      </x:c>
      <x:c r="F1489" s="5" t="n">
        <x:f>(1-'00_Arquitectura'!$B$95)*D1489+'00_Arquitectura'!$B$95*E1489</x:f>
        <x:v>52.42572006647254</x:v>
      </x:c>
      <x:c r="G1489" s="5" t="n">
        <x:f>'02_Actores'!$I$20</x:f>
        <x:v>60</x:v>
      </x:c>
      <x:c r="H1489" s="5" t="n">
        <x:f>IF(OR(AND(F1489&lt;'00_Arquitectura'!$B$118,G1489&lt;'00_Arquitectura'!$B$119),F1489&lt;'00_Arquitectura'!$B$120),1,0)</x:f>
        <x:v>0</x:v>
      </x:c>
      <x:c r="I1489" s="5" t="n">
        <x:f>IF($I$1471=1,IF(OR(AND(F1489&lt;'00_Arquitectura'!$B$121,G1489&lt;'00_Arquitectura'!$B$122),F1489&lt;'00_Arquitectura'!$B$123),1,0),IF(AND(H1489=1,$H$1471=1),1,0))</x:f>
        <x:v>0</x:v>
      </x:c>
      <x:c r="J1489" s="5" t="n">
        <x:f>0</x:f>
        <x:v>0</x:v>
      </x:c>
      <x:c r="K1489" s="5" t="n">
        <x:f>$K$1475</x:f>
        <x:v>48.98551075213971</x:v>
      </x:c>
      <x:c r="L1489" s="5" t="str">
        <x:v>No aporta E_social; S y R alimentan disposición a leyes según07.</x:v>
      </x:c>
    </x:row>
    <x:row r="1490" ht="34" customHeight="1">
      <x:c r="A1490" s="10" t="str">
        <x:v>S4_PRESTAMO</x:v>
      </x:c>
      <x:c r="B1490" s="10" t="n">
        <x:v>10</x:v>
      </x:c>
      <x:c r="C1490" s="10" t="str">
        <x:v>aliados</x:v>
      </x:c>
      <x:c r="D1490" s="10" t="n">
        <x:f>$F$1472</x:f>
        <x:v>52.75393389384672</x:v>
      </x:c>
      <x:c r="E1490" s="10" t="n">
        <x:f>(ABS('03_Sensibilidades'!$C$61)*IF('03_Sensibilidades'!$C$61&lt;0,100-$K$627,$K$627)+ABS('03_Sensibilidades'!$C$62)*IF('03_Sensibilidades'!$C$62&lt;0,100-$K$619,$K$619)+ABS('03_Sensibilidades'!$C$63)*IF('03_Sensibilidades'!$C$63&lt;0,100-$K$621,$K$621))/(ABS('03_Sensibilidades'!$C$61)+ABS('03_Sensibilidades'!$C$62)+ABS('03_Sensibilidades'!$C$63))</x:f>
        <x:v>55.43277141576457</x:v>
      </x:c>
      <x:c r="F1490" s="10" t="n">
        <x:f>(1-'00_Arquitectura'!$B$95)*D1490+'00_Arquitectura'!$B$95*E1490</x:f>
        <x:v>53.691527026517974</x:v>
      </x:c>
      <x:c r="G1490" s="10" t="n">
        <x:f>'02_Actores'!$I$21</x:f>
        <x:v>45</x:v>
      </x:c>
      <x:c r="H1490" s="10" t="n">
        <x:f>IF(OR(AND(F1490&lt;'00_Arquitectura'!$B$118,G1490&lt;'00_Arquitectura'!$B$119),F1490&lt;'00_Arquitectura'!$B$120),1,0)</x:f>
        <x:v>0</x:v>
      </x:c>
      <x:c r="I1490" s="10" t="n">
        <x:f>IF($I$1472=1,IF(OR(AND(F1490&lt;'00_Arquitectura'!$B$121,G1490&lt;'00_Arquitectura'!$B$122),F1490&lt;'00_Arquitectura'!$B$123),1,0),IF(AND(H1490=1,$H$1472=1),1,0))</x:f>
        <x:v>0</x:v>
      </x:c>
      <x:c r="J1490" s="10" t="n">
        <x:f>0</x:f>
        <x:v>0</x:v>
      </x:c>
      <x:c r="K1490" s="10" t="n">
        <x:f>$K$1475</x:f>
        <x:v>48.98551075213971</x:v>
      </x:c>
      <x:c r="L1490" s="10" t="str">
        <x:v>No aporta E_social; S y R alimentan disposición a leyes según07.</x:v>
      </x:c>
    </x:row>
    <x:row r="1491" ht="34" customHeight="1">
      <x:c r="A1491" s="5" t="str">
        <x:v>S4_PRESTAMO</x:v>
      </x:c>
      <x:c r="B1491" s="5" t="n">
        <x:v>10</x:v>
      </x:c>
      <x:c r="C1491" s="5" t="str">
        <x:v>oposicion</x:v>
      </x:c>
      <x:c r="D1491" s="5" t="n">
        <x:f>$F$1473</x:f>
        <x:v>53.854240238914066</x:v>
      </x:c>
      <x:c r="E1491" s="5" t="n">
        <x:f>(ABS('03_Sensibilidades'!$C$64)*IF('03_Sensibilidades'!$C$64&lt;0,100-$K$627,$K$627)+ABS('03_Sensibilidades'!$C$65)*IF('03_Sensibilidades'!$C$65&lt;0,100-$K$619,$K$619)+ABS('03_Sensibilidades'!$C$66)*IF('03_Sensibilidades'!$C$66&lt;0,100-$K$625,$K$625))/(ABS('03_Sensibilidades'!$C$64)+ABS('03_Sensibilidades'!$C$65)+ABS('03_Sensibilidades'!$C$66))</x:f>
        <x:v>56.275208559902396</x:v>
      </x:c>
      <x:c r="F1491" s="5" t="n">
        <x:f>(1-'00_Arquitectura'!$B$95)*D1491+'00_Arquitectura'!$B$95*E1491</x:f>
        <x:v>54.70157915125998</x:v>
      </x:c>
      <x:c r="G1491" s="5" t="n">
        <x:f>'02_Actores'!$I$22</x:f>
        <x:v>30</x:v>
      </x:c>
      <x:c r="H1491" s="5" t="n">
        <x:f>IF(OR(AND(F1491&lt;'00_Arquitectura'!$B$118,G1491&lt;'00_Arquitectura'!$B$119),F1491&lt;'00_Arquitectura'!$B$120),1,0)</x:f>
        <x:v>0</x:v>
      </x:c>
      <x:c r="I1491" s="5" t="n">
        <x:f>IF($I$1473=1,IF(OR(AND(F1491&lt;'00_Arquitectura'!$B$121,G1491&lt;'00_Arquitectura'!$B$122),F1491&lt;'00_Arquitectura'!$B$123),1,0),IF(AND(H1491=1,$H$1473=1),1,0))</x:f>
        <x:v>0</x:v>
      </x:c>
      <x:c r="J1491" s="5" t="n">
        <x:f>0</x:f>
        <x:v>0</x:v>
      </x:c>
      <x:c r="K1491" s="5" t="n">
        <x:f>$K$1475</x:f>
        <x:v>48.98551075213971</x:v>
      </x:c>
      <x:c r="L1491" s="5" t="str">
        <x:v>No aporta E_social; S y R alimentan disposición a leyes según07.</x:v>
      </x:c>
    </x:row>
    <x:row r="1492" ht="42" customHeight="1">
      <x:c r="A1492" s="10" t="str">
        <x:v>S4_PRESTAMO</x:v>
      </x:c>
      <x:c r="B1492" s="10" t="n">
        <x:v>10</x:v>
      </x:c>
      <x:c r="C1492" s="10" t="str">
        <x:v>gobernadores</x:v>
      </x:c>
      <x:c r="D1492" s="10" t="n">
        <x:f>$F$1474</x:f>
        <x:v>49.40421015186422</x:v>
      </x:c>
      <x:c r="E1492" s="10" t="n">
        <x:f>(ABS('03_Sensibilidades'!$C$67)*IF('03_Sensibilidades'!$C$67&lt;0,100-$K$621,$K$621)+ABS('03_Sensibilidades'!$C$68)*IF('03_Sensibilidades'!$C$68&lt;0,100-$K$623,$K$623)+ABS('03_Sensibilidades'!$C$69)*IF('03_Sensibilidades'!$C$69&lt;0,100-$K$622,$K$622)+ABS('03_Sensibilidades'!$C$70)*IF('03_Sensibilidades'!$C$70&lt;0,100-$K$619,$K$619))/(ABS('03_Sensibilidades'!$C$67)+ABS('03_Sensibilidades'!$C$68)+ABS('03_Sensibilidades'!$C$69)+ABS('03_Sensibilidades'!$C$70))</x:f>
        <x:v>51.05186797234648</x:v>
      </x:c>
      <x:c r="F1492" s="10" t="n">
        <x:f>(1-'00_Arquitectura'!$B$95)*D1492+'00_Arquitectura'!$B$95*E1492</x:f>
        <x:v>49.98089038903301</x:v>
      </x:c>
      <x:c r="G1492" s="10" t="n">
        <x:f>'02_Actores'!$I$23</x:f>
        <x:v>45</x:v>
      </x:c>
      <x:c r="H1492" s="10" t="n">
        <x:f>IF(OR(AND(F1492&lt;'00_Arquitectura'!$B$118,G1492&lt;'00_Arquitectura'!$B$119),F1492&lt;'00_Arquitectura'!$B$120),1,0)</x:f>
        <x:v>0</x:v>
      </x:c>
      <x:c r="I1492" s="10" t="n">
        <x:f>IF($I$1474=1,IF(OR(AND(F1492&lt;'00_Arquitectura'!$B$121,G1492&lt;'00_Arquitectura'!$B$122),F1492&lt;'00_Arquitectura'!$B$123),1,0),IF(AND(H1492=1,$H$1474=1),1,0))</x:f>
        <x:v>0</x:v>
      </x:c>
      <x:c r="J1492" s="10" t="n">
        <x:f>0</x:f>
        <x:v>0</x:v>
      </x:c>
      <x:c r="K1492" s="10" t="n">
        <x:f>$K$1475</x:f>
        <x:v>48.98551075213971</x:v>
      </x:c>
      <x:c r="L1492" s="10" t="str">
        <x:v>Conflicto activo captura menor eficacia en políticas ejecutadas en t+1. Magnitud0 en J: no es un offset directo de indicador.</x:v>
      </x:c>
    </x:row>
    <x:row r="1493" ht="34" customHeight="1">
      <x:c r="A1493" s="5" t="str">
        <x:v>S5_SEGURIDAD</x:v>
      </x:c>
      <x:c r="B1493" s="5" t="n">
        <x:v>1</x:v>
      </x:c>
      <x:c r="C1493" s="5" t="str">
        <x:v>industria</x:v>
      </x:c>
      <x:c r="D1493" s="5" t="n">
        <x:f>(ABS('03_Sensibilidades'!$C$6)*IF('03_Sensibilidades'!$C$6&lt;0,100-'01_Indicadores'!$H$9,'01_Indicadores'!$H$9)+ABS('03_Sensibilidades'!$C$7)*IF('03_Sensibilidades'!$C$7&lt;0,100-'01_Indicadores'!$H$7,'01_Indicadores'!$H$7)+ABS('03_Sensibilidades'!$C$8)*IF('03_Sensibilidades'!$C$8&lt;0,100-'01_Indicadores'!$H$12,'01_Indicadores'!$H$12)+ABS('03_Sensibilidades'!$C$9)*IF('03_Sensibilidades'!$C$9&lt;0,100-'01_Indicadores'!$H$11,'01_Indicadores'!$H$11))/(ABS('03_Sensibilidades'!$C$6)+ABS('03_Sensibilidades'!$C$7)+ABS('03_Sensibilidades'!$C$8)+ABS('03_Sensibilidades'!$C$9))</x:f>
        <x:v>46.48148148148148</x:v>
      </x:c>
      <x:c r="E1493" s="5" t="n">
        <x:f>(ABS('03_Sensibilidades'!$C$6)*IF('03_Sensibilidades'!$C$6&lt;0,100-$K$632,$K$632)+ABS('03_Sensibilidades'!$C$7)*IF('03_Sensibilidades'!$C$7&lt;0,100-$K$630,$K$630)+ABS('03_Sensibilidades'!$C$8)*IF('03_Sensibilidades'!$C$8&lt;0,100-$K$635,$K$635)+ABS('03_Sensibilidades'!$C$9)*IF('03_Sensibilidades'!$C$9&lt;0,100-$K$634,$K$634))/(ABS('03_Sensibilidades'!$C$6)+ABS('03_Sensibilidades'!$C$7)+ABS('03_Sensibilidades'!$C$8)+ABS('03_Sensibilidades'!$C$9))</x:f>
        <x:v>46.48148148148148</x:v>
      </x:c>
      <x:c r="F1493" s="5" t="n">
        <x:f>(1-'00_Arquitectura'!$B$95)*D1493+'00_Arquitectura'!$B$95*E1493</x:f>
        <x:v>46.48148148148148</x:v>
      </x:c>
      <x:c r="G1493" s="5" t="n">
        <x:f>'02_Actores'!$I$6</x:f>
        <x:v>45</x:v>
      </x:c>
      <x:c r="H1493" s="5" t="n">
        <x:f>IF(OR(AND(F1493&lt;'00_Arquitectura'!$B$118,G1493&lt;'00_Arquitectura'!$B$119),F1493&lt;'00_Arquitectura'!$B$120),1,0)</x:f>
        <x:v>0</x:v>
      </x:c>
      <x:c r="I1493" s="5" t="n">
        <x:f>0</x:f>
        <x:v>0</x:v>
      </x:c>
      <x:c r="J1493" s="5" t="n">
        <x:f>-I1493*2*'02_Actores'!$E$6/10</x:f>
        <x:v>0</x:v>
      </x:c>
      <x:c r="K1493" s="5" t="n">
        <x:f>($F$1493*'02_Actores'!$F$6+$F$1494*'02_Actores'!$F$7+$F$1495*'02_Actores'!$F$8+$F$1496*'02_Actores'!$F$9+$F$1497*'02_Actores'!$F$10+$F$1498*'02_Actores'!$F$11+$F$1499*'02_Actores'!$F$12+$F$1500*'02_Actores'!$F$13+$F$1501*'02_Actores'!$F$14+$F$1502*'02_Actores'!$F$15+$F$1503*'02_Actores'!$F$16+$F$1504*'02_Actores'!$F$17+$F$1505*'02_Actores'!$F$18+$F$1506*'02_Actores'!$F$19)/('02_Actores'!$F$6+'02_Actores'!$F$7+'02_Actores'!$F$8+'02_Actores'!$F$9+'02_Actores'!$F$10+'02_Actores'!$F$11+'02_Actores'!$F$12+'02_Actores'!$F$13+'02_Actores'!$F$14+'02_Actores'!$F$15+'02_Actores'!$F$16+'02_Actores'!$F$17+'02_Actores'!$F$18+'02_Actores'!$F$19)</x:f>
        <x:v>43.93644302825692</x:v>
      </x:c>
      <x:c r="L1493" s="5" t="str">
        <x:v>J programa offset para t+1; efecto sustituible y acotado, sin voto adicional.</x:v>
      </x:c>
    </x:row>
    <x:row r="1494" ht="34" customHeight="1">
      <x:c r="A1494" s="10" t="str">
        <x:v>S5_SEGURIDAD</x:v>
      </x:c>
      <x:c r="B1494" s="10" t="n">
        <x:v>1</x:v>
      </x:c>
      <x:c r="C1494" s="10" t="str">
        <x:v>agro</x:v>
      </x:c>
      <x:c r="D1494" s="10" t="n">
        <x:f>(ABS('03_Sensibilidades'!$C$10)*IF('03_Sensibilidades'!$C$10&lt;0,100-'01_Indicadores'!$H$11,'01_Indicadores'!$H$11)+ABS('03_Sensibilidades'!$C$11)*IF('03_Sensibilidades'!$C$11&lt;0,100-'01_Indicadores'!$H$12,'01_Indicadores'!$H$12)+ABS('03_Sensibilidades'!$C$12)*IF('03_Sensibilidades'!$C$12&lt;0,100-'01_Indicadores'!$H$19,'01_Indicadores'!$H$19)+ABS('03_Sensibilidades'!$C$13)*IF('03_Sensibilidades'!$C$13&lt;0,100-'01_Indicadores'!$H$9,'01_Indicadores'!$H$9))/(ABS('03_Sensibilidades'!$C$10)+ABS('03_Sensibilidades'!$C$11)+ABS('03_Sensibilidades'!$C$12)+ABS('03_Sensibilidades'!$C$13))</x:f>
        <x:v>45.892857142857146</x:v>
      </x:c>
      <x:c r="E1494" s="10" t="n">
        <x:f>(ABS('03_Sensibilidades'!$C$10)*IF('03_Sensibilidades'!$C$10&lt;0,100-$K$634,$K$634)+ABS('03_Sensibilidades'!$C$11)*IF('03_Sensibilidades'!$C$11&lt;0,100-$K$635,$K$635)+ABS('03_Sensibilidades'!$C$12)*IF('03_Sensibilidades'!$C$12&lt;0,100-$K$642,$K$642)+ABS('03_Sensibilidades'!$C$13)*IF('03_Sensibilidades'!$C$13&lt;0,100-$K$632,$K$632))/(ABS('03_Sensibilidades'!$C$10)+ABS('03_Sensibilidades'!$C$11)+ABS('03_Sensibilidades'!$C$12)+ABS('03_Sensibilidades'!$C$13))</x:f>
        <x:v>45.892857142857146</x:v>
      </x:c>
      <x:c r="F1494" s="10" t="n">
        <x:f>(1-'00_Arquitectura'!$B$95)*D1494+'00_Arquitectura'!$B$95*E1494</x:f>
        <x:v>45.892857142857146</x:v>
      </x:c>
      <x:c r="G1494" s="10" t="n">
        <x:f>'02_Actores'!$I$7</x:f>
        <x:v>45</x:v>
      </x:c>
      <x:c r="H1494" s="10" t="n">
        <x:f>IF(OR(AND(F1494&lt;'00_Arquitectura'!$B$118,G1494&lt;'00_Arquitectura'!$B$119),F1494&lt;'00_Arquitectura'!$B$120),1,0)</x:f>
        <x:v>0</x:v>
      </x:c>
      <x:c r="I1494" s="10" t="n">
        <x:f>0</x:f>
        <x:v>0</x:v>
      </x:c>
      <x:c r="J1494" s="10" t="n">
        <x:f>-I1494*2*'02_Actores'!$E$7/10</x:f>
        <x:v>0</x:v>
      </x:c>
      <x:c r="K1494" s="10" t="n">
        <x:f>$K$1493</x:f>
        <x:v>43.93644302825692</x:v>
      </x:c>
      <x:c r="L1494" s="10" t="str">
        <x:v>J programa offset para t+1; efecto sustituible y acotado, sin voto adicional.</x:v>
      </x:c>
    </x:row>
    <x:row r="1495" ht="34" customHeight="1">
      <x:c r="A1495" s="5" t="str">
        <x:v>S5_SEGURIDAD</x:v>
      </x:c>
      <x:c r="B1495" s="5" t="n">
        <x:v>1</x:v>
      </x:c>
      <x:c r="C1495" s="5" t="str">
        <x:v>financiero</x:v>
      </x:c>
      <x:c r="D1495" s="5" t="n">
        <x:f>(ABS('03_Sensibilidades'!$C$14)*IF('03_Sensibilidades'!$C$14&lt;0,100-'01_Indicadores'!$H$10,'01_Indicadores'!$H$10)+ABS('03_Sensibilidades'!$C$15)*IF('03_Sensibilidades'!$C$15&lt;0,100-'01_Indicadores'!$H$6,'01_Indicadores'!$H$6)+ABS('03_Sensibilidades'!$C$16)*IF('03_Sensibilidades'!$C$16&lt;0,100-'01_Indicadores'!$H$9,'01_Indicadores'!$H$9)+ABS('03_Sensibilidades'!$C$17)*IF('03_Sensibilidades'!$C$17&lt;0,100-20,20))/(ABS('03_Sensibilidades'!$C$14)+ABS('03_Sensibilidades'!$C$15)+ABS('03_Sensibilidades'!$C$16)+ABS('03_Sensibilidades'!$C$17))</x:f>
        <x:v>50.172413793103445</x:v>
      </x:c>
      <x:c r="E1495" s="5" t="n">
        <x:f>(ABS('03_Sensibilidades'!$C$14)*IF('03_Sensibilidades'!$C$14&lt;0,100-$K$633,$K$633)+ABS('03_Sensibilidades'!$C$15)*IF('03_Sensibilidades'!$C$15&lt;0,100-$K$629,$K$629)+ABS('03_Sensibilidades'!$C$16)*IF('03_Sensibilidades'!$C$16&lt;0,100-$K$632,$K$632)+ABS('03_Sensibilidades'!$C$17)*IF('03_Sensibilidades'!$C$17&lt;0,100-$K$641,$K$641))/(ABS('03_Sensibilidades'!$C$14)+ABS('03_Sensibilidades'!$C$15)+ABS('03_Sensibilidades'!$C$16)+ABS('03_Sensibilidades'!$C$17))</x:f>
        <x:v>50.172413793103445</x:v>
      </x:c>
      <x:c r="F1495" s="5" t="n">
        <x:f>(1-'00_Arquitectura'!$B$95)*D1495+'00_Arquitectura'!$B$95*E1495</x:f>
        <x:v>50.172413793103445</x:v>
      </x:c>
      <x:c r="G1495" s="5" t="n">
        <x:f>'02_Actores'!$I$8</x:f>
        <x:v>45</x:v>
      </x:c>
      <x:c r="H1495" s="5" t="n">
        <x:f>IF(OR(AND(F1495&lt;'00_Arquitectura'!$B$118,G1495&lt;'00_Arquitectura'!$B$119),F1495&lt;'00_Arquitectura'!$B$120),1,0)</x:f>
        <x:v>0</x:v>
      </x:c>
      <x:c r="I1495" s="5" t="n">
        <x:f>0</x:f>
        <x:v>0</x:v>
      </x:c>
      <x:c r="J1495" s="5" t="n">
        <x:f>-I1495*2*'02_Actores'!$E$8/10</x:f>
        <x:v>0</x:v>
      </x:c>
      <x:c r="K1495" s="5" t="n">
        <x:f>$K$1493</x:f>
        <x:v>43.93644302825692</x:v>
      </x:c>
      <x:c r="L1495" s="5" t="str">
        <x:v>J programa offset para t+1; efecto sustituible y acotado, sin voto adicional.</x:v>
      </x:c>
    </x:row>
    <x:row r="1496" ht="34" customHeight="1">
      <x:c r="A1496" s="10" t="str">
        <x:v>S5_SEGURIDAD</x:v>
      </x:c>
      <x:c r="B1496" s="10" t="n">
        <x:v>1</x:v>
      </x:c>
      <x:c r="C1496" s="10" t="str">
        <x:v>sindicatos</x:v>
      </x:c>
      <x:c r="D1496" s="10" t="n">
        <x:f>(ABS('03_Sensibilidades'!$C$18)*IF('03_Sensibilidades'!$C$18&lt;0,100-'01_Indicadores'!$H$8,'01_Indicadores'!$H$8)+ABS('03_Sensibilidades'!$C$19)*IF('03_Sensibilidades'!$C$19&lt;0,100-'01_Indicadores'!$H$7,'01_Indicadores'!$H$7)+ABS('03_Sensibilidades'!$C$20)*IF('03_Sensibilidades'!$C$20&lt;0,100-'01_Indicadores'!$H$15,'01_Indicadores'!$H$15)+ABS('03_Sensibilidades'!$C$21)*IF('03_Sensibilidades'!$C$21&lt;0,100-20,20))/(ABS('03_Sensibilidades'!$C$18)+ABS('03_Sensibilidades'!$C$19)+ABS('03_Sensibilidades'!$C$20)+ABS('03_Sensibilidades'!$C$21))</x:f>
        <x:v>43.10344827586207</x:v>
      </x:c>
      <x:c r="E1496" s="10" t="n">
        <x:f>(ABS('03_Sensibilidades'!$C$18)*IF('03_Sensibilidades'!$C$18&lt;0,100-$K$631,$K$631)+ABS('03_Sensibilidades'!$C$19)*IF('03_Sensibilidades'!$C$19&lt;0,100-$K$630,$K$630)+ABS('03_Sensibilidades'!$C$20)*IF('03_Sensibilidades'!$C$20&lt;0,100-$K$638,$K$638)+ABS('03_Sensibilidades'!$C$21)*IF('03_Sensibilidades'!$C$21&lt;0,100-$K$641,$K$641))/(ABS('03_Sensibilidades'!$C$18)+ABS('03_Sensibilidades'!$C$19)+ABS('03_Sensibilidades'!$C$20)+ABS('03_Sensibilidades'!$C$21))</x:f>
        <x:v>43.10344827586207</x:v>
      </x:c>
      <x:c r="F1496" s="10" t="n">
        <x:f>(1-'00_Arquitectura'!$B$95)*D1496+'00_Arquitectura'!$B$95*E1496</x:f>
        <x:v>43.10344827586207</x:v>
      </x:c>
      <x:c r="G1496" s="10" t="n">
        <x:f>'02_Actores'!$I$9</x:f>
        <x:v>45</x:v>
      </x:c>
      <x:c r="H1496" s="10" t="n">
        <x:f>IF(OR(AND(F1496&lt;'00_Arquitectura'!$B$118,G1496&lt;'00_Arquitectura'!$B$119),F1496&lt;'00_Arquitectura'!$B$120),1,0)</x:f>
        <x:v>0</x:v>
      </x:c>
      <x:c r="I1496" s="10" t="n">
        <x:f>0</x:f>
        <x:v>0</x:v>
      </x:c>
      <x:c r="J1496" s="10" t="n">
        <x:f>-I1496*2*'02_Actores'!$E$9/10</x:f>
        <x:v>0</x:v>
      </x:c>
      <x:c r="K1496" s="10" t="n">
        <x:f>$K$1493</x:f>
        <x:v>43.93644302825692</x:v>
      </x:c>
      <x:c r="L1496" s="10" t="str">
        <x:v>J programa offset para t+1; efecto sustituible y acotado, sin voto adicional.</x:v>
      </x:c>
    </x:row>
    <x:row r="1497" ht="34" customHeight="1">
      <x:c r="A1497" s="5" t="str">
        <x:v>S5_SEGURIDAD</x:v>
      </x:c>
      <x:c r="B1497" s="5" t="n">
        <x:v>1</x:v>
      </x:c>
      <x:c r="C1497" s="5" t="str">
        <x:v>pymes</x:v>
      </x:c>
      <x:c r="D1497" s="5" t="n">
        <x:f>(ABS('03_Sensibilidades'!$C$22)*IF('03_Sensibilidades'!$C$22&lt;0,100-'01_Indicadores'!$H$9,'01_Indicadores'!$H$9)+ABS('03_Sensibilidades'!$C$23)*IF('03_Sensibilidades'!$C$23&lt;0,100-'01_Indicadores'!$H$7,'01_Indicadores'!$H$7)+ABS('03_Sensibilidades'!$C$24)*IF('03_Sensibilidades'!$C$24&lt;0,100-'01_Indicadores'!$H$12,'01_Indicadores'!$H$12)+ABS('03_Sensibilidades'!$C$25)*IF('03_Sensibilidades'!$C$25&lt;0,100-'01_Indicadores'!$H$6,'01_Indicadores'!$H$6))/(ABS('03_Sensibilidades'!$C$22)+ABS('03_Sensibilidades'!$C$23)+ABS('03_Sensibilidades'!$C$24)+ABS('03_Sensibilidades'!$C$25))</x:f>
        <x:v>49.13793103448276</x:v>
      </x:c>
      <x:c r="E1497" s="5" t="n">
        <x:f>(ABS('03_Sensibilidades'!$C$22)*IF('03_Sensibilidades'!$C$22&lt;0,100-$K$632,$K$632)+ABS('03_Sensibilidades'!$C$23)*IF('03_Sensibilidades'!$C$23&lt;0,100-$K$630,$K$630)+ABS('03_Sensibilidades'!$C$24)*IF('03_Sensibilidades'!$C$24&lt;0,100-$K$635,$K$635)+ABS('03_Sensibilidades'!$C$25)*IF('03_Sensibilidades'!$C$25&lt;0,100-$K$629,$K$629))/(ABS('03_Sensibilidades'!$C$22)+ABS('03_Sensibilidades'!$C$23)+ABS('03_Sensibilidades'!$C$24)+ABS('03_Sensibilidades'!$C$25))</x:f>
        <x:v>49.13793103448276</x:v>
      </x:c>
      <x:c r="F1497" s="5" t="n">
        <x:f>(1-'00_Arquitectura'!$B$95)*D1497+'00_Arquitectura'!$B$95*E1497</x:f>
        <x:v>49.13793103448276</x:v>
      </x:c>
      <x:c r="G1497" s="5" t="n">
        <x:f>'02_Actores'!$I$10</x:f>
        <x:v>45</x:v>
      </x:c>
      <x:c r="H1497" s="5" t="n">
        <x:f>IF(OR(AND(F1497&lt;'00_Arquitectura'!$B$118,G1497&lt;'00_Arquitectura'!$B$119),F1497&lt;'00_Arquitectura'!$B$120),1,0)</x:f>
        <x:v>0</x:v>
      </x:c>
      <x:c r="I1497" s="5" t="n">
        <x:f>0</x:f>
        <x:v>0</x:v>
      </x:c>
      <x:c r="J1497" s="5" t="n">
        <x:f>-I1497*2*'02_Actores'!$E$10/10</x:f>
        <x:v>0</x:v>
      </x:c>
      <x:c r="K1497" s="5" t="n">
        <x:f>$K$1493</x:f>
        <x:v>43.93644302825692</x:v>
      </x:c>
      <x:c r="L1497" s="5" t="str">
        <x:v>J programa offset para t+1; efecto sustituible y acotado, sin voto adicional.</x:v>
      </x:c>
    </x:row>
    <x:row r="1498" ht="34" customHeight="1">
      <x:c r="A1498" s="10" t="str">
        <x:v>S5_SEGURIDAD</x:v>
      </x:c>
      <x:c r="B1498" s="10" t="n">
        <x:v>1</x:v>
      </x:c>
      <x:c r="C1498" s="10" t="str">
        <x:v>clase_media</x:v>
      </x:c>
      <x:c r="D1498" s="10" t="n">
        <x:f>(ABS('03_Sensibilidades'!$C$26)*IF('03_Sensibilidades'!$C$26&lt;0,100-'01_Indicadores'!$H$8,'01_Indicadores'!$H$8)+ABS('03_Sensibilidades'!$C$27)*IF('03_Sensibilidades'!$C$27&lt;0,100-'01_Indicadores'!$H$16,'01_Indicadores'!$H$16)+ABS('03_Sensibilidades'!$C$28)*IF('03_Sensibilidades'!$C$28&lt;0,100-'01_Indicadores'!$H$13,'01_Indicadores'!$H$13)+ABS('03_Sensibilidades'!$C$29)*IF('03_Sensibilidades'!$C$29&lt;0,100-'01_Indicadores'!$H$6,'01_Indicadores'!$H$6))/(ABS('03_Sensibilidades'!$C$26)+ABS('03_Sensibilidades'!$C$27)+ABS('03_Sensibilidades'!$C$28)+ABS('03_Sensibilidades'!$C$29))</x:f>
        <x:v>48.333333333333336</x:v>
      </x:c>
      <x:c r="E1498" s="10" t="n">
        <x:f>(ABS('03_Sensibilidades'!$C$26)*IF('03_Sensibilidades'!$C$26&lt;0,100-$K$631,$K$631)+ABS('03_Sensibilidades'!$C$27)*IF('03_Sensibilidades'!$C$27&lt;0,100-$K$639,$K$639)+ABS('03_Sensibilidades'!$C$28)*IF('03_Sensibilidades'!$C$28&lt;0,100-$K$636,$K$636)+ABS('03_Sensibilidades'!$C$29)*IF('03_Sensibilidades'!$C$29&lt;0,100-$K$629,$K$629))/(ABS('03_Sensibilidades'!$C$26)+ABS('03_Sensibilidades'!$C$27)+ABS('03_Sensibilidades'!$C$28)+ABS('03_Sensibilidades'!$C$29))</x:f>
        <x:v>49.629629629629626</x:v>
      </x:c>
      <x:c r="F1498" s="10" t="n">
        <x:f>(1-'00_Arquitectura'!$B$95)*D1498+'00_Arquitectura'!$B$95*E1498</x:f>
        <x:v>48.78703703703704</x:v>
      </x:c>
      <x:c r="G1498" s="10" t="n">
        <x:f>'02_Actores'!$I$11</x:f>
        <x:v>45</x:v>
      </x:c>
      <x:c r="H1498" s="10" t="n">
        <x:f>IF(OR(AND(F1498&lt;'00_Arquitectura'!$B$118,G1498&lt;'00_Arquitectura'!$B$119),F1498&lt;'00_Arquitectura'!$B$120),1,0)</x:f>
        <x:v>0</x:v>
      </x:c>
      <x:c r="I1498" s="10" t="n">
        <x:f>0</x:f>
        <x:v>0</x:v>
      </x:c>
      <x:c r="J1498" s="10" t="n">
        <x:f>0</x:f>
        <x:v>0</x:v>
      </x:c>
      <x:c r="K1498" s="10" t="n">
        <x:f>$K$1493</x:f>
        <x:v>43.93644302825692</x:v>
      </x:c>
      <x:c r="L1498" s="10" t="str">
        <x:v>Canal directo sólo al índice social; sin bono de popularidad.</x:v>
      </x:c>
    </x:row>
    <x:row r="1499" ht="34" customHeight="1">
      <x:c r="A1499" s="5" t="str">
        <x:v>S5_SEGURIDAD</x:v>
      </x:c>
      <x:c r="B1499" s="5" t="n">
        <x:v>1</x:v>
      </x:c>
      <x:c r="C1499" s="5" t="str">
        <x:v>cooperativas</x:v>
      </x:c>
      <x:c r="D1499" s="5" t="n">
        <x:f>(ABS('03_Sensibilidades'!$C$30)*IF('03_Sensibilidades'!$C$30&lt;0,100-'01_Indicadores'!$H$9,'01_Indicadores'!$H$9)+ABS('03_Sensibilidades'!$C$31)*IF('03_Sensibilidades'!$C$31&lt;0,100-'01_Indicadores'!$H$7,'01_Indicadores'!$H$7)+ABS('03_Sensibilidades'!$C$32)*IF('03_Sensibilidades'!$C$32&lt;0,100-'01_Indicadores'!$H$15,'01_Indicadores'!$H$15)+ABS('03_Sensibilidades'!$C$33)*IF('03_Sensibilidades'!$C$33&lt;0,100-20,20))/(ABS('03_Sensibilidades'!$C$30)+ABS('03_Sensibilidades'!$C$31)+ABS('03_Sensibilidades'!$C$32)+ABS('03_Sensibilidades'!$C$33))</x:f>
        <x:v>42.592592592592595</x:v>
      </x:c>
      <x:c r="E1499" s="5" t="n">
        <x:f>(ABS('03_Sensibilidades'!$C$30)*IF('03_Sensibilidades'!$C$30&lt;0,100-$K$632,$K$632)+ABS('03_Sensibilidades'!$C$31)*IF('03_Sensibilidades'!$C$31&lt;0,100-$K$630,$K$630)+ABS('03_Sensibilidades'!$C$32)*IF('03_Sensibilidades'!$C$32&lt;0,100-$K$638,$K$638)+ABS('03_Sensibilidades'!$C$33)*IF('03_Sensibilidades'!$C$33&lt;0,100-$K$641,$K$641))/(ABS('03_Sensibilidades'!$C$30)+ABS('03_Sensibilidades'!$C$31)+ABS('03_Sensibilidades'!$C$32)+ABS('03_Sensibilidades'!$C$33))</x:f>
        <x:v>42.592592592592595</x:v>
      </x:c>
      <x:c r="F1499" s="5" t="n">
        <x:f>(1-'00_Arquitectura'!$B$95)*D1499+'00_Arquitectura'!$B$95*E1499</x:f>
        <x:v>42.592592592592595</x:v>
      </x:c>
      <x:c r="G1499" s="5" t="n">
        <x:f>'02_Actores'!$I$12</x:f>
        <x:v>45</x:v>
      </x:c>
      <x:c r="H1499" s="5" t="n">
        <x:f>IF(OR(AND(F1499&lt;'00_Arquitectura'!$B$118,G1499&lt;'00_Arquitectura'!$B$119),F1499&lt;'00_Arquitectura'!$B$120),1,0)</x:f>
        <x:v>0</x:v>
      </x:c>
      <x:c r="I1499" s="5" t="n">
        <x:f>0</x:f>
        <x:v>0</x:v>
      </x:c>
      <x:c r="J1499" s="5" t="n">
        <x:f>-I1499*1.5*'02_Actores'!$E$12/10</x:f>
        <x:v>0</x:v>
      </x:c>
      <x:c r="K1499" s="5" t="n">
        <x:f>$K$1493</x:f>
        <x:v>43.93644302825692</x:v>
      </x:c>
      <x:c r="L1499" s="5" t="str">
        <x:v>J programa offset para t+1; efecto sustituible y acotado, sin voto adicional.</x:v>
      </x:c>
    </x:row>
    <x:row r="1500" ht="42" customHeight="1">
      <x:c r="A1500" s="10" t="str">
        <x:v>S5_SEGURIDAD</x:v>
      </x:c>
      <x:c r="B1500" s="10" t="n">
        <x:v>1</x:v>
      </x:c>
      <x:c r="C1500" s="10" t="str">
        <x:v>estudiantes</x:v>
      </x:c>
      <x:c r="D1500" s="10" t="n">
        <x:f>(ABS('03_Sensibilidades'!$C$34)*IF('03_Sensibilidades'!$C$34&lt;0,100-'01_Indicadores'!$H$13,'01_Indicadores'!$H$13)+ABS('03_Sensibilidades'!$C$35)*IF('03_Sensibilidades'!$C$35&lt;0,100-'01_Indicadores'!$H$8,'01_Indicadores'!$H$8)+ABS('03_Sensibilidades'!$C$36)*IF('03_Sensibilidades'!$C$36&lt;0,100-20,20)+ABS('03_Sensibilidades'!$C$37)*IF('03_Sensibilidades'!$C$37&lt;0,100-'01_Indicadores'!$H$17,'01_Indicadores'!$H$17))/(ABS('03_Sensibilidades'!$C$34)+ABS('03_Sensibilidades'!$C$35)+ABS('03_Sensibilidades'!$C$36)+ABS('03_Sensibilidades'!$C$37))</x:f>
        <x:v>39.4</x:v>
      </x:c>
      <x:c r="E1500" s="10" t="n">
        <x:f>(ABS('03_Sensibilidades'!$C$34)*IF('03_Sensibilidades'!$C$34&lt;0,100-$K$636,$K$636)+ABS('03_Sensibilidades'!$C$35)*IF('03_Sensibilidades'!$C$35&lt;0,100-$K$631,$K$631)+ABS('03_Sensibilidades'!$C$36)*IF('03_Sensibilidades'!$C$36&lt;0,100-$K$641,$K$641)+ABS('03_Sensibilidades'!$C$37)*IF('03_Sensibilidades'!$C$37&lt;0,100-$K$640,$K$640))/(ABS('03_Sensibilidades'!$C$34)+ABS('03_Sensibilidades'!$C$35)+ABS('03_Sensibilidades'!$C$36)+ABS('03_Sensibilidades'!$C$37))</x:f>
        <x:v>39.4</x:v>
      </x:c>
      <x:c r="F1500" s="10" t="n">
        <x:f>(1-'00_Arquitectura'!$B$95)*D1500+'00_Arquitectura'!$B$95*E1500</x:f>
        <x:v>39.4</x:v>
      </x:c>
      <x:c r="G1500" s="10" t="n">
        <x:f>'02_Actores'!$I$13</x:f>
        <x:v>45</x:v>
      </x:c>
      <x:c r="H1500" s="10" t="n">
        <x:f>IF(OR(AND(F1500&lt;'00_Arquitectura'!$B$118,G1500&lt;'00_Arquitectura'!$B$119),F1500&lt;'00_Arquitectura'!$B$120),1,0)</x:f>
        <x:v>0</x:v>
      </x:c>
      <x:c r="I1500" s="10" t="n">
        <x:f>0</x:f>
        <x:v>0</x:v>
      </x:c>
      <x:c r="J1500" s="10" t="n">
        <x:f>0</x:f>
        <x:v>0</x:v>
      </x:c>
      <x:c r="K1500" s="10" t="n">
        <x:f>$K$1493</x:f>
        <x:v>43.93644302825692</x:v>
      </x:c>
      <x:c r="L1500" s="10" t="str">
        <x:v>Conflicto activo captura menor eficacia en políticas ejecutadas en t+1. Magnitud0 en J: no es un offset directo de indicador.</x:v>
      </x:c>
    </x:row>
    <x:row r="1501" ht="34" customHeight="1">
      <x:c r="A1501" s="5" t="str">
        <x:v>S5_SEGURIDAD</x:v>
      </x:c>
      <x:c r="B1501" s="5" t="n">
        <x:v>1</x:v>
      </x:c>
      <x:c r="C1501" s="5" t="str">
        <x:v>docentes</x:v>
      </x:c>
      <x:c r="D1501" s="5" t="n">
        <x:f>(ABS('03_Sensibilidades'!$C$38)*IF('03_Sensibilidades'!$C$38&lt;0,100-'01_Indicadores'!$H$13,'01_Indicadores'!$H$13)+ABS('03_Sensibilidades'!$C$39)*IF('03_Sensibilidades'!$C$39&lt;0,100-'01_Indicadores'!$H$8,'01_Indicadores'!$H$8)+ABS('03_Sensibilidades'!$C$40)*IF('03_Sensibilidades'!$C$40&lt;0,100-20,20))/(ABS('03_Sensibilidades'!$C$38)+ABS('03_Sensibilidades'!$C$39)+ABS('03_Sensibilidades'!$C$40))</x:f>
        <x:v>42.82608695652174</x:v>
      </x:c>
      <x:c r="E1501" s="5" t="n">
        <x:f>(ABS('03_Sensibilidades'!$C$38)*IF('03_Sensibilidades'!$C$38&lt;0,100-$K$636,$K$636)+ABS('03_Sensibilidades'!$C$39)*IF('03_Sensibilidades'!$C$39&lt;0,100-$K$631,$K$631)+ABS('03_Sensibilidades'!$C$40)*IF('03_Sensibilidades'!$C$40&lt;0,100-$K$641,$K$641))/(ABS('03_Sensibilidades'!$C$38)+ABS('03_Sensibilidades'!$C$39)+ABS('03_Sensibilidades'!$C$40))</x:f>
        <x:v>42.82608695652174</x:v>
      </x:c>
      <x:c r="F1501" s="5" t="n">
        <x:f>(1-'00_Arquitectura'!$B$95)*D1501+'00_Arquitectura'!$B$95*E1501</x:f>
        <x:v>42.82608695652174</x:v>
      </x:c>
      <x:c r="G1501" s="5" t="n">
        <x:f>'02_Actores'!$I$14</x:f>
        <x:v>45</x:v>
      </x:c>
      <x:c r="H1501" s="5" t="n">
        <x:f>IF(OR(AND(F1501&lt;'00_Arquitectura'!$B$118,G1501&lt;'00_Arquitectura'!$B$119),F1501&lt;'00_Arquitectura'!$B$120),1,0)</x:f>
        <x:v>0</x:v>
      </x:c>
      <x:c r="I1501" s="5" t="n">
        <x:f>0</x:f>
        <x:v>0</x:v>
      </x:c>
      <x:c r="J1501" s="5" t="n">
        <x:f>-I1501*1.5*'02_Actores'!$E$14/10</x:f>
        <x:v>0</x:v>
      </x:c>
      <x:c r="K1501" s="5" t="n">
        <x:f>$K$1493</x:f>
        <x:v>43.93644302825692</x:v>
      </x:c>
      <x:c r="L1501" s="5" t="str">
        <x:v>J programa offset para t+1; efecto sustituible y acotado, sin voto adicional.</x:v>
      </x:c>
    </x:row>
    <x:row r="1502" ht="34" customHeight="1">
      <x:c r="A1502" s="10" t="str">
        <x:v>S5_SEGURIDAD</x:v>
      </x:c>
      <x:c r="B1502" s="10" t="n">
        <x:v>1</x:v>
      </x:c>
      <x:c r="C1502" s="10" t="str">
        <x:v>cientificos</x:v>
      </x:c>
      <x:c r="D1502" s="10" t="n">
        <x:f>(ABS('03_Sensibilidades'!$C$41)*IF('03_Sensibilidades'!$C$41&lt;0,100-'01_Indicadores'!$H$17,'01_Indicadores'!$H$17)+ABS('03_Sensibilidades'!$C$42)*IF('03_Sensibilidades'!$C$42&lt;0,100-'01_Indicadores'!$H$13,'01_Indicadores'!$H$13)+ABS('03_Sensibilidades'!$C$43)*IF('03_Sensibilidades'!$C$43&lt;0,100-20,20))/(ABS('03_Sensibilidades'!$C$41)+ABS('03_Sensibilidades'!$C$42)+ABS('03_Sensibilidades'!$C$43))</x:f>
        <x:v>38.63636363636363</x:v>
      </x:c>
      <x:c r="E1502" s="10" t="n">
        <x:f>(ABS('03_Sensibilidades'!$C$41)*IF('03_Sensibilidades'!$C$41&lt;0,100-$K$640,$K$640)+ABS('03_Sensibilidades'!$C$42)*IF('03_Sensibilidades'!$C$42&lt;0,100-$K$636,$K$636)+ABS('03_Sensibilidades'!$C$43)*IF('03_Sensibilidades'!$C$43&lt;0,100-$K$641,$K$641))/(ABS('03_Sensibilidades'!$C$41)+ABS('03_Sensibilidades'!$C$42)+ABS('03_Sensibilidades'!$C$43))</x:f>
        <x:v>38.63636363636363</x:v>
      </x:c>
      <x:c r="F1502" s="10" t="n">
        <x:f>(1-'00_Arquitectura'!$B$95)*D1502+'00_Arquitectura'!$B$95*E1502</x:f>
        <x:v>38.63636363636363</x:v>
      </x:c>
      <x:c r="G1502" s="10" t="n">
        <x:f>'02_Actores'!$I$15</x:f>
        <x:v>45</x:v>
      </x:c>
      <x:c r="H1502" s="10" t="n">
        <x:f>IF(OR(AND(F1502&lt;'00_Arquitectura'!$B$118,G1502&lt;'00_Arquitectura'!$B$119),F1502&lt;'00_Arquitectura'!$B$120),1,0)</x:f>
        <x:v>0</x:v>
      </x:c>
      <x:c r="I1502" s="10" t="n">
        <x:f>0</x:f>
        <x:v>0</x:v>
      </x:c>
      <x:c r="J1502" s="10" t="n">
        <x:f>-I1502*1.5*'02_Actores'!$E$15/10</x:f>
        <x:v>0</x:v>
      </x:c>
      <x:c r="K1502" s="10" t="n">
        <x:f>$K$1493</x:f>
        <x:v>43.93644302825692</x:v>
      </x:c>
      <x:c r="L1502" s="10" t="str">
        <x:v>J programa offset para t+1; efecto sustituible y acotado, sin voto adicional.</x:v>
      </x:c>
    </x:row>
    <x:row r="1503" ht="34" customHeight="1">
      <x:c r="A1503" s="5" t="str">
        <x:v>S5_SEGURIDAD</x:v>
      </x:c>
      <x:c r="B1503" s="5" t="n">
        <x:v>1</x:v>
      </x:c>
      <x:c r="C1503" s="5" t="str">
        <x:v>organizaciones</x:v>
      </x:c>
      <x:c r="D1503" s="5" t="n">
        <x:f>(ABS('03_Sensibilidades'!$C$44)*IF('03_Sensibilidades'!$C$44&lt;0,100-'01_Indicadores'!$H$15,'01_Indicadores'!$H$15)+ABS('03_Sensibilidades'!$C$45)*IF('03_Sensibilidades'!$C$45&lt;0,100-'01_Indicadores'!$H$14,'01_Indicadores'!$H$14)+ABS('03_Sensibilidades'!$C$46)*IF('03_Sensibilidades'!$C$46&lt;0,100-'01_Indicadores'!$H$7,'01_Indicadores'!$H$7)+ABS('03_Sensibilidades'!$C$47)*IF('03_Sensibilidades'!$C$47&lt;0,100-20,20))/(ABS('03_Sensibilidades'!$C$44)+ABS('03_Sensibilidades'!$C$45)+ABS('03_Sensibilidades'!$C$46)+ABS('03_Sensibilidades'!$C$47))</x:f>
        <x:v>42.857142857142854</x:v>
      </x:c>
      <x:c r="E1503" s="5" t="n">
        <x:f>(ABS('03_Sensibilidades'!$C$44)*IF('03_Sensibilidades'!$C$44&lt;0,100-$K$638,$K$638)+ABS('03_Sensibilidades'!$C$45)*IF('03_Sensibilidades'!$C$45&lt;0,100-$K$637,$K$637)+ABS('03_Sensibilidades'!$C$46)*IF('03_Sensibilidades'!$C$46&lt;0,100-$K$630,$K$630)+ABS('03_Sensibilidades'!$C$47)*IF('03_Sensibilidades'!$C$47&lt;0,100-$K$641,$K$641))/(ABS('03_Sensibilidades'!$C$44)+ABS('03_Sensibilidades'!$C$45)+ABS('03_Sensibilidades'!$C$46)+ABS('03_Sensibilidades'!$C$47))</x:f>
        <x:v>42.857142857142854</x:v>
      </x:c>
      <x:c r="F1503" s="5" t="n">
        <x:f>(1-'00_Arquitectura'!$B$95)*D1503+'00_Arquitectura'!$B$95*E1503</x:f>
        <x:v>42.857142857142854</x:v>
      </x:c>
      <x:c r="G1503" s="5" t="n">
        <x:f>'02_Actores'!$I$16</x:f>
        <x:v>45</x:v>
      </x:c>
      <x:c r="H1503" s="5" t="n">
        <x:f>IF(OR(AND(F1503&lt;'00_Arquitectura'!$B$118,G1503&lt;'00_Arquitectura'!$B$119),F1503&lt;'00_Arquitectura'!$B$120),1,0)</x:f>
        <x:v>0</x:v>
      </x:c>
      <x:c r="I1503" s="5" t="n">
        <x:f>0</x:f>
        <x:v>0</x:v>
      </x:c>
      <x:c r="J1503" s="5" t="n">
        <x:f>-I1503*1.5*'02_Actores'!$E$16/10</x:f>
        <x:v>0</x:v>
      </x:c>
      <x:c r="K1503" s="5" t="n">
        <x:f>$K$1493</x:f>
        <x:v>43.93644302825692</x:v>
      </x:c>
      <x:c r="L1503" s="5" t="str">
        <x:v>J programa offset para t+1; efecto sustituible y acotado, sin voto adicional.</x:v>
      </x:c>
    </x:row>
    <x:row r="1504" ht="42" customHeight="1">
      <x:c r="A1504" s="10" t="str">
        <x:v>S5_SEGURIDAD</x:v>
      </x:c>
      <x:c r="B1504" s="10" t="n">
        <x:v>1</x:v>
      </x:c>
      <x:c r="C1504" s="10" t="str">
        <x:v>ddhh</x:v>
      </x:c>
      <x:c r="D1504" s="10" t="n">
        <x:f>(ABS('03_Sensibilidades'!$C$48)*IF('03_Sensibilidades'!$C$48&lt;0,100-20,20)+ABS('03_Sensibilidades'!$C$49)*IF('03_Sensibilidades'!$C$49&lt;0,100-'01_Indicadores'!$H$16,'01_Indicadores'!$H$16)+ABS('03_Sensibilidades'!$C$50)*IF('03_Sensibilidades'!$C$50&lt;0,100-'01_Indicadores'!$H$15,'01_Indicadores'!$H$15))/(ABS('03_Sensibilidades'!$C$48)+ABS('03_Sensibilidades'!$C$49)+ABS('03_Sensibilidades'!$C$50))</x:f>
        <x:v>30.294117647058822</x:v>
      </x:c>
      <x:c r="E1504" s="10" t="n">
        <x:f>(ABS('03_Sensibilidades'!$C$48)*IF('03_Sensibilidades'!$C$48&lt;0,100-$K$641,$K$641)+ABS('03_Sensibilidades'!$C$49)*IF('03_Sensibilidades'!$C$49&lt;0,100-$K$639,$K$639)+ABS('03_Sensibilidades'!$C$50)*IF('03_Sensibilidades'!$C$50&lt;0,100-$K$638,$K$638))/(ABS('03_Sensibilidades'!$C$48)+ABS('03_Sensibilidades'!$C$49)+ABS('03_Sensibilidades'!$C$50))</x:f>
        <x:v>31.176470588235293</x:v>
      </x:c>
      <x:c r="F1504" s="10" t="n">
        <x:f>(1-'00_Arquitectura'!$B$95)*D1504+'00_Arquitectura'!$B$95*E1504</x:f>
        <x:v>30.602941176470587</x:v>
      </x:c>
      <x:c r="G1504" s="10" t="n">
        <x:f>30</x:f>
        <x:v>30</x:v>
      </x:c>
      <x:c r="H1504" s="10" t="n">
        <x:f>IF(OR(AND(F1504&lt;'00_Arquitectura'!$B$118,G1504&lt;'00_Arquitectura'!$B$119),F1504&lt;'00_Arquitectura'!$B$120),1,0)</x:f>
        <x:v>1</x:v>
      </x:c>
      <x:c r="I1504" s="10" t="n">
        <x:f>0</x:f>
        <x:v>0</x:v>
      </x:c>
      <x:c r="J1504" s="10" t="n">
        <x:f>0</x:f>
        <x:v>0</x:v>
      </x:c>
      <x:c r="K1504" s="10" t="n">
        <x:f>$K$1493</x:f>
        <x:v>43.93644302825692</x:v>
      </x:c>
      <x:c r="L1504" s="10" t="str">
        <x:v>Conflicto activo captura menor eficacia en políticas ejecutadas en t+1. Magnitud0 en J: no es un offset directo de indicador.</x:v>
      </x:c>
    </x:row>
    <x:row r="1505" ht="42" customHeight="1">
      <x:c r="A1505" s="5" t="str">
        <x:v>S5_SEGURIDAD</x:v>
      </x:c>
      <x:c r="B1505" s="5" t="n">
        <x:v>1</x:v>
      </x:c>
      <x:c r="C1505" s="5" t="str">
        <x:v>ambientalistas</x:v>
      </x:c>
      <x:c r="D1505" s="5" t="n">
        <x:f>(ABS('03_Sensibilidades'!$C$51)*IF('03_Sensibilidades'!$C$51&lt;0,100-'01_Indicadores'!$H$19,'01_Indicadores'!$H$19)+ABS('03_Sensibilidades'!$C$52)*IF('03_Sensibilidades'!$C$52&lt;0,100-20,20)+ABS('03_Sensibilidades'!$C$53)*IF('03_Sensibilidades'!$C$53&lt;0,100-'01_Indicadores'!$H$14,'01_Indicadores'!$H$14))/(ABS('03_Sensibilidades'!$C$51)+ABS('03_Sensibilidades'!$C$52)+ABS('03_Sensibilidades'!$C$53))</x:f>
        <x:v>41.666666666666664</x:v>
      </x:c>
      <x:c r="E1505" s="5" t="n">
        <x:f>(ABS('03_Sensibilidades'!$C$51)*IF('03_Sensibilidades'!$C$51&lt;0,100-$K$642,$K$642)+ABS('03_Sensibilidades'!$C$52)*IF('03_Sensibilidades'!$C$52&lt;0,100-$K$641,$K$641)+ABS('03_Sensibilidades'!$C$53)*IF('03_Sensibilidades'!$C$53&lt;0,100-$K$637,$K$637))/(ABS('03_Sensibilidades'!$C$51)+ABS('03_Sensibilidades'!$C$52)+ABS('03_Sensibilidades'!$C$53))</x:f>
        <x:v>41.666666666666664</x:v>
      </x:c>
      <x:c r="F1505" s="5" t="n">
        <x:f>(1-'00_Arquitectura'!$B$95)*D1505+'00_Arquitectura'!$B$95*E1505</x:f>
        <x:v>41.666666666666664</x:v>
      </x:c>
      <x:c r="G1505" s="5" t="n">
        <x:f>'02_Actores'!$I$18</x:f>
        <x:v>45</x:v>
      </x:c>
      <x:c r="H1505" s="5" t="n">
        <x:f>IF(OR(AND(F1505&lt;'00_Arquitectura'!$B$118,G1505&lt;'00_Arquitectura'!$B$119),F1505&lt;'00_Arquitectura'!$B$120),1,0)</x:f>
        <x:v>0</x:v>
      </x:c>
      <x:c r="I1505" s="5" t="n">
        <x:f>0</x:f>
        <x:v>0</x:v>
      </x:c>
      <x:c r="J1505" s="5" t="n">
        <x:f>0</x:f>
        <x:v>0</x:v>
      </x:c>
      <x:c r="K1505" s="5" t="n">
        <x:f>$K$1493</x:f>
        <x:v>43.93644302825692</x:v>
      </x:c>
      <x:c r="L1505" s="5" t="str">
        <x:v>Conflicto activo captura menor eficacia en políticas ejecutadas en t+1. Magnitud0 en J: no es un offset directo de indicador.</x:v>
      </x:c>
    </x:row>
    <x:row r="1506" ht="34" customHeight="1">
      <x:c r="A1506" s="10" t="str">
        <x:v>S5_SEGURIDAD</x:v>
      </x:c>
      <x:c r="B1506" s="10" t="n">
        <x:v>1</x:v>
      </x:c>
      <x:c r="C1506" s="10" t="str">
        <x:v>cultura</x:v>
      </x:c>
      <x:c r="D1506" s="10" t="n">
        <x:f>(ABS('03_Sensibilidades'!$C$54)*IF('03_Sensibilidades'!$C$54&lt;0,100-20,20)+ABS('03_Sensibilidades'!$C$55)*IF('03_Sensibilidades'!$C$55&lt;0,100-'01_Indicadores'!$H$13,'01_Indicadores'!$H$13)+ABS('03_Sensibilidades'!$C$56)*IF('03_Sensibilidades'!$C$56&lt;0,100-'01_Indicadores'!$H$8,'01_Indicadores'!$H$8))/(ABS('03_Sensibilidades'!$C$54)+ABS('03_Sensibilidades'!$C$55)+ABS('03_Sensibilidades'!$C$56))</x:f>
        <x:v>36.05263157894737</x:v>
      </x:c>
      <x:c r="E1506" s="10" t="n">
        <x:f>(ABS('03_Sensibilidades'!$C$54)*IF('03_Sensibilidades'!$C$54&lt;0,100-$K$641,$K$641)+ABS('03_Sensibilidades'!$C$55)*IF('03_Sensibilidades'!$C$55&lt;0,100-$K$636,$K$636)+ABS('03_Sensibilidades'!$C$56)*IF('03_Sensibilidades'!$C$56&lt;0,100-$K$631,$K$631))/(ABS('03_Sensibilidades'!$C$54)+ABS('03_Sensibilidades'!$C$55)+ABS('03_Sensibilidades'!$C$56))</x:f>
        <x:v>36.05263157894737</x:v>
      </x:c>
      <x:c r="F1506" s="10" t="n">
        <x:f>(1-'00_Arquitectura'!$B$95)*D1506+'00_Arquitectura'!$B$95*E1506</x:f>
        <x:v>36.05263157894737</x:v>
      </x:c>
      <x:c r="G1506" s="10" t="n">
        <x:f>'02_Actores'!$I$19</x:f>
        <x:v>45</x:v>
      </x:c>
      <x:c r="H1506" s="10" t="n">
        <x:f>IF(OR(AND(F1506&lt;'00_Arquitectura'!$B$118,G1506&lt;'00_Arquitectura'!$B$119),F1506&lt;'00_Arquitectura'!$B$120),1,0)</x:f>
        <x:v>0</x:v>
      </x:c>
      <x:c r="I1506" s="10" t="n">
        <x:f>0</x:f>
        <x:v>0</x:v>
      </x:c>
      <x:c r="J1506" s="10" t="n">
        <x:f>0</x:f>
        <x:v>0</x:v>
      </x:c>
      <x:c r="K1506" s="10" t="n">
        <x:f>$K$1493</x:f>
        <x:v>43.93644302825692</x:v>
      </x:c>
      <x:c r="L1506" s="10" t="str">
        <x:v>Conflicto activo encarece agenda del turno siguiente; sin castigo electoral adicional.</x:v>
      </x:c>
    </x:row>
    <x:row r="1507" ht="34" customHeight="1">
      <x:c r="A1507" s="5" t="str">
        <x:v>S5_SEGURIDAD</x:v>
      </x:c>
      <x:c r="B1507" s="5" t="n">
        <x:v>1</x:v>
      </x:c>
      <x:c r="C1507" s="5" t="str">
        <x:v>oficialismo</x:v>
      </x:c>
      <x:c r="D1507" s="5" t="n">
        <x:f>(ABS('03_Sensibilidades'!$C$57)*IF('03_Sensibilidades'!$C$57&lt;0,100-20,20)+ABS('03_Sensibilidades'!$C$58)*IF('03_Sensibilidades'!$C$58&lt;0,100-'01_Indicadores'!$H$7,'01_Indicadores'!$H$7)+ABS('03_Sensibilidades'!$C$59)*IF('03_Sensibilidades'!$C$59&lt;0,100-'01_Indicadores'!$H$10,'01_Indicadores'!$H$10)+ABS('03_Sensibilidades'!$C$60)*IF('03_Sensibilidades'!$C$60&lt;0,100-'01_Indicadores'!$H$15,'01_Indicadores'!$H$15))/(ABS('03_Sensibilidades'!$C$57)+ABS('03_Sensibilidades'!$C$58)+ABS('03_Sensibilidades'!$C$59)+ABS('03_Sensibilidades'!$C$60))</x:f>
        <x:v>43.72</x:v>
      </x:c>
      <x:c r="E1507" s="5" t="n">
        <x:f>(ABS('03_Sensibilidades'!$C$57)*IF('03_Sensibilidades'!$C$57&lt;0,100-$K$641,$K$641)+ABS('03_Sensibilidades'!$C$58)*IF('03_Sensibilidades'!$C$58&lt;0,100-$K$630,$K$630)+ABS('03_Sensibilidades'!$C$59)*IF('03_Sensibilidades'!$C$59&lt;0,100-$K$633,$K$633)+ABS('03_Sensibilidades'!$C$60)*IF('03_Sensibilidades'!$C$60&lt;0,100-$K$638,$K$638))/(ABS('03_Sensibilidades'!$C$57)+ABS('03_Sensibilidades'!$C$58)+ABS('03_Sensibilidades'!$C$59)+ABS('03_Sensibilidades'!$C$60))</x:f>
        <x:v>43.72</x:v>
      </x:c>
      <x:c r="F1507" s="5" t="n">
        <x:f>(1-'00_Arquitectura'!$B$95)*D1507+'00_Arquitectura'!$B$95*E1507</x:f>
        <x:v>43.72</x:v>
      </x:c>
      <x:c r="G1507" s="5" t="n">
        <x:f>'02_Actores'!$I$20</x:f>
        <x:v>60</x:v>
      </x:c>
      <x:c r="H1507" s="5" t="n">
        <x:f>IF(OR(AND(F1507&lt;'00_Arquitectura'!$B$118,G1507&lt;'00_Arquitectura'!$B$119),F1507&lt;'00_Arquitectura'!$B$120),1,0)</x:f>
        <x:v>0</x:v>
      </x:c>
      <x:c r="I1507" s="5" t="n">
        <x:f>0</x:f>
        <x:v>0</x:v>
      </x:c>
      <x:c r="J1507" s="5" t="n">
        <x:f>0</x:f>
        <x:v>0</x:v>
      </x:c>
      <x:c r="K1507" s="5" t="n">
        <x:f>$K$1493</x:f>
        <x:v>43.93644302825692</x:v>
      </x:c>
      <x:c r="L1507" s="5" t="str">
        <x:v>No aporta E_social; S y R alimentan disposición a leyes según07.</x:v>
      </x:c>
    </x:row>
    <x:row r="1508" ht="34" customHeight="1">
      <x:c r="A1508" s="10" t="str">
        <x:v>S5_SEGURIDAD</x:v>
      </x:c>
      <x:c r="B1508" s="10" t="n">
        <x:v>1</x:v>
      </x:c>
      <x:c r="C1508" s="10" t="str">
        <x:v>aliados</x:v>
      </x:c>
      <x:c r="D1508" s="10" t="n">
        <x:f>(ABS('03_Sensibilidades'!$C$61)*IF('03_Sensibilidades'!$C$61&lt;0,100-20,20)+ABS('03_Sensibilidades'!$C$62)*IF('03_Sensibilidades'!$C$62&lt;0,100-'01_Indicadores'!$H$10,'01_Indicadores'!$H$10)+ABS('03_Sensibilidades'!$C$63)*IF('03_Sensibilidades'!$C$63&lt;0,100-'01_Indicadores'!$H$12,'01_Indicadores'!$H$12))/(ABS('03_Sensibilidades'!$C$61)+ABS('03_Sensibilidades'!$C$62)+ABS('03_Sensibilidades'!$C$63))</x:f>
        <x:v>39.80952380952381</x:v>
      </x:c>
      <x:c r="E1508" s="10" t="n">
        <x:f>(ABS('03_Sensibilidades'!$C$61)*IF('03_Sensibilidades'!$C$61&lt;0,100-$K$641,$K$641)+ABS('03_Sensibilidades'!$C$62)*IF('03_Sensibilidades'!$C$62&lt;0,100-$K$633,$K$633)+ABS('03_Sensibilidades'!$C$63)*IF('03_Sensibilidades'!$C$63&lt;0,100-$K$635,$K$635))/(ABS('03_Sensibilidades'!$C$61)+ABS('03_Sensibilidades'!$C$62)+ABS('03_Sensibilidades'!$C$63))</x:f>
        <x:v>39.80952380952381</x:v>
      </x:c>
      <x:c r="F1508" s="10" t="n">
        <x:f>(1-'00_Arquitectura'!$B$95)*D1508+'00_Arquitectura'!$B$95*E1508</x:f>
        <x:v>39.80952380952381</x:v>
      </x:c>
      <x:c r="G1508" s="10" t="n">
        <x:f>'02_Actores'!$I$21</x:f>
        <x:v>45</x:v>
      </x:c>
      <x:c r="H1508" s="10" t="n">
        <x:f>IF(OR(AND(F1508&lt;'00_Arquitectura'!$B$118,G1508&lt;'00_Arquitectura'!$B$119),F1508&lt;'00_Arquitectura'!$B$120),1,0)</x:f>
        <x:v>0</x:v>
      </x:c>
      <x:c r="I1508" s="10" t="n">
        <x:f>0</x:f>
        <x:v>0</x:v>
      </x:c>
      <x:c r="J1508" s="10" t="n">
        <x:f>0</x:f>
        <x:v>0</x:v>
      </x:c>
      <x:c r="K1508" s="10" t="n">
        <x:f>$K$1493</x:f>
        <x:v>43.93644302825692</x:v>
      </x:c>
      <x:c r="L1508" s="10" t="str">
        <x:v>No aporta E_social; S y R alimentan disposición a leyes según07.</x:v>
      </x:c>
    </x:row>
    <x:row r="1509" ht="34" customHeight="1">
      <x:c r="A1509" s="5" t="str">
        <x:v>S5_SEGURIDAD</x:v>
      </x:c>
      <x:c r="B1509" s="5" t="n">
        <x:v>1</x:v>
      </x:c>
      <x:c r="C1509" s="5" t="str">
        <x:v>oposicion</x:v>
      </x:c>
      <x:c r="D1509" s="5" t="n">
        <x:f>(ABS('03_Sensibilidades'!$C$64)*IF('03_Sensibilidades'!$C$64&lt;0,100-20,20)+ABS('03_Sensibilidades'!$C$65)*IF('03_Sensibilidades'!$C$65&lt;0,100-'01_Indicadores'!$H$10,'01_Indicadores'!$H$10)+ABS('03_Sensibilidades'!$C$66)*IF('03_Sensibilidades'!$C$66&lt;0,100-'01_Indicadores'!$H$16,'01_Indicadores'!$H$16))/(ABS('03_Sensibilidades'!$C$64)+ABS('03_Sensibilidades'!$C$65)+ABS('03_Sensibilidades'!$C$66))</x:f>
        <x:v>36.4</x:v>
      </x:c>
      <x:c r="E1509" s="5" t="n">
        <x:f>(ABS('03_Sensibilidades'!$C$64)*IF('03_Sensibilidades'!$C$64&lt;0,100-$K$641,$K$641)+ABS('03_Sensibilidades'!$C$65)*IF('03_Sensibilidades'!$C$65&lt;0,100-$K$633,$K$633)+ABS('03_Sensibilidades'!$C$66)*IF('03_Sensibilidades'!$C$66&lt;0,100-$K$639,$K$639))/(ABS('03_Sensibilidades'!$C$64)+ABS('03_Sensibilidades'!$C$65)+ABS('03_Sensibilidades'!$C$66))</x:f>
        <x:v>37.4</x:v>
      </x:c>
      <x:c r="F1509" s="5" t="n">
        <x:f>(1-'00_Arquitectura'!$B$95)*D1509+'00_Arquitectura'!$B$95*E1509</x:f>
        <x:v>36.75</x:v>
      </x:c>
      <x:c r="G1509" s="5" t="n">
        <x:f>'02_Actores'!$I$22</x:f>
        <x:v>30</x:v>
      </x:c>
      <x:c r="H1509" s="5" t="n">
        <x:f>IF(OR(AND(F1509&lt;'00_Arquitectura'!$B$118,G1509&lt;'00_Arquitectura'!$B$119),F1509&lt;'00_Arquitectura'!$B$120),1,0)</x:f>
        <x:v>0</x:v>
      </x:c>
      <x:c r="I1509" s="5" t="n">
        <x:f>0</x:f>
        <x:v>0</x:v>
      </x:c>
      <x:c r="J1509" s="5" t="n">
        <x:f>0</x:f>
        <x:v>0</x:v>
      </x:c>
      <x:c r="K1509" s="5" t="n">
        <x:f>$K$1493</x:f>
        <x:v>43.93644302825692</x:v>
      </x:c>
      <x:c r="L1509" s="5" t="str">
        <x:v>No aporta E_social; S y R alimentan disposición a leyes según07.</x:v>
      </x:c>
    </x:row>
    <x:row r="1510" ht="42" customHeight="1">
      <x:c r="A1510" s="10" t="str">
        <x:v>S5_SEGURIDAD</x:v>
      </x:c>
      <x:c r="B1510" s="10" t="n">
        <x:v>1</x:v>
      </x:c>
      <x:c r="C1510" s="10" t="str">
        <x:v>gobernadores</x:v>
      </x:c>
      <x:c r="D1510" s="10" t="n">
        <x:f>(ABS('03_Sensibilidades'!$C$67)*IF('03_Sensibilidades'!$C$67&lt;0,100-'01_Indicadores'!$H$12,'01_Indicadores'!$H$12)+ABS('03_Sensibilidades'!$C$68)*IF('03_Sensibilidades'!$C$68&lt;0,100-'01_Indicadores'!$H$14,'01_Indicadores'!$H$14)+ABS('03_Sensibilidades'!$C$69)*IF('03_Sensibilidades'!$C$69&lt;0,100-'01_Indicadores'!$H$13,'01_Indicadores'!$H$13)+ABS('03_Sensibilidades'!$C$70)*IF('03_Sensibilidades'!$C$70&lt;0,100-'01_Indicadores'!$H$10,'01_Indicadores'!$H$10))/(ABS('03_Sensibilidades'!$C$67)+ABS('03_Sensibilidades'!$C$68)+ABS('03_Sensibilidades'!$C$69)+ABS('03_Sensibilidades'!$C$70))</x:f>
        <x:v>50.10344827586207</x:v>
      </x:c>
      <x:c r="E1510" s="10" t="n">
        <x:f>(ABS('03_Sensibilidades'!$C$67)*IF('03_Sensibilidades'!$C$67&lt;0,100-$K$635,$K$635)+ABS('03_Sensibilidades'!$C$68)*IF('03_Sensibilidades'!$C$68&lt;0,100-$K$637,$K$637)+ABS('03_Sensibilidades'!$C$69)*IF('03_Sensibilidades'!$C$69&lt;0,100-$K$636,$K$636)+ABS('03_Sensibilidades'!$C$70)*IF('03_Sensibilidades'!$C$70&lt;0,100-$K$633,$K$633))/(ABS('03_Sensibilidades'!$C$67)+ABS('03_Sensibilidades'!$C$68)+ABS('03_Sensibilidades'!$C$69)+ABS('03_Sensibilidades'!$C$70))</x:f>
        <x:v>50.10344827586207</x:v>
      </x:c>
      <x:c r="F1510" s="10" t="n">
        <x:f>(1-'00_Arquitectura'!$B$95)*D1510+'00_Arquitectura'!$B$95*E1510</x:f>
        <x:v>50.10344827586207</x:v>
      </x:c>
      <x:c r="G1510" s="10" t="n">
        <x:f>'02_Actores'!$I$23</x:f>
        <x:v>45</x:v>
      </x:c>
      <x:c r="H1510" s="10" t="n">
        <x:f>IF(OR(AND(F1510&lt;'00_Arquitectura'!$B$118,G1510&lt;'00_Arquitectura'!$B$119),F1510&lt;'00_Arquitectura'!$B$120),1,0)</x:f>
        <x:v>0</x:v>
      </x:c>
      <x:c r="I1510" s="10" t="n">
        <x:f>0</x:f>
        <x:v>0</x:v>
      </x:c>
      <x:c r="J1510" s="10" t="n">
        <x:f>0</x:f>
        <x:v>0</x:v>
      </x:c>
      <x:c r="K1510" s="10" t="n">
        <x:f>$K$1493</x:f>
        <x:v>43.93644302825692</x:v>
      </x:c>
      <x:c r="L1510" s="10" t="str">
        <x:v>Conflicto activo captura menor eficacia en políticas ejecutadas en t+1. Magnitud0 en J: no es un offset directo de indicador.</x:v>
      </x:c>
    </x:row>
    <x:row r="1511" ht="34" customHeight="1">
      <x:c r="A1511" s="5" t="str">
        <x:v>S5_SEGURIDAD</x:v>
      </x:c>
      <x:c r="B1511" s="5" t="n">
        <x:v>2</x:v>
      </x:c>
      <x:c r="C1511" s="5" t="str">
        <x:v>industria</x:v>
      </x:c>
      <x:c r="D1511" s="5" t="n">
        <x:f>$F$1493</x:f>
        <x:v>46.48148148148148</x:v>
      </x:c>
      <x:c r="E1511" s="5" t="n">
        <x:f>(ABS('03_Sensibilidades'!$C$6)*IF('03_Sensibilidades'!$C$6&lt;0,100-$K$646,$K$646)+ABS('03_Sensibilidades'!$C$7)*IF('03_Sensibilidades'!$C$7&lt;0,100-$K$644,$K$644)+ABS('03_Sensibilidades'!$C$8)*IF('03_Sensibilidades'!$C$8&lt;0,100-$K$649,$K$649)+ABS('03_Sensibilidades'!$C$9)*IF('03_Sensibilidades'!$C$9&lt;0,100-$K$648,$K$648))/(ABS('03_Sensibilidades'!$C$6)+ABS('03_Sensibilidades'!$C$7)+ABS('03_Sensibilidades'!$C$8)+ABS('03_Sensibilidades'!$C$9))</x:f>
        <x:v>46.48148148148148</x:v>
      </x:c>
      <x:c r="F1511" s="5" t="n">
        <x:f>(1-'00_Arquitectura'!$B$95)*D1511+'00_Arquitectura'!$B$95*E1511</x:f>
        <x:v>46.48148148148148</x:v>
      </x:c>
      <x:c r="G1511" s="5" t="n">
        <x:f>'02_Actores'!$I$6</x:f>
        <x:v>45</x:v>
      </x:c>
      <x:c r="H1511" s="5" t="n">
        <x:f>IF(OR(AND(F1511&lt;'00_Arquitectura'!$B$118,G1511&lt;'00_Arquitectura'!$B$119),F1511&lt;'00_Arquitectura'!$B$120),1,0)</x:f>
        <x:v>0</x:v>
      </x:c>
      <x:c r="I1511" s="5" t="n">
        <x:f>IF($I$1493=1,IF(OR(AND(F1511&lt;'00_Arquitectura'!$B$121,G1511&lt;'00_Arquitectura'!$B$122),F1511&lt;'00_Arquitectura'!$B$123),1,0),IF(AND(H1511=1,$H$1493=1),1,0))</x:f>
        <x:v>0</x:v>
      </x:c>
      <x:c r="J1511" s="5" t="n">
        <x:f>-I1511*2*'02_Actores'!$E$6/10</x:f>
        <x:v>0</x:v>
      </x:c>
      <x:c r="K1511" s="5" t="n">
        <x:f>($F$1511*'02_Actores'!$F$6+$F$1512*'02_Actores'!$F$7+$F$1513*'02_Actores'!$F$8+$F$1514*'02_Actores'!$F$9+$F$1515*'02_Actores'!$F$10+$F$1516*'02_Actores'!$F$11+$F$1517*'02_Actores'!$F$12+$F$1518*'02_Actores'!$F$13+$F$1519*'02_Actores'!$F$14+$F$1520*'02_Actores'!$F$15+$F$1521*'02_Actores'!$F$16+$F$1522*'02_Actores'!$F$17+$F$1523*'02_Actores'!$F$18+$F$1524*'02_Actores'!$F$19)/('02_Actores'!$F$6+'02_Actores'!$F$7+'02_Actores'!$F$8+'02_Actores'!$F$9+'02_Actores'!$F$10+'02_Actores'!$F$11+'02_Actores'!$F$12+'02_Actores'!$F$13+'02_Actores'!$F$14+'02_Actores'!$F$15+'02_Actores'!$F$16+'02_Actores'!$F$17+'02_Actores'!$F$18+'02_Actores'!$F$19)</x:f>
        <x:v>43.82462007266341</x:v>
      </x:c>
      <x:c r="L1511" s="5" t="str">
        <x:v>J programa offset para t+1; efecto sustituible y acotado, sin voto adicional.</x:v>
      </x:c>
    </x:row>
    <x:row r="1512" ht="34" customHeight="1">
      <x:c r="A1512" s="10" t="str">
        <x:v>S5_SEGURIDAD</x:v>
      </x:c>
      <x:c r="B1512" s="10" t="n">
        <x:v>2</x:v>
      </x:c>
      <x:c r="C1512" s="10" t="str">
        <x:v>agro</x:v>
      </x:c>
      <x:c r="D1512" s="10" t="n">
        <x:f>$F$1494</x:f>
        <x:v>45.892857142857146</x:v>
      </x:c>
      <x:c r="E1512" s="10" t="n">
        <x:f>(ABS('03_Sensibilidades'!$C$10)*IF('03_Sensibilidades'!$C$10&lt;0,100-$K$648,$K$648)+ABS('03_Sensibilidades'!$C$11)*IF('03_Sensibilidades'!$C$11&lt;0,100-$K$649,$K$649)+ABS('03_Sensibilidades'!$C$12)*IF('03_Sensibilidades'!$C$12&lt;0,100-$K$656,$K$656)+ABS('03_Sensibilidades'!$C$13)*IF('03_Sensibilidades'!$C$13&lt;0,100-$K$646,$K$646))/(ABS('03_Sensibilidades'!$C$10)+ABS('03_Sensibilidades'!$C$11)+ABS('03_Sensibilidades'!$C$12)+ABS('03_Sensibilidades'!$C$13))</x:f>
        <x:v>45.892857142857146</x:v>
      </x:c>
      <x:c r="F1512" s="10" t="n">
        <x:f>(1-'00_Arquitectura'!$B$95)*D1512+'00_Arquitectura'!$B$95*E1512</x:f>
        <x:v>45.892857142857146</x:v>
      </x:c>
      <x:c r="G1512" s="10" t="n">
        <x:f>'02_Actores'!$I$7</x:f>
        <x:v>45</x:v>
      </x:c>
      <x:c r="H1512" s="10" t="n">
        <x:f>IF(OR(AND(F1512&lt;'00_Arquitectura'!$B$118,G1512&lt;'00_Arquitectura'!$B$119),F1512&lt;'00_Arquitectura'!$B$120),1,0)</x:f>
        <x:v>0</x:v>
      </x:c>
      <x:c r="I1512" s="10" t="n">
        <x:f>IF($I$1494=1,IF(OR(AND(F1512&lt;'00_Arquitectura'!$B$121,G1512&lt;'00_Arquitectura'!$B$122),F1512&lt;'00_Arquitectura'!$B$123),1,0),IF(AND(H1512=1,$H$1494=1),1,0))</x:f>
        <x:v>0</x:v>
      </x:c>
      <x:c r="J1512" s="10" t="n">
        <x:f>-I1512*2*'02_Actores'!$E$7/10</x:f>
        <x:v>0</x:v>
      </x:c>
      <x:c r="K1512" s="10" t="n">
        <x:f>$K$1511</x:f>
        <x:v>43.82462007266341</x:v>
      </x:c>
      <x:c r="L1512" s="10" t="str">
        <x:v>J programa offset para t+1; efecto sustituible y acotado, sin voto adicional.</x:v>
      </x:c>
    </x:row>
    <x:row r="1513" ht="34" customHeight="1">
      <x:c r="A1513" s="5" t="str">
        <x:v>S5_SEGURIDAD</x:v>
      </x:c>
      <x:c r="B1513" s="5" t="n">
        <x:v>2</x:v>
      </x:c>
      <x:c r="C1513" s="5" t="str">
        <x:v>financiero</x:v>
      </x:c>
      <x:c r="D1513" s="5" t="n">
        <x:f>$F$1495</x:f>
        <x:v>50.172413793103445</x:v>
      </x:c>
      <x:c r="E1513" s="5" t="n">
        <x:f>(ABS('03_Sensibilidades'!$C$14)*IF('03_Sensibilidades'!$C$14&lt;0,100-$K$647,$K$647)+ABS('03_Sensibilidades'!$C$15)*IF('03_Sensibilidades'!$C$15&lt;0,100-$K$643,$K$643)+ABS('03_Sensibilidades'!$C$16)*IF('03_Sensibilidades'!$C$16&lt;0,100-$K$646,$K$646)+ABS('03_Sensibilidades'!$C$17)*IF('03_Sensibilidades'!$C$17&lt;0,100-$K$655,$K$655))/(ABS('03_Sensibilidades'!$C$14)+ABS('03_Sensibilidades'!$C$15)+ABS('03_Sensibilidades'!$C$16)+ABS('03_Sensibilidades'!$C$17))</x:f>
        <x:v>48.724137931034484</x:v>
      </x:c>
      <x:c r="F1513" s="5" t="n">
        <x:f>(1-'00_Arquitectura'!$B$95)*D1513+'00_Arquitectura'!$B$95*E1513</x:f>
        <x:v>49.665517241379305</x:v>
      </x:c>
      <x:c r="G1513" s="5" t="n">
        <x:f>'02_Actores'!$I$8</x:f>
        <x:v>45</x:v>
      </x:c>
      <x:c r="H1513" s="5" t="n">
        <x:f>IF(OR(AND(F1513&lt;'00_Arquitectura'!$B$118,G1513&lt;'00_Arquitectura'!$B$119),F1513&lt;'00_Arquitectura'!$B$120),1,0)</x:f>
        <x:v>0</x:v>
      </x:c>
      <x:c r="I1513" s="5" t="n">
        <x:f>IF($I$1495=1,IF(OR(AND(F1513&lt;'00_Arquitectura'!$B$121,G1513&lt;'00_Arquitectura'!$B$122),F1513&lt;'00_Arquitectura'!$B$123),1,0),IF(AND(H1513=1,$H$1495=1),1,0))</x:f>
        <x:v>0</x:v>
      </x:c>
      <x:c r="J1513" s="5" t="n">
        <x:f>-I1513*2*'02_Actores'!$E$8/10</x:f>
        <x:v>0</x:v>
      </x:c>
      <x:c r="K1513" s="5" t="n">
        <x:f>$K$1511</x:f>
        <x:v>43.82462007266341</x:v>
      </x:c>
      <x:c r="L1513" s="5" t="str">
        <x:v>J programa offset para t+1; efecto sustituible y acotado, sin voto adicional.</x:v>
      </x:c>
    </x:row>
    <x:row r="1514" ht="34" customHeight="1">
      <x:c r="A1514" s="10" t="str">
        <x:v>S5_SEGURIDAD</x:v>
      </x:c>
      <x:c r="B1514" s="10" t="n">
        <x:v>2</x:v>
      </x:c>
      <x:c r="C1514" s="10" t="str">
        <x:v>sindicatos</x:v>
      </x:c>
      <x:c r="D1514" s="10" t="n">
        <x:f>$F$1496</x:f>
        <x:v>43.10344827586207</x:v>
      </x:c>
      <x:c r="E1514" s="10" t="n">
        <x:f>(ABS('03_Sensibilidades'!$C$18)*IF('03_Sensibilidades'!$C$18&lt;0,100-$K$645,$K$645)+ABS('03_Sensibilidades'!$C$19)*IF('03_Sensibilidades'!$C$19&lt;0,100-$K$644,$K$644)+ABS('03_Sensibilidades'!$C$20)*IF('03_Sensibilidades'!$C$20&lt;0,100-$K$652,$K$652)+ABS('03_Sensibilidades'!$C$21)*IF('03_Sensibilidades'!$C$21&lt;0,100-$K$655,$K$655))/(ABS('03_Sensibilidades'!$C$18)+ABS('03_Sensibilidades'!$C$19)+ABS('03_Sensibilidades'!$C$20)+ABS('03_Sensibilidades'!$C$21))</x:f>
        <x:v>42.689655172413794</x:v>
      </x:c>
      <x:c r="F1514" s="10" t="n">
        <x:f>(1-'00_Arquitectura'!$B$95)*D1514+'00_Arquitectura'!$B$95*E1514</x:f>
        <x:v>42.95862068965518</x:v>
      </x:c>
      <x:c r="G1514" s="10" t="n">
        <x:f>'02_Actores'!$I$9</x:f>
        <x:v>45</x:v>
      </x:c>
      <x:c r="H1514" s="10" t="n">
        <x:f>IF(OR(AND(F1514&lt;'00_Arquitectura'!$B$118,G1514&lt;'00_Arquitectura'!$B$119),F1514&lt;'00_Arquitectura'!$B$120),1,0)</x:f>
        <x:v>0</x:v>
      </x:c>
      <x:c r="I1514" s="10" t="n">
        <x:f>IF($I$1496=1,IF(OR(AND(F1514&lt;'00_Arquitectura'!$B$121,G1514&lt;'00_Arquitectura'!$B$122),F1514&lt;'00_Arquitectura'!$B$123),1,0),IF(AND(H1514=1,$H$1496=1),1,0))</x:f>
        <x:v>0</x:v>
      </x:c>
      <x:c r="J1514" s="10" t="n">
        <x:f>-I1514*2*'02_Actores'!$E$9/10</x:f>
        <x:v>0</x:v>
      </x:c>
      <x:c r="K1514" s="10" t="n">
        <x:f>$K$1511</x:f>
        <x:v>43.82462007266341</x:v>
      </x:c>
      <x:c r="L1514" s="10" t="str">
        <x:v>J programa offset para t+1; efecto sustituible y acotado, sin voto adicional.</x:v>
      </x:c>
    </x:row>
    <x:row r="1515" ht="34" customHeight="1">
      <x:c r="A1515" s="5" t="str">
        <x:v>S5_SEGURIDAD</x:v>
      </x:c>
      <x:c r="B1515" s="5" t="n">
        <x:v>2</x:v>
      </x:c>
      <x:c r="C1515" s="5" t="str">
        <x:v>pymes</x:v>
      </x:c>
      <x:c r="D1515" s="5" t="n">
        <x:f>$F$1497</x:f>
        <x:v>49.13793103448276</x:v>
      </x:c>
      <x:c r="E1515" s="5" t="n">
        <x:f>(ABS('03_Sensibilidades'!$C$22)*IF('03_Sensibilidades'!$C$22&lt;0,100-$K$646,$K$646)+ABS('03_Sensibilidades'!$C$23)*IF('03_Sensibilidades'!$C$23&lt;0,100-$K$644,$K$644)+ABS('03_Sensibilidades'!$C$24)*IF('03_Sensibilidades'!$C$24&lt;0,100-$K$649,$K$649)+ABS('03_Sensibilidades'!$C$25)*IF('03_Sensibilidades'!$C$25&lt;0,100-$K$643,$K$643))/(ABS('03_Sensibilidades'!$C$22)+ABS('03_Sensibilidades'!$C$23)+ABS('03_Sensibilidades'!$C$24)+ABS('03_Sensibilidades'!$C$25))</x:f>
        <x:v>49.13793103448276</x:v>
      </x:c>
      <x:c r="F1515" s="5" t="n">
        <x:f>(1-'00_Arquitectura'!$B$95)*D1515+'00_Arquitectura'!$B$95*E1515</x:f>
        <x:v>49.13793103448276</x:v>
      </x:c>
      <x:c r="G1515" s="5" t="n">
        <x:f>'02_Actores'!$I$10</x:f>
        <x:v>45</x:v>
      </x:c>
      <x:c r="H1515" s="5" t="n">
        <x:f>IF(OR(AND(F1515&lt;'00_Arquitectura'!$B$118,G1515&lt;'00_Arquitectura'!$B$119),F1515&lt;'00_Arquitectura'!$B$120),1,0)</x:f>
        <x:v>0</x:v>
      </x:c>
      <x:c r="I1515" s="5" t="n">
        <x:f>IF($I$1497=1,IF(OR(AND(F1515&lt;'00_Arquitectura'!$B$121,G1515&lt;'00_Arquitectura'!$B$122),F1515&lt;'00_Arquitectura'!$B$123),1,0),IF(AND(H1515=1,$H$1497=1),1,0))</x:f>
        <x:v>0</x:v>
      </x:c>
      <x:c r="J1515" s="5" t="n">
        <x:f>-I1515*2*'02_Actores'!$E$10/10</x:f>
        <x:v>0</x:v>
      </x:c>
      <x:c r="K1515" s="5" t="n">
        <x:f>$K$1511</x:f>
        <x:v>43.82462007266341</x:v>
      </x:c>
      <x:c r="L1515" s="5" t="str">
        <x:v>J programa offset para t+1; efecto sustituible y acotado, sin voto adicional.</x:v>
      </x:c>
    </x:row>
    <x:row r="1516" ht="34" customHeight="1">
      <x:c r="A1516" s="10" t="str">
        <x:v>S5_SEGURIDAD</x:v>
      </x:c>
      <x:c r="B1516" s="10" t="n">
        <x:v>2</x:v>
      </x:c>
      <x:c r="C1516" s="10" t="str">
        <x:v>clase_media</x:v>
      </x:c>
      <x:c r="D1516" s="10" t="n">
        <x:f>$F$1498</x:f>
        <x:v>48.78703703703704</x:v>
      </x:c>
      <x:c r="E1516" s="10" t="n">
        <x:f>(ABS('03_Sensibilidades'!$C$26)*IF('03_Sensibilidades'!$C$26&lt;0,100-$K$645,$K$645)+ABS('03_Sensibilidades'!$C$27)*IF('03_Sensibilidades'!$C$27&lt;0,100-$K$653,$K$653)+ABS('03_Sensibilidades'!$C$28)*IF('03_Sensibilidades'!$C$28&lt;0,100-$K$650,$K$650)+ABS('03_Sensibilidades'!$C$29)*IF('03_Sensibilidades'!$C$29&lt;0,100-$K$643,$K$643))/(ABS('03_Sensibilidades'!$C$26)+ABS('03_Sensibilidades'!$C$27)+ABS('03_Sensibilidades'!$C$28)+ABS('03_Sensibilidades'!$C$29))</x:f>
        <x:v>49.629629629629626</x:v>
      </x:c>
      <x:c r="F1516" s="10" t="n">
        <x:f>(1-'00_Arquitectura'!$B$95)*D1516+'00_Arquitectura'!$B$95*E1516</x:f>
        <x:v>49.081944444444446</x:v>
      </x:c>
      <x:c r="G1516" s="10" t="n">
        <x:f>'02_Actores'!$I$11</x:f>
        <x:v>45</x:v>
      </x:c>
      <x:c r="H1516" s="10" t="n">
        <x:f>IF(OR(AND(F1516&lt;'00_Arquitectura'!$B$118,G1516&lt;'00_Arquitectura'!$B$119),F1516&lt;'00_Arquitectura'!$B$120),1,0)</x:f>
        <x:v>0</x:v>
      </x:c>
      <x:c r="I1516" s="10" t="n">
        <x:f>IF($I$1498=1,IF(OR(AND(F1516&lt;'00_Arquitectura'!$B$121,G1516&lt;'00_Arquitectura'!$B$122),F1516&lt;'00_Arquitectura'!$B$123),1,0),IF(AND(H1516=1,$H$1498=1),1,0))</x:f>
        <x:v>0</x:v>
      </x:c>
      <x:c r="J1516" s="10" t="n">
        <x:f>0</x:f>
        <x:v>0</x:v>
      </x:c>
      <x:c r="K1516" s="10" t="n">
        <x:f>$K$1511</x:f>
        <x:v>43.82462007266341</x:v>
      </x:c>
      <x:c r="L1516" s="10" t="str">
        <x:v>Canal directo sólo al índice social; sin bono de popularidad.</x:v>
      </x:c>
    </x:row>
    <x:row r="1517" ht="34" customHeight="1">
      <x:c r="A1517" s="5" t="str">
        <x:v>S5_SEGURIDAD</x:v>
      </x:c>
      <x:c r="B1517" s="5" t="n">
        <x:v>2</x:v>
      </x:c>
      <x:c r="C1517" s="5" t="str">
        <x:v>cooperativas</x:v>
      </x:c>
      <x:c r="D1517" s="5" t="n">
        <x:f>$F$1499</x:f>
        <x:v>42.592592592592595</x:v>
      </x:c>
      <x:c r="E1517" s="5" t="n">
        <x:f>(ABS('03_Sensibilidades'!$C$30)*IF('03_Sensibilidades'!$C$30&lt;0,100-$K$646,$K$646)+ABS('03_Sensibilidades'!$C$31)*IF('03_Sensibilidades'!$C$31&lt;0,100-$K$644,$K$644)+ABS('03_Sensibilidades'!$C$32)*IF('03_Sensibilidades'!$C$32&lt;0,100-$K$652,$K$652)+ABS('03_Sensibilidades'!$C$33)*IF('03_Sensibilidades'!$C$33&lt;0,100-$K$655,$K$655))/(ABS('03_Sensibilidades'!$C$30)+ABS('03_Sensibilidades'!$C$31)+ABS('03_Sensibilidades'!$C$32)+ABS('03_Sensibilidades'!$C$33))</x:f>
        <x:v>42.148148148148145</x:v>
      </x:c>
      <x:c r="F1517" s="5" t="n">
        <x:f>(1-'00_Arquitectura'!$B$95)*D1517+'00_Arquitectura'!$B$95*E1517</x:f>
        <x:v>42.43703703703704</x:v>
      </x:c>
      <x:c r="G1517" s="5" t="n">
        <x:f>'02_Actores'!$I$12</x:f>
        <x:v>45</x:v>
      </x:c>
      <x:c r="H1517" s="5" t="n">
        <x:f>IF(OR(AND(F1517&lt;'00_Arquitectura'!$B$118,G1517&lt;'00_Arquitectura'!$B$119),F1517&lt;'00_Arquitectura'!$B$120),1,0)</x:f>
        <x:v>0</x:v>
      </x:c>
      <x:c r="I1517" s="5" t="n">
        <x:f>IF($I$1499=1,IF(OR(AND(F1517&lt;'00_Arquitectura'!$B$121,G1517&lt;'00_Arquitectura'!$B$122),F1517&lt;'00_Arquitectura'!$B$123),1,0),IF(AND(H1517=1,$H$1499=1),1,0))</x:f>
        <x:v>0</x:v>
      </x:c>
      <x:c r="J1517" s="5" t="n">
        <x:f>-I1517*1.5*'02_Actores'!$E$12/10</x:f>
        <x:v>0</x:v>
      </x:c>
      <x:c r="K1517" s="5" t="n">
        <x:f>$K$1511</x:f>
        <x:v>43.82462007266341</x:v>
      </x:c>
      <x:c r="L1517" s="5" t="str">
        <x:v>J programa offset para t+1; efecto sustituible y acotado, sin voto adicional.</x:v>
      </x:c>
    </x:row>
    <x:row r="1518" ht="42" customHeight="1">
      <x:c r="A1518" s="10" t="str">
        <x:v>S5_SEGURIDAD</x:v>
      </x:c>
      <x:c r="B1518" s="10" t="n">
        <x:v>2</x:v>
      </x:c>
      <x:c r="C1518" s="10" t="str">
        <x:v>estudiantes</x:v>
      </x:c>
      <x:c r="D1518" s="10" t="n">
        <x:f>$F$1500</x:f>
        <x:v>39.4</x:v>
      </x:c>
      <x:c r="E1518" s="10" t="n">
        <x:f>(ABS('03_Sensibilidades'!$C$34)*IF('03_Sensibilidades'!$C$34&lt;0,100-$K$650,$K$650)+ABS('03_Sensibilidades'!$C$35)*IF('03_Sensibilidades'!$C$35&lt;0,100-$K$645,$K$645)+ABS('03_Sensibilidades'!$C$36)*IF('03_Sensibilidades'!$C$36&lt;0,100-$K$655,$K$655)+ABS('03_Sensibilidades'!$C$37)*IF('03_Sensibilidades'!$C$37&lt;0,100-$K$654,$K$654))/(ABS('03_Sensibilidades'!$C$34)+ABS('03_Sensibilidades'!$C$35)+ABS('03_Sensibilidades'!$C$36)+ABS('03_Sensibilidades'!$C$37))</x:f>
        <x:v>38.56</x:v>
      </x:c>
      <x:c r="F1518" s="10" t="n">
        <x:f>(1-'00_Arquitectura'!$B$95)*D1518+'00_Arquitectura'!$B$95*E1518</x:f>
        <x:v>39.106</x:v>
      </x:c>
      <x:c r="G1518" s="10" t="n">
        <x:f>'02_Actores'!$I$13</x:f>
        <x:v>45</x:v>
      </x:c>
      <x:c r="H1518" s="10" t="n">
        <x:f>IF(OR(AND(F1518&lt;'00_Arquitectura'!$B$118,G1518&lt;'00_Arquitectura'!$B$119),F1518&lt;'00_Arquitectura'!$B$120),1,0)</x:f>
        <x:v>0</x:v>
      </x:c>
      <x:c r="I1518" s="10" t="n">
        <x:f>IF($I$1500=1,IF(OR(AND(F1518&lt;'00_Arquitectura'!$B$121,G1518&lt;'00_Arquitectura'!$B$122),F1518&lt;'00_Arquitectura'!$B$123),1,0),IF(AND(H1518=1,$H$1500=1),1,0))</x:f>
        <x:v>0</x:v>
      </x:c>
      <x:c r="J1518" s="10" t="n">
        <x:f>0</x:f>
        <x:v>0</x:v>
      </x:c>
      <x:c r="K1518" s="10" t="n">
        <x:f>$K$1511</x:f>
        <x:v>43.82462007266341</x:v>
      </x:c>
      <x:c r="L1518" s="10" t="str">
        <x:v>Conflicto activo captura menor eficacia en políticas ejecutadas en t+1. Magnitud0 en J: no es un offset directo de indicador.</x:v>
      </x:c>
    </x:row>
    <x:row r="1519" ht="34" customHeight="1">
      <x:c r="A1519" s="5" t="str">
        <x:v>S5_SEGURIDAD</x:v>
      </x:c>
      <x:c r="B1519" s="5" t="n">
        <x:v>2</x:v>
      </x:c>
      <x:c r="C1519" s="5" t="str">
        <x:v>docentes</x:v>
      </x:c>
      <x:c r="D1519" s="5" t="n">
        <x:f>$F$1501</x:f>
        <x:v>42.82608695652174</x:v>
      </x:c>
      <x:c r="E1519" s="5" t="n">
        <x:f>(ABS('03_Sensibilidades'!$C$38)*IF('03_Sensibilidades'!$C$38&lt;0,100-$K$650,$K$650)+ABS('03_Sensibilidades'!$C$39)*IF('03_Sensibilidades'!$C$39&lt;0,100-$K$645,$K$645)+ABS('03_Sensibilidades'!$C$40)*IF('03_Sensibilidades'!$C$40&lt;0,100-$K$655,$K$655))/(ABS('03_Sensibilidades'!$C$38)+ABS('03_Sensibilidades'!$C$39)+ABS('03_Sensibilidades'!$C$40))</x:f>
        <x:v>42.30434782608695</x:v>
      </x:c>
      <x:c r="F1519" s="5" t="n">
        <x:f>(1-'00_Arquitectura'!$B$95)*D1519+'00_Arquitectura'!$B$95*E1519</x:f>
        <x:v>42.643478260869564</x:v>
      </x:c>
      <x:c r="G1519" s="5" t="n">
        <x:f>'02_Actores'!$I$14</x:f>
        <x:v>45</x:v>
      </x:c>
      <x:c r="H1519" s="5" t="n">
        <x:f>IF(OR(AND(F1519&lt;'00_Arquitectura'!$B$118,G1519&lt;'00_Arquitectura'!$B$119),F1519&lt;'00_Arquitectura'!$B$120),1,0)</x:f>
        <x:v>0</x:v>
      </x:c>
      <x:c r="I1519" s="5" t="n">
        <x:f>IF($I$1501=1,IF(OR(AND(F1519&lt;'00_Arquitectura'!$B$121,G1519&lt;'00_Arquitectura'!$B$122),F1519&lt;'00_Arquitectura'!$B$123),1,0),IF(AND(H1519=1,$H$1501=1),1,0))</x:f>
        <x:v>0</x:v>
      </x:c>
      <x:c r="J1519" s="5" t="n">
        <x:f>-I1519*1.5*'02_Actores'!$E$14/10</x:f>
        <x:v>0</x:v>
      </x:c>
      <x:c r="K1519" s="5" t="n">
        <x:f>$K$1511</x:f>
        <x:v>43.82462007266341</x:v>
      </x:c>
      <x:c r="L1519" s="5" t="str">
        <x:v>J programa offset para t+1; efecto sustituible y acotado, sin voto adicional.</x:v>
      </x:c>
    </x:row>
    <x:row r="1520" ht="34" customHeight="1">
      <x:c r="A1520" s="10" t="str">
        <x:v>S5_SEGURIDAD</x:v>
      </x:c>
      <x:c r="B1520" s="10" t="n">
        <x:v>2</x:v>
      </x:c>
      <x:c r="C1520" s="10" t="str">
        <x:v>cientificos</x:v>
      </x:c>
      <x:c r="D1520" s="10" t="n">
        <x:f>$F$1502</x:f>
        <x:v>38.63636363636363</x:v>
      </x:c>
      <x:c r="E1520" s="10" t="n">
        <x:f>(ABS('03_Sensibilidades'!$C$41)*IF('03_Sensibilidades'!$C$41&lt;0,100-$K$654,$K$654)+ABS('03_Sensibilidades'!$C$42)*IF('03_Sensibilidades'!$C$42&lt;0,100-$K$650,$K$650)+ABS('03_Sensibilidades'!$C$43)*IF('03_Sensibilidades'!$C$43&lt;0,100-$K$655,$K$655))/(ABS('03_Sensibilidades'!$C$41)+ABS('03_Sensibilidades'!$C$42)+ABS('03_Sensibilidades'!$C$43))</x:f>
        <x:v>37.95454545454545</x:v>
      </x:c>
      <x:c r="F1520" s="10" t="n">
        <x:f>(1-'00_Arquitectura'!$B$95)*D1520+'00_Arquitectura'!$B$95*E1520</x:f>
        <x:v>38.39772727272727</x:v>
      </x:c>
      <x:c r="G1520" s="10" t="n">
        <x:f>'02_Actores'!$I$15</x:f>
        <x:v>45</x:v>
      </x:c>
      <x:c r="H1520" s="10" t="n">
        <x:f>IF(OR(AND(F1520&lt;'00_Arquitectura'!$B$118,G1520&lt;'00_Arquitectura'!$B$119),F1520&lt;'00_Arquitectura'!$B$120),1,0)</x:f>
        <x:v>0</x:v>
      </x:c>
      <x:c r="I1520" s="10" t="n">
        <x:f>IF($I$1502=1,IF(OR(AND(F1520&lt;'00_Arquitectura'!$B$121,G1520&lt;'00_Arquitectura'!$B$122),F1520&lt;'00_Arquitectura'!$B$123),1,0),IF(AND(H1520=1,$H$1502=1),1,0))</x:f>
        <x:v>0</x:v>
      </x:c>
      <x:c r="J1520" s="10" t="n">
        <x:f>-I1520*1.5*'02_Actores'!$E$15/10</x:f>
        <x:v>0</x:v>
      </x:c>
      <x:c r="K1520" s="10" t="n">
        <x:f>$K$1511</x:f>
        <x:v>43.82462007266341</x:v>
      </x:c>
      <x:c r="L1520" s="10" t="str">
        <x:v>J programa offset para t+1; efecto sustituible y acotado, sin voto adicional.</x:v>
      </x:c>
    </x:row>
    <x:row r="1521" ht="34" customHeight="1">
      <x:c r="A1521" s="5" t="str">
        <x:v>S5_SEGURIDAD</x:v>
      </x:c>
      <x:c r="B1521" s="5" t="n">
        <x:v>2</x:v>
      </x:c>
      <x:c r="C1521" s="5" t="str">
        <x:v>organizaciones</x:v>
      </x:c>
      <x:c r="D1521" s="5" t="n">
        <x:f>$F$1503</x:f>
        <x:v>42.857142857142854</x:v>
      </x:c>
      <x:c r="E1521" s="5" t="n">
        <x:f>(ABS('03_Sensibilidades'!$C$44)*IF('03_Sensibilidades'!$C$44&lt;0,100-$K$652,$K$652)+ABS('03_Sensibilidades'!$C$45)*IF('03_Sensibilidades'!$C$45&lt;0,100-$K$651,$K$651)+ABS('03_Sensibilidades'!$C$46)*IF('03_Sensibilidades'!$C$46&lt;0,100-$K$644,$K$644)+ABS('03_Sensibilidades'!$C$47)*IF('03_Sensibilidades'!$C$47&lt;0,100-$K$655,$K$655))/(ABS('03_Sensibilidades'!$C$44)+ABS('03_Sensibilidades'!$C$45)+ABS('03_Sensibilidades'!$C$46)+ABS('03_Sensibilidades'!$C$47))</x:f>
        <x:v>42.32142857142857</x:v>
      </x:c>
      <x:c r="F1521" s="5" t="n">
        <x:f>(1-'00_Arquitectura'!$B$95)*D1521+'00_Arquitectura'!$B$95*E1521</x:f>
        <x:v>42.669642857142854</x:v>
      </x:c>
      <x:c r="G1521" s="5" t="n">
        <x:f>'02_Actores'!$I$16</x:f>
        <x:v>45</x:v>
      </x:c>
      <x:c r="H1521" s="5" t="n">
        <x:f>IF(OR(AND(F1521&lt;'00_Arquitectura'!$B$118,G1521&lt;'00_Arquitectura'!$B$119),F1521&lt;'00_Arquitectura'!$B$120),1,0)</x:f>
        <x:v>0</x:v>
      </x:c>
      <x:c r="I1521" s="5" t="n">
        <x:f>IF($I$1503=1,IF(OR(AND(F1521&lt;'00_Arquitectura'!$B$121,G1521&lt;'00_Arquitectura'!$B$122),F1521&lt;'00_Arquitectura'!$B$123),1,0),IF(AND(H1521=1,$H$1503=1),1,0))</x:f>
        <x:v>0</x:v>
      </x:c>
      <x:c r="J1521" s="5" t="n">
        <x:f>-I1521*1.5*'02_Actores'!$E$16/10</x:f>
        <x:v>0</x:v>
      </x:c>
      <x:c r="K1521" s="5" t="n">
        <x:f>$K$1511</x:f>
        <x:v>43.82462007266341</x:v>
      </x:c>
      <x:c r="L1521" s="5" t="str">
        <x:v>J programa offset para t+1; efecto sustituible y acotado, sin voto adicional.</x:v>
      </x:c>
    </x:row>
    <x:row r="1522" ht="42" customHeight="1">
      <x:c r="A1522" s="10" t="str">
        <x:v>S5_SEGURIDAD</x:v>
      </x:c>
      <x:c r="B1522" s="10" t="n">
        <x:v>2</x:v>
      </x:c>
      <x:c r="C1522" s="10" t="str">
        <x:v>ddhh</x:v>
      </x:c>
      <x:c r="D1522" s="10" t="n">
        <x:f>$F$1504</x:f>
        <x:v>30.602941176470587</x:v>
      </x:c>
      <x:c r="E1522" s="10" t="n">
        <x:f>(ABS('03_Sensibilidades'!$C$48)*IF('03_Sensibilidades'!$C$48&lt;0,100-$K$655,$K$655)+ABS('03_Sensibilidades'!$C$49)*IF('03_Sensibilidades'!$C$49&lt;0,100-$K$653,$K$653)+ABS('03_Sensibilidades'!$C$50)*IF('03_Sensibilidades'!$C$50&lt;0,100-$K$652,$K$652))/(ABS('03_Sensibilidades'!$C$48)+ABS('03_Sensibilidades'!$C$49)+ABS('03_Sensibilidades'!$C$50))</x:f>
        <x:v>29.41176470588235</x:v>
      </x:c>
      <x:c r="F1522" s="10" t="n">
        <x:f>(1-'00_Arquitectura'!$B$95)*D1522+'00_Arquitectura'!$B$95*E1522</x:f>
        <x:v>30.186029411764704</x:v>
      </x:c>
      <x:c r="G1522" s="10" t="n">
        <x:f>30</x:f>
        <x:v>30</x:v>
      </x:c>
      <x:c r="H1522" s="10" t="n">
        <x:f>IF(OR(AND(F1522&lt;'00_Arquitectura'!$B$118,G1522&lt;'00_Arquitectura'!$B$119),F1522&lt;'00_Arquitectura'!$B$120),1,0)</x:f>
        <x:v>1</x:v>
      </x:c>
      <x:c r="I1522" s="10" t="n">
        <x:f>IF($I$1504=1,IF(OR(AND(F1522&lt;'00_Arquitectura'!$B$121,G1522&lt;'00_Arquitectura'!$B$122),F1522&lt;'00_Arquitectura'!$B$123),1,0),IF(AND(H1522=1,$H$1504=1),1,0))</x:f>
        <x:v>1</x:v>
      </x:c>
      <x:c r="J1522" s="10" t="n">
        <x:f>0</x:f>
        <x:v>0</x:v>
      </x:c>
      <x:c r="K1522" s="10" t="n">
        <x:f>$K$1511</x:f>
        <x:v>43.82462007266341</x:v>
      </x:c>
      <x:c r="L1522" s="10" t="str">
        <x:v>Conflicto activo captura menor eficacia en políticas ejecutadas en t+1. Magnitud0 en J: no es un offset directo de indicador.</x:v>
      </x:c>
    </x:row>
    <x:row r="1523" ht="42" customHeight="1">
      <x:c r="A1523" s="5" t="str">
        <x:v>S5_SEGURIDAD</x:v>
      </x:c>
      <x:c r="B1523" s="5" t="n">
        <x:v>2</x:v>
      </x:c>
      <x:c r="C1523" s="5" t="str">
        <x:v>ambientalistas</x:v>
      </x:c>
      <x:c r="D1523" s="5" t="n">
        <x:f>$F$1505</x:f>
        <x:v>41.666666666666664</x:v>
      </x:c>
      <x:c r="E1523" s="5" t="n">
        <x:f>(ABS('03_Sensibilidades'!$C$51)*IF('03_Sensibilidades'!$C$51&lt;0,100-$K$656,$K$656)+ABS('03_Sensibilidades'!$C$52)*IF('03_Sensibilidades'!$C$52&lt;0,100-$K$655,$K$655)+ABS('03_Sensibilidades'!$C$53)*IF('03_Sensibilidades'!$C$53&lt;0,100-$K$651,$K$651))/(ABS('03_Sensibilidades'!$C$51)+ABS('03_Sensibilidades'!$C$52)+ABS('03_Sensibilidades'!$C$53))</x:f>
        <x:v>40.833333333333336</x:v>
      </x:c>
      <x:c r="F1523" s="5" t="n">
        <x:f>(1-'00_Arquitectura'!$B$95)*D1523+'00_Arquitectura'!$B$95*E1523</x:f>
        <x:v>41.375</x:v>
      </x:c>
      <x:c r="G1523" s="5" t="n">
        <x:f>'02_Actores'!$I$18</x:f>
        <x:v>45</x:v>
      </x:c>
      <x:c r="H1523" s="5" t="n">
        <x:f>IF(OR(AND(F1523&lt;'00_Arquitectura'!$B$118,G1523&lt;'00_Arquitectura'!$B$119),F1523&lt;'00_Arquitectura'!$B$120),1,0)</x:f>
        <x:v>0</x:v>
      </x:c>
      <x:c r="I1523" s="5" t="n">
        <x:f>IF($I$1505=1,IF(OR(AND(F1523&lt;'00_Arquitectura'!$B$121,G1523&lt;'00_Arquitectura'!$B$122),F1523&lt;'00_Arquitectura'!$B$123),1,0),IF(AND(H1523=1,$H$1505=1),1,0))</x:f>
        <x:v>0</x:v>
      </x:c>
      <x:c r="J1523" s="5" t="n">
        <x:f>0</x:f>
        <x:v>0</x:v>
      </x:c>
      <x:c r="K1523" s="5" t="n">
        <x:f>$K$1511</x:f>
        <x:v>43.82462007266341</x:v>
      </x:c>
      <x:c r="L1523" s="5" t="str">
        <x:v>Conflicto activo captura menor eficacia en políticas ejecutadas en t+1. Magnitud0 en J: no es un offset directo de indicador.</x:v>
      </x:c>
    </x:row>
    <x:row r="1524" ht="34" customHeight="1">
      <x:c r="A1524" s="10" t="str">
        <x:v>S5_SEGURIDAD</x:v>
      </x:c>
      <x:c r="B1524" s="10" t="n">
        <x:v>2</x:v>
      </x:c>
      <x:c r="C1524" s="10" t="str">
        <x:v>cultura</x:v>
      </x:c>
      <x:c r="D1524" s="10" t="n">
        <x:f>$F$1506</x:f>
        <x:v>36.05263157894737</x:v>
      </x:c>
      <x:c r="E1524" s="10" t="n">
        <x:f>(ABS('03_Sensibilidades'!$C$54)*IF('03_Sensibilidades'!$C$54&lt;0,100-$K$655,$K$655)+ABS('03_Sensibilidades'!$C$55)*IF('03_Sensibilidades'!$C$55&lt;0,100-$K$650,$K$650)+ABS('03_Sensibilidades'!$C$56)*IF('03_Sensibilidades'!$C$56&lt;0,100-$K$645,$K$645))/(ABS('03_Sensibilidades'!$C$54)+ABS('03_Sensibilidades'!$C$55)+ABS('03_Sensibilidades'!$C$56))</x:f>
        <x:v>34.78947368421053</x:v>
      </x:c>
      <x:c r="F1524" s="10" t="n">
        <x:f>(1-'00_Arquitectura'!$B$95)*D1524+'00_Arquitectura'!$B$95*E1524</x:f>
        <x:v>35.61052631578947</x:v>
      </x:c>
      <x:c r="G1524" s="10" t="n">
        <x:f>'02_Actores'!$I$19</x:f>
        <x:v>45</x:v>
      </x:c>
      <x:c r="H1524" s="10" t="n">
        <x:f>IF(OR(AND(F1524&lt;'00_Arquitectura'!$B$118,G1524&lt;'00_Arquitectura'!$B$119),F1524&lt;'00_Arquitectura'!$B$120),1,0)</x:f>
        <x:v>0</x:v>
      </x:c>
      <x:c r="I1524" s="10" t="n">
        <x:f>IF($I$1506=1,IF(OR(AND(F1524&lt;'00_Arquitectura'!$B$121,G1524&lt;'00_Arquitectura'!$B$122),F1524&lt;'00_Arquitectura'!$B$123),1,0),IF(AND(H1524=1,$H$1506=1),1,0))</x:f>
        <x:v>0</x:v>
      </x:c>
      <x:c r="J1524" s="10" t="n">
        <x:f>0</x:f>
        <x:v>0</x:v>
      </x:c>
      <x:c r="K1524" s="10" t="n">
        <x:f>$K$1511</x:f>
        <x:v>43.82462007266341</x:v>
      </x:c>
      <x:c r="L1524" s="10" t="str">
        <x:v>Conflicto activo encarece agenda del turno siguiente; sin castigo electoral adicional.</x:v>
      </x:c>
    </x:row>
    <x:row r="1525" ht="34" customHeight="1">
      <x:c r="A1525" s="5" t="str">
        <x:v>S5_SEGURIDAD</x:v>
      </x:c>
      <x:c r="B1525" s="5" t="n">
        <x:v>2</x:v>
      </x:c>
      <x:c r="C1525" s="5" t="str">
        <x:v>oficialismo</x:v>
      </x:c>
      <x:c r="D1525" s="5" t="n">
        <x:f>$F$1507</x:f>
        <x:v>43.72</x:v>
      </x:c>
      <x:c r="E1525" s="5" t="n">
        <x:f>(ABS('03_Sensibilidades'!$C$57)*IF('03_Sensibilidades'!$C$57&lt;0,100-$K$655,$K$655)+ABS('03_Sensibilidades'!$C$58)*IF('03_Sensibilidades'!$C$58&lt;0,100-$K$644,$K$644)+ABS('03_Sensibilidades'!$C$59)*IF('03_Sensibilidades'!$C$59&lt;0,100-$K$647,$K$647)+ABS('03_Sensibilidades'!$C$60)*IF('03_Sensibilidades'!$C$60&lt;0,100-$K$652,$K$652))/(ABS('03_Sensibilidades'!$C$57)+ABS('03_Sensibilidades'!$C$58)+ABS('03_Sensibilidades'!$C$59)+ABS('03_Sensibilidades'!$C$60))</x:f>
        <x:v>42.28</x:v>
      </x:c>
      <x:c r="F1525" s="5" t="n">
        <x:f>(1-'00_Arquitectura'!$B$95)*D1525+'00_Arquitectura'!$B$95*E1525</x:f>
        <x:v>43.216</x:v>
      </x:c>
      <x:c r="G1525" s="5" t="n">
        <x:f>'02_Actores'!$I$20</x:f>
        <x:v>60</x:v>
      </x:c>
      <x:c r="H1525" s="5" t="n">
        <x:f>IF(OR(AND(F1525&lt;'00_Arquitectura'!$B$118,G1525&lt;'00_Arquitectura'!$B$119),F1525&lt;'00_Arquitectura'!$B$120),1,0)</x:f>
        <x:v>0</x:v>
      </x:c>
      <x:c r="I1525" s="5" t="n">
        <x:f>IF($I$1507=1,IF(OR(AND(F1525&lt;'00_Arquitectura'!$B$121,G1525&lt;'00_Arquitectura'!$B$122),F1525&lt;'00_Arquitectura'!$B$123),1,0),IF(AND(H1525=1,$H$1507=1),1,0))</x:f>
        <x:v>0</x:v>
      </x:c>
      <x:c r="J1525" s="5" t="n">
        <x:f>0</x:f>
        <x:v>0</x:v>
      </x:c>
      <x:c r="K1525" s="5" t="n">
        <x:f>$K$1511</x:f>
        <x:v>43.82462007266341</x:v>
      </x:c>
      <x:c r="L1525" s="5" t="str">
        <x:v>No aporta E_social; S y R alimentan disposición a leyes según07.</x:v>
      </x:c>
    </x:row>
    <x:row r="1526" ht="34" customHeight="1">
      <x:c r="A1526" s="10" t="str">
        <x:v>S5_SEGURIDAD</x:v>
      </x:c>
      <x:c r="B1526" s="10" t="n">
        <x:v>2</x:v>
      </x:c>
      <x:c r="C1526" s="10" t="str">
        <x:v>aliados</x:v>
      </x:c>
      <x:c r="D1526" s="10" t="n">
        <x:f>$F$1508</x:f>
        <x:v>39.80952380952381</x:v>
      </x:c>
      <x:c r="E1526" s="10" t="n">
        <x:f>(ABS('03_Sensibilidades'!$C$61)*IF('03_Sensibilidades'!$C$61&lt;0,100-$K$655,$K$655)+ABS('03_Sensibilidades'!$C$62)*IF('03_Sensibilidades'!$C$62&lt;0,100-$K$647,$K$647)+ABS('03_Sensibilidades'!$C$63)*IF('03_Sensibilidades'!$C$63&lt;0,100-$K$649,$K$649))/(ABS('03_Sensibilidades'!$C$61)+ABS('03_Sensibilidades'!$C$62)+ABS('03_Sensibilidades'!$C$63))</x:f>
        <x:v>37.666666666666664</x:v>
      </x:c>
      <x:c r="F1526" s="10" t="n">
        <x:f>(1-'00_Arquitectura'!$B$95)*D1526+'00_Arquitectura'!$B$95*E1526</x:f>
        <x:v>39.05952380952381</x:v>
      </x:c>
      <x:c r="G1526" s="10" t="n">
        <x:f>'02_Actores'!$I$21</x:f>
        <x:v>45</x:v>
      </x:c>
      <x:c r="H1526" s="10" t="n">
        <x:f>IF(OR(AND(F1526&lt;'00_Arquitectura'!$B$118,G1526&lt;'00_Arquitectura'!$B$119),F1526&lt;'00_Arquitectura'!$B$120),1,0)</x:f>
        <x:v>0</x:v>
      </x:c>
      <x:c r="I1526" s="10" t="n">
        <x:f>IF($I$1508=1,IF(OR(AND(F1526&lt;'00_Arquitectura'!$B$121,G1526&lt;'00_Arquitectura'!$B$122),F1526&lt;'00_Arquitectura'!$B$123),1,0),IF(AND(H1526=1,$H$1508=1),1,0))</x:f>
        <x:v>0</x:v>
      </x:c>
      <x:c r="J1526" s="10" t="n">
        <x:f>0</x:f>
        <x:v>0</x:v>
      </x:c>
      <x:c r="K1526" s="10" t="n">
        <x:f>$K$1511</x:f>
        <x:v>43.82462007266341</x:v>
      </x:c>
      <x:c r="L1526" s="10" t="str">
        <x:v>No aporta E_social; S y R alimentan disposición a leyes según07.</x:v>
      </x:c>
    </x:row>
    <x:row r="1527" ht="34" customHeight="1">
      <x:c r="A1527" s="5" t="str">
        <x:v>S5_SEGURIDAD</x:v>
      </x:c>
      <x:c r="B1527" s="5" t="n">
        <x:v>2</x:v>
      </x:c>
      <x:c r="C1527" s="5" t="str">
        <x:v>oposicion</x:v>
      </x:c>
      <x:c r="D1527" s="5" t="n">
        <x:f>$F$1509</x:f>
        <x:v>36.75</x:v>
      </x:c>
      <x:c r="E1527" s="5" t="n">
        <x:f>(ABS('03_Sensibilidades'!$C$64)*IF('03_Sensibilidades'!$C$64&lt;0,100-$K$655,$K$655)+ABS('03_Sensibilidades'!$C$65)*IF('03_Sensibilidades'!$C$65&lt;0,100-$K$647,$K$647)+ABS('03_Sensibilidades'!$C$66)*IF('03_Sensibilidades'!$C$66&lt;0,100-$K$653,$K$653))/(ABS('03_Sensibilidades'!$C$64)+ABS('03_Sensibilidades'!$C$65)+ABS('03_Sensibilidades'!$C$66))</x:f>
        <x:v>35</x:v>
      </x:c>
      <x:c r="F1527" s="5" t="n">
        <x:f>(1-'00_Arquitectura'!$B$95)*D1527+'00_Arquitectura'!$B$95*E1527</x:f>
        <x:v>36.1375</x:v>
      </x:c>
      <x:c r="G1527" s="5" t="n">
        <x:f>'02_Actores'!$I$22</x:f>
        <x:v>30</x:v>
      </x:c>
      <x:c r="H1527" s="5" t="n">
        <x:f>IF(OR(AND(F1527&lt;'00_Arquitectura'!$B$118,G1527&lt;'00_Arquitectura'!$B$119),F1527&lt;'00_Arquitectura'!$B$120),1,0)</x:f>
        <x:v>0</x:v>
      </x:c>
      <x:c r="I1527" s="5" t="n">
        <x:f>IF($I$1509=1,IF(OR(AND(F1527&lt;'00_Arquitectura'!$B$121,G1527&lt;'00_Arquitectura'!$B$122),F1527&lt;'00_Arquitectura'!$B$123),1,0),IF(AND(H1527=1,$H$1509=1),1,0))</x:f>
        <x:v>0</x:v>
      </x:c>
      <x:c r="J1527" s="5" t="n">
        <x:f>0</x:f>
        <x:v>0</x:v>
      </x:c>
      <x:c r="K1527" s="5" t="n">
        <x:f>$K$1511</x:f>
        <x:v>43.82462007266341</x:v>
      </x:c>
      <x:c r="L1527" s="5" t="str">
        <x:v>No aporta E_social; S y R alimentan disposición a leyes según07.</x:v>
      </x:c>
    </x:row>
    <x:row r="1528" ht="42" customHeight="1">
      <x:c r="A1528" s="10" t="str">
        <x:v>S5_SEGURIDAD</x:v>
      </x:c>
      <x:c r="B1528" s="10" t="n">
        <x:v>2</x:v>
      </x:c>
      <x:c r="C1528" s="10" t="str">
        <x:v>gobernadores</x:v>
      </x:c>
      <x:c r="D1528" s="10" t="n">
        <x:f>$F$1510</x:f>
        <x:v>50.10344827586207</x:v>
      </x:c>
      <x:c r="E1528" s="10" t="n">
        <x:f>(ABS('03_Sensibilidades'!$C$67)*IF('03_Sensibilidades'!$C$67&lt;0,100-$K$649,$K$649)+ABS('03_Sensibilidades'!$C$68)*IF('03_Sensibilidades'!$C$68&lt;0,100-$K$651,$K$651)+ABS('03_Sensibilidades'!$C$69)*IF('03_Sensibilidades'!$C$69&lt;0,100-$K$650,$K$650)+ABS('03_Sensibilidades'!$C$70)*IF('03_Sensibilidades'!$C$70&lt;0,100-$K$647,$K$647))/(ABS('03_Sensibilidades'!$C$67)+ABS('03_Sensibilidades'!$C$68)+ABS('03_Sensibilidades'!$C$69)+ABS('03_Sensibilidades'!$C$70))</x:f>
        <x:v>49.48275862068966</x:v>
      </x:c>
      <x:c r="F1528" s="10" t="n">
        <x:f>(1-'00_Arquitectura'!$B$95)*D1528+'00_Arquitectura'!$B$95*E1528</x:f>
        <x:v>49.88620689655173</x:v>
      </x:c>
      <x:c r="G1528" s="10" t="n">
        <x:f>'02_Actores'!$I$23</x:f>
        <x:v>45</x:v>
      </x:c>
      <x:c r="H1528" s="10" t="n">
        <x:f>IF(OR(AND(F1528&lt;'00_Arquitectura'!$B$118,G1528&lt;'00_Arquitectura'!$B$119),F1528&lt;'00_Arquitectura'!$B$120),1,0)</x:f>
        <x:v>0</x:v>
      </x:c>
      <x:c r="I1528" s="10" t="n">
        <x:f>IF($I$1510=1,IF(OR(AND(F1528&lt;'00_Arquitectura'!$B$121,G1528&lt;'00_Arquitectura'!$B$122),F1528&lt;'00_Arquitectura'!$B$123),1,0),IF(AND(H1528=1,$H$1510=1),1,0))</x:f>
        <x:v>0</x:v>
      </x:c>
      <x:c r="J1528" s="10" t="n">
        <x:f>0</x:f>
        <x:v>0</x:v>
      </x:c>
      <x:c r="K1528" s="10" t="n">
        <x:f>$K$1511</x:f>
        <x:v>43.82462007266341</x:v>
      </x:c>
      <x:c r="L1528" s="10" t="str">
        <x:v>Conflicto activo captura menor eficacia en políticas ejecutadas en t+1. Magnitud0 en J: no es un offset directo de indicador.</x:v>
      </x:c>
    </x:row>
    <x:row r="1529" ht="34" customHeight="1">
      <x:c r="A1529" s="5" t="str">
        <x:v>S5_SEGURIDAD</x:v>
      </x:c>
      <x:c r="B1529" s="5" t="n">
        <x:v>3</x:v>
      </x:c>
      <x:c r="C1529" s="5" t="str">
        <x:v>industria</x:v>
      </x:c>
      <x:c r="D1529" s="5" t="n">
        <x:f>$F$1511</x:f>
        <x:v>46.48148148148148</x:v>
      </x:c>
      <x:c r="E1529" s="5" t="n">
        <x:f>(ABS('03_Sensibilidades'!$C$6)*IF('03_Sensibilidades'!$C$6&lt;0,100-$K$660,$K$660)+ABS('03_Sensibilidades'!$C$7)*IF('03_Sensibilidades'!$C$7&lt;0,100-$K$658,$K$658)+ABS('03_Sensibilidades'!$C$8)*IF('03_Sensibilidades'!$C$8&lt;0,100-$K$663,$K$663)+ABS('03_Sensibilidades'!$C$9)*IF('03_Sensibilidades'!$C$9&lt;0,100-$K$662,$K$662))/(ABS('03_Sensibilidades'!$C$6)+ABS('03_Sensibilidades'!$C$7)+ABS('03_Sensibilidades'!$C$8)+ABS('03_Sensibilidades'!$C$9))</x:f>
        <x:v>46.4637037037037</x:v>
      </x:c>
      <x:c r="F1529" s="5" t="n">
        <x:f>(1-'00_Arquitectura'!$B$95)*D1529+'00_Arquitectura'!$B$95*E1529</x:f>
        <x:v>46.47525925925926</x:v>
      </x:c>
      <x:c r="G1529" s="5" t="n">
        <x:f>'02_Actores'!$I$6</x:f>
        <x:v>45</x:v>
      </x:c>
      <x:c r="H1529" s="5" t="n">
        <x:f>IF(OR(AND(F1529&lt;'00_Arquitectura'!$B$118,G1529&lt;'00_Arquitectura'!$B$119),F1529&lt;'00_Arquitectura'!$B$120),1,0)</x:f>
        <x:v>0</x:v>
      </x:c>
      <x:c r="I1529" s="5" t="n">
        <x:f>IF($I$1511=1,IF(OR(AND(F1529&lt;'00_Arquitectura'!$B$121,G1529&lt;'00_Arquitectura'!$B$122),F1529&lt;'00_Arquitectura'!$B$123),1,0),IF(AND(H1529=1,$H$1511=1),1,0))</x:f>
        <x:v>0</x:v>
      </x:c>
      <x:c r="J1529" s="5" t="n">
        <x:f>-I1529*2*'02_Actores'!$E$6/10</x:f>
        <x:v>0</x:v>
      </x:c>
      <x:c r="K1529" s="5" t="n">
        <x:f>($F$1529*'02_Actores'!$F$6+$F$1530*'02_Actores'!$F$7+$F$1531*'02_Actores'!$F$8+$F$1532*'02_Actores'!$F$9+$F$1533*'02_Actores'!$F$10+$F$1534*'02_Actores'!$F$11+$F$1535*'02_Actores'!$F$12+$F$1536*'02_Actores'!$F$13+$F$1537*'02_Actores'!$F$14+$F$1538*'02_Actores'!$F$15+$F$1539*'02_Actores'!$F$16+$F$1540*'02_Actores'!$F$17+$F$1541*'02_Actores'!$F$18+$F$1542*'02_Actores'!$F$19)/('02_Actores'!$F$6+'02_Actores'!$F$7+'02_Actores'!$F$8+'02_Actores'!$F$9+'02_Actores'!$F$10+'02_Actores'!$F$11+'02_Actores'!$F$12+'02_Actores'!$F$13+'02_Actores'!$F$14+'02_Actores'!$F$15+'02_Actores'!$F$16+'02_Actores'!$F$17+'02_Actores'!$F$18+'02_Actores'!$F$19)</x:f>
        <x:v>43.9324477289043</x:v>
      </x:c>
      <x:c r="L1529" s="5" t="str">
        <x:v>J programa offset para t+1; efecto sustituible y acotado, sin voto adicional.</x:v>
      </x:c>
    </x:row>
    <x:row r="1530" ht="34" customHeight="1">
      <x:c r="A1530" s="10" t="str">
        <x:v>S5_SEGURIDAD</x:v>
      </x:c>
      <x:c r="B1530" s="10" t="n">
        <x:v>3</x:v>
      </x:c>
      <x:c r="C1530" s="10" t="str">
        <x:v>agro</x:v>
      </x:c>
      <x:c r="D1530" s="10" t="n">
        <x:f>$F$1512</x:f>
        <x:v>45.892857142857146</x:v>
      </x:c>
      <x:c r="E1530" s="10" t="n">
        <x:f>(ABS('03_Sensibilidades'!$C$10)*IF('03_Sensibilidades'!$C$10&lt;0,100-$K$662,$K$662)+ABS('03_Sensibilidades'!$C$11)*IF('03_Sensibilidades'!$C$11&lt;0,100-$K$663,$K$663)+ABS('03_Sensibilidades'!$C$12)*IF('03_Sensibilidades'!$C$12&lt;0,100-$K$670,$K$670)+ABS('03_Sensibilidades'!$C$13)*IF('03_Sensibilidades'!$C$13&lt;0,100-$K$660,$K$660))/(ABS('03_Sensibilidades'!$C$10)+ABS('03_Sensibilidades'!$C$11)+ABS('03_Sensibilidades'!$C$12)+ABS('03_Sensibilidades'!$C$13))</x:f>
        <x:v>45.88214285714286</x:v>
      </x:c>
      <x:c r="F1530" s="10" t="n">
        <x:f>(1-'00_Arquitectura'!$B$95)*D1530+'00_Arquitectura'!$B$95*E1530</x:f>
        <x:v>45.88910714285714</x:v>
      </x:c>
      <x:c r="G1530" s="10" t="n">
        <x:f>'02_Actores'!$I$7</x:f>
        <x:v>45</x:v>
      </x:c>
      <x:c r="H1530" s="10" t="n">
        <x:f>IF(OR(AND(F1530&lt;'00_Arquitectura'!$B$118,G1530&lt;'00_Arquitectura'!$B$119),F1530&lt;'00_Arquitectura'!$B$120),1,0)</x:f>
        <x:v>0</x:v>
      </x:c>
      <x:c r="I1530" s="10" t="n">
        <x:f>IF($I$1512=1,IF(OR(AND(F1530&lt;'00_Arquitectura'!$B$121,G1530&lt;'00_Arquitectura'!$B$122),F1530&lt;'00_Arquitectura'!$B$123),1,0),IF(AND(H1530=1,$H$1512=1),1,0))</x:f>
        <x:v>0</x:v>
      </x:c>
      <x:c r="J1530" s="10" t="n">
        <x:f>-I1530*2*'02_Actores'!$E$7/10</x:f>
        <x:v>0</x:v>
      </x:c>
      <x:c r="K1530" s="10" t="n">
        <x:f>$K$1529</x:f>
        <x:v>43.9324477289043</x:v>
      </x:c>
      <x:c r="L1530" s="10" t="str">
        <x:v>J programa offset para t+1; efecto sustituible y acotado, sin voto adicional.</x:v>
      </x:c>
    </x:row>
    <x:row r="1531" ht="34" customHeight="1">
      <x:c r="A1531" s="5" t="str">
        <x:v>S5_SEGURIDAD</x:v>
      </x:c>
      <x:c r="B1531" s="5" t="n">
        <x:v>3</x:v>
      </x:c>
      <x:c r="C1531" s="5" t="str">
        <x:v>financiero</x:v>
      </x:c>
      <x:c r="D1531" s="5" t="n">
        <x:f>$F$1513</x:f>
        <x:v>49.665517241379305</x:v>
      </x:c>
      <x:c r="E1531" s="5" t="n">
        <x:f>(ABS('03_Sensibilidades'!$C$14)*IF('03_Sensibilidades'!$C$14&lt;0,100-$K$661,$K$661)+ABS('03_Sensibilidades'!$C$15)*IF('03_Sensibilidades'!$C$15&lt;0,100-$K$657,$K$657)+ABS('03_Sensibilidades'!$C$16)*IF('03_Sensibilidades'!$C$16&lt;0,100-$K$660,$K$660)+ABS('03_Sensibilidades'!$C$17)*IF('03_Sensibilidades'!$C$17&lt;0,100-$K$669,$K$669))/(ABS('03_Sensibilidades'!$C$14)+ABS('03_Sensibilidades'!$C$15)+ABS('03_Sensibilidades'!$C$16)+ABS('03_Sensibilidades'!$C$17))</x:f>
        <x:v>50.433793103448274</x:v>
      </x:c>
      <x:c r="F1531" s="5" t="n">
        <x:f>(1-'00_Arquitectura'!$B$95)*D1531+'00_Arquitectura'!$B$95*E1531</x:f>
        <x:v>49.934413793103445</x:v>
      </x:c>
      <x:c r="G1531" s="5" t="n">
        <x:f>'02_Actores'!$I$8</x:f>
        <x:v>45</x:v>
      </x:c>
      <x:c r="H1531" s="5" t="n">
        <x:f>IF(OR(AND(F1531&lt;'00_Arquitectura'!$B$118,G1531&lt;'00_Arquitectura'!$B$119),F1531&lt;'00_Arquitectura'!$B$120),1,0)</x:f>
        <x:v>0</x:v>
      </x:c>
      <x:c r="I1531" s="5" t="n">
        <x:f>IF($I$1513=1,IF(OR(AND(F1531&lt;'00_Arquitectura'!$B$121,G1531&lt;'00_Arquitectura'!$B$122),F1531&lt;'00_Arquitectura'!$B$123),1,0),IF(AND(H1531=1,$H$1513=1),1,0))</x:f>
        <x:v>0</x:v>
      </x:c>
      <x:c r="J1531" s="5" t="n">
        <x:f>-I1531*2*'02_Actores'!$E$8/10</x:f>
        <x:v>0</x:v>
      </x:c>
      <x:c r="K1531" s="5" t="n">
        <x:f>$K$1529</x:f>
        <x:v>43.9324477289043</x:v>
      </x:c>
      <x:c r="L1531" s="5" t="str">
        <x:v>J programa offset para t+1; efecto sustituible y acotado, sin voto adicional.</x:v>
      </x:c>
    </x:row>
    <x:row r="1532" ht="34" customHeight="1">
      <x:c r="A1532" s="10" t="str">
        <x:v>S5_SEGURIDAD</x:v>
      </x:c>
      <x:c r="B1532" s="10" t="n">
        <x:v>3</x:v>
      </x:c>
      <x:c r="C1532" s="10" t="str">
        <x:v>sindicatos</x:v>
      </x:c>
      <x:c r="D1532" s="10" t="n">
        <x:f>$F$1514</x:f>
        <x:v>42.95862068965518</x:v>
      </x:c>
      <x:c r="E1532" s="10" t="n">
        <x:f>(ABS('03_Sensibilidades'!$C$18)*IF('03_Sensibilidades'!$C$18&lt;0,100-$K$659,$K$659)+ABS('03_Sensibilidades'!$C$19)*IF('03_Sensibilidades'!$C$19&lt;0,100-$K$658,$K$658)+ABS('03_Sensibilidades'!$C$20)*IF('03_Sensibilidades'!$C$20&lt;0,100-$K$666,$K$666)+ABS('03_Sensibilidades'!$C$21)*IF('03_Sensibilidades'!$C$21&lt;0,100-$K$669,$K$669))/(ABS('03_Sensibilidades'!$C$18)+ABS('03_Sensibilidades'!$C$19)+ABS('03_Sensibilidades'!$C$20)+ABS('03_Sensibilidades'!$C$21))</x:f>
        <x:v>43.37931034482759</x:v>
      </x:c>
      <x:c r="F1532" s="10" t="n">
        <x:f>(1-'00_Arquitectura'!$B$95)*D1532+'00_Arquitectura'!$B$95*E1532</x:f>
        <x:v>43.10586206896552</x:v>
      </x:c>
      <x:c r="G1532" s="10" t="n">
        <x:f>'02_Actores'!$I$9</x:f>
        <x:v>45</x:v>
      </x:c>
      <x:c r="H1532" s="10" t="n">
        <x:f>IF(OR(AND(F1532&lt;'00_Arquitectura'!$B$118,G1532&lt;'00_Arquitectura'!$B$119),F1532&lt;'00_Arquitectura'!$B$120),1,0)</x:f>
        <x:v>0</x:v>
      </x:c>
      <x:c r="I1532" s="10" t="n">
        <x:f>IF($I$1514=1,IF(OR(AND(F1532&lt;'00_Arquitectura'!$B$121,G1532&lt;'00_Arquitectura'!$B$122),F1532&lt;'00_Arquitectura'!$B$123),1,0),IF(AND(H1532=1,$H$1514=1),1,0))</x:f>
        <x:v>0</x:v>
      </x:c>
      <x:c r="J1532" s="10" t="n">
        <x:f>-I1532*2*'02_Actores'!$E$9/10</x:f>
        <x:v>0</x:v>
      </x:c>
      <x:c r="K1532" s="10" t="n">
        <x:f>$K$1529</x:f>
        <x:v>43.9324477289043</x:v>
      </x:c>
      <x:c r="L1532" s="10" t="str">
        <x:v>J programa offset para t+1; efecto sustituible y acotado, sin voto adicional.</x:v>
      </x:c>
    </x:row>
    <x:row r="1533" ht="34" customHeight="1">
      <x:c r="A1533" s="5" t="str">
        <x:v>S5_SEGURIDAD</x:v>
      </x:c>
      <x:c r="B1533" s="5" t="n">
        <x:v>3</x:v>
      </x:c>
      <x:c r="C1533" s="5" t="str">
        <x:v>pymes</x:v>
      </x:c>
      <x:c r="D1533" s="5" t="n">
        <x:f>$F$1515</x:f>
        <x:v>49.13793103448276</x:v>
      </x:c>
      <x:c r="E1533" s="5" t="n">
        <x:f>(ABS('03_Sensibilidades'!$C$22)*IF('03_Sensibilidades'!$C$22&lt;0,100-$K$660,$K$660)+ABS('03_Sensibilidades'!$C$23)*IF('03_Sensibilidades'!$C$23&lt;0,100-$K$658,$K$658)+ABS('03_Sensibilidades'!$C$24)*IF('03_Sensibilidades'!$C$24&lt;0,100-$K$663,$K$663)+ABS('03_Sensibilidades'!$C$25)*IF('03_Sensibilidades'!$C$25&lt;0,100-$K$657,$K$657))/(ABS('03_Sensibilidades'!$C$22)+ABS('03_Sensibilidades'!$C$23)+ABS('03_Sensibilidades'!$C$24)+ABS('03_Sensibilidades'!$C$25))</x:f>
        <x:v>49.11724137931035</x:v>
      </x:c>
      <x:c r="F1533" s="5" t="n">
        <x:f>(1-'00_Arquitectura'!$B$95)*D1533+'00_Arquitectura'!$B$95*E1533</x:f>
        <x:v>49.13068965517242</x:v>
      </x:c>
      <x:c r="G1533" s="5" t="n">
        <x:f>'02_Actores'!$I$10</x:f>
        <x:v>45</x:v>
      </x:c>
      <x:c r="H1533" s="5" t="n">
        <x:f>IF(OR(AND(F1533&lt;'00_Arquitectura'!$B$118,G1533&lt;'00_Arquitectura'!$B$119),F1533&lt;'00_Arquitectura'!$B$120),1,0)</x:f>
        <x:v>0</x:v>
      </x:c>
      <x:c r="I1533" s="5" t="n">
        <x:f>IF($I$1515=1,IF(OR(AND(F1533&lt;'00_Arquitectura'!$B$121,G1533&lt;'00_Arquitectura'!$B$122),F1533&lt;'00_Arquitectura'!$B$123),1,0),IF(AND(H1533=1,$H$1515=1),1,0))</x:f>
        <x:v>0</x:v>
      </x:c>
      <x:c r="J1533" s="5" t="n">
        <x:f>-I1533*2*'02_Actores'!$E$10/10</x:f>
        <x:v>0</x:v>
      </x:c>
      <x:c r="K1533" s="5" t="n">
        <x:f>$K$1529</x:f>
        <x:v>43.9324477289043</x:v>
      </x:c>
      <x:c r="L1533" s="5" t="str">
        <x:v>J programa offset para t+1; efecto sustituible y acotado, sin voto adicional.</x:v>
      </x:c>
    </x:row>
    <x:row r="1534" ht="34" customHeight="1">
      <x:c r="A1534" s="10" t="str">
        <x:v>S5_SEGURIDAD</x:v>
      </x:c>
      <x:c r="B1534" s="10" t="n">
        <x:v>3</x:v>
      </x:c>
      <x:c r="C1534" s="10" t="str">
        <x:v>clase_media</x:v>
      </x:c>
      <x:c r="D1534" s="10" t="n">
        <x:f>$F$1516</x:f>
        <x:v>49.081944444444446</x:v>
      </x:c>
      <x:c r="E1534" s="10" t="n">
        <x:f>(ABS('03_Sensibilidades'!$C$26)*IF('03_Sensibilidades'!$C$26&lt;0,100-$K$659,$K$659)+ABS('03_Sensibilidades'!$C$27)*IF('03_Sensibilidades'!$C$27&lt;0,100-$K$667,$K$667)+ABS('03_Sensibilidades'!$C$28)*IF('03_Sensibilidades'!$C$28&lt;0,100-$K$664,$K$664)+ABS('03_Sensibilidades'!$C$29)*IF('03_Sensibilidades'!$C$29&lt;0,100-$K$657,$K$657))/(ABS('03_Sensibilidades'!$C$26)+ABS('03_Sensibilidades'!$C$27)+ABS('03_Sensibilidades'!$C$28)+ABS('03_Sensibilidades'!$C$29))</x:f>
        <x:v>48.333333333333336</x:v>
      </x:c>
      <x:c r="F1534" s="10" t="n">
        <x:f>(1-'00_Arquitectura'!$B$95)*D1534+'00_Arquitectura'!$B$95*E1534</x:f>
        <x:v>48.81993055555556</x:v>
      </x:c>
      <x:c r="G1534" s="10" t="n">
        <x:f>'02_Actores'!$I$11</x:f>
        <x:v>45</x:v>
      </x:c>
      <x:c r="H1534" s="10" t="n">
        <x:f>IF(OR(AND(F1534&lt;'00_Arquitectura'!$B$118,G1534&lt;'00_Arquitectura'!$B$119),F1534&lt;'00_Arquitectura'!$B$120),1,0)</x:f>
        <x:v>0</x:v>
      </x:c>
      <x:c r="I1534" s="10" t="n">
        <x:f>IF($I$1516=1,IF(OR(AND(F1534&lt;'00_Arquitectura'!$B$121,G1534&lt;'00_Arquitectura'!$B$122),F1534&lt;'00_Arquitectura'!$B$123),1,0),IF(AND(H1534=1,$H$1516=1),1,0))</x:f>
        <x:v>0</x:v>
      </x:c>
      <x:c r="J1534" s="10" t="n">
        <x:f>0</x:f>
        <x:v>0</x:v>
      </x:c>
      <x:c r="K1534" s="10" t="n">
        <x:f>$K$1529</x:f>
        <x:v>43.9324477289043</x:v>
      </x:c>
      <x:c r="L1534" s="10" t="str">
        <x:v>Canal directo sólo al índice social; sin bono de popularidad.</x:v>
      </x:c>
    </x:row>
    <x:row r="1535" ht="34" customHeight="1">
      <x:c r="A1535" s="5" t="str">
        <x:v>S5_SEGURIDAD</x:v>
      </x:c>
      <x:c r="B1535" s="5" t="n">
        <x:v>3</x:v>
      </x:c>
      <x:c r="C1535" s="5" t="str">
        <x:v>cooperativas</x:v>
      </x:c>
      <x:c r="D1535" s="5" t="n">
        <x:f>$F$1517</x:f>
        <x:v>42.43703703703704</x:v>
      </x:c>
      <x:c r="E1535" s="5" t="n">
        <x:f>(ABS('03_Sensibilidades'!$C$30)*IF('03_Sensibilidades'!$C$30&lt;0,100-$K$660,$K$660)+ABS('03_Sensibilidades'!$C$31)*IF('03_Sensibilidades'!$C$31&lt;0,100-$K$658,$K$658)+ABS('03_Sensibilidades'!$C$32)*IF('03_Sensibilidades'!$C$32&lt;0,100-$K$666,$K$666)+ABS('03_Sensibilidades'!$C$33)*IF('03_Sensibilidades'!$C$33&lt;0,100-$K$669,$K$669))/(ABS('03_Sensibilidades'!$C$30)+ABS('03_Sensibilidades'!$C$31)+ABS('03_Sensibilidades'!$C$32)+ABS('03_Sensibilidades'!$C$33))</x:f>
        <x:v>42.87333333333333</x:v>
      </x:c>
      <x:c r="F1535" s="5" t="n">
        <x:f>(1-'00_Arquitectura'!$B$95)*D1535+'00_Arquitectura'!$B$95*E1535</x:f>
        <x:v>42.58974074074074</x:v>
      </x:c>
      <x:c r="G1535" s="5" t="n">
        <x:f>'02_Actores'!$I$12</x:f>
        <x:v>45</x:v>
      </x:c>
      <x:c r="H1535" s="5" t="n">
        <x:f>IF(OR(AND(F1535&lt;'00_Arquitectura'!$B$118,G1535&lt;'00_Arquitectura'!$B$119),F1535&lt;'00_Arquitectura'!$B$120),1,0)</x:f>
        <x:v>0</x:v>
      </x:c>
      <x:c r="I1535" s="5" t="n">
        <x:f>IF($I$1517=1,IF(OR(AND(F1535&lt;'00_Arquitectura'!$B$121,G1535&lt;'00_Arquitectura'!$B$122),F1535&lt;'00_Arquitectura'!$B$123),1,0),IF(AND(H1535=1,$H$1517=1),1,0))</x:f>
        <x:v>0</x:v>
      </x:c>
      <x:c r="J1535" s="5" t="n">
        <x:f>-I1535*1.5*'02_Actores'!$E$12/10</x:f>
        <x:v>0</x:v>
      </x:c>
      <x:c r="K1535" s="5" t="n">
        <x:f>$K$1529</x:f>
        <x:v>43.9324477289043</x:v>
      </x:c>
      <x:c r="L1535" s="5" t="str">
        <x:v>J programa offset para t+1; efecto sustituible y acotado, sin voto adicional.</x:v>
      </x:c>
    </x:row>
    <x:row r="1536" ht="42" customHeight="1">
      <x:c r="A1536" s="10" t="str">
        <x:v>S5_SEGURIDAD</x:v>
      </x:c>
      <x:c r="B1536" s="10" t="n">
        <x:v>3</x:v>
      </x:c>
      <x:c r="C1536" s="10" t="str">
        <x:v>estudiantes</x:v>
      </x:c>
      <x:c r="D1536" s="10" t="n">
        <x:f>$F$1518</x:f>
        <x:v>39.106</x:v>
      </x:c>
      <x:c r="E1536" s="10" t="n">
        <x:f>(ABS('03_Sensibilidades'!$C$34)*IF('03_Sensibilidades'!$C$34&lt;0,100-$K$664,$K$664)+ABS('03_Sensibilidades'!$C$35)*IF('03_Sensibilidades'!$C$35&lt;0,100-$K$659,$K$659)+ABS('03_Sensibilidades'!$C$36)*IF('03_Sensibilidades'!$C$36&lt;0,100-$K$669,$K$669)+ABS('03_Sensibilidades'!$C$37)*IF('03_Sensibilidades'!$C$37&lt;0,100-$K$668,$K$668))/(ABS('03_Sensibilidades'!$C$34)+ABS('03_Sensibilidades'!$C$35)+ABS('03_Sensibilidades'!$C$36)+ABS('03_Sensibilidades'!$C$37))</x:f>
        <x:v>39.96</x:v>
      </x:c>
      <x:c r="F1536" s="10" t="n">
        <x:f>(1-'00_Arquitectura'!$B$95)*D1536+'00_Arquitectura'!$B$95*E1536</x:f>
        <x:v>39.4049</x:v>
      </x:c>
      <x:c r="G1536" s="10" t="n">
        <x:f>'02_Actores'!$I$13</x:f>
        <x:v>45</x:v>
      </x:c>
      <x:c r="H1536" s="10" t="n">
        <x:f>IF(OR(AND(F1536&lt;'00_Arquitectura'!$B$118,G1536&lt;'00_Arquitectura'!$B$119),F1536&lt;'00_Arquitectura'!$B$120),1,0)</x:f>
        <x:v>0</x:v>
      </x:c>
      <x:c r="I1536" s="10" t="n">
        <x:f>IF($I$1518=1,IF(OR(AND(F1536&lt;'00_Arquitectura'!$B$121,G1536&lt;'00_Arquitectura'!$B$122),F1536&lt;'00_Arquitectura'!$B$123),1,0),IF(AND(H1536=1,$H$1518=1),1,0))</x:f>
        <x:v>0</x:v>
      </x:c>
      <x:c r="J1536" s="10" t="n">
        <x:f>0</x:f>
        <x:v>0</x:v>
      </x:c>
      <x:c r="K1536" s="10" t="n">
        <x:f>$K$1529</x:f>
        <x:v>43.9324477289043</x:v>
      </x:c>
      <x:c r="L1536" s="10" t="str">
        <x:v>Conflicto activo captura menor eficacia en políticas ejecutadas en t+1. Magnitud0 en J: no es un offset directo de indicador.</x:v>
      </x:c>
    </x:row>
    <x:row r="1537" ht="34" customHeight="1">
      <x:c r="A1537" s="5" t="str">
        <x:v>S5_SEGURIDAD</x:v>
      </x:c>
      <x:c r="B1537" s="5" t="n">
        <x:v>3</x:v>
      </x:c>
      <x:c r="C1537" s="5" t="str">
        <x:v>docentes</x:v>
      </x:c>
      <x:c r="D1537" s="5" t="n">
        <x:f>$F$1519</x:f>
        <x:v>42.643478260869564</x:v>
      </x:c>
      <x:c r="E1537" s="5" t="n">
        <x:f>(ABS('03_Sensibilidades'!$C$38)*IF('03_Sensibilidades'!$C$38&lt;0,100-$K$664,$K$664)+ABS('03_Sensibilidades'!$C$39)*IF('03_Sensibilidades'!$C$39&lt;0,100-$K$659,$K$659)+ABS('03_Sensibilidades'!$C$40)*IF('03_Sensibilidades'!$C$40&lt;0,100-$K$669,$K$669))/(ABS('03_Sensibilidades'!$C$38)+ABS('03_Sensibilidades'!$C$39)+ABS('03_Sensibilidades'!$C$40))</x:f>
        <x:v>43.17391304347826</x:v>
      </x:c>
      <x:c r="F1537" s="5" t="n">
        <x:f>(1-'00_Arquitectura'!$B$95)*D1537+'00_Arquitectura'!$B$95*E1537</x:f>
        <x:v>42.829130434782606</x:v>
      </x:c>
      <x:c r="G1537" s="5" t="n">
        <x:f>'02_Actores'!$I$14</x:f>
        <x:v>45</x:v>
      </x:c>
      <x:c r="H1537" s="5" t="n">
        <x:f>IF(OR(AND(F1537&lt;'00_Arquitectura'!$B$118,G1537&lt;'00_Arquitectura'!$B$119),F1537&lt;'00_Arquitectura'!$B$120),1,0)</x:f>
        <x:v>0</x:v>
      </x:c>
      <x:c r="I1537" s="5" t="n">
        <x:f>IF($I$1519=1,IF(OR(AND(F1537&lt;'00_Arquitectura'!$B$121,G1537&lt;'00_Arquitectura'!$B$122),F1537&lt;'00_Arquitectura'!$B$123),1,0),IF(AND(H1537=1,$H$1519=1),1,0))</x:f>
        <x:v>0</x:v>
      </x:c>
      <x:c r="J1537" s="5" t="n">
        <x:f>-I1537*1.5*'02_Actores'!$E$14/10</x:f>
        <x:v>0</x:v>
      </x:c>
      <x:c r="K1537" s="5" t="n">
        <x:f>$K$1529</x:f>
        <x:v>43.9324477289043</x:v>
      </x:c>
      <x:c r="L1537" s="5" t="str">
        <x:v>J programa offset para t+1; efecto sustituible y acotado, sin voto adicional.</x:v>
      </x:c>
    </x:row>
    <x:row r="1538" ht="34" customHeight="1">
      <x:c r="A1538" s="10" t="str">
        <x:v>S5_SEGURIDAD</x:v>
      </x:c>
      <x:c r="B1538" s="10" t="n">
        <x:v>3</x:v>
      </x:c>
      <x:c r="C1538" s="10" t="str">
        <x:v>cientificos</x:v>
      </x:c>
      <x:c r="D1538" s="10" t="n">
        <x:f>$F$1520</x:f>
        <x:v>38.39772727272727</x:v>
      </x:c>
      <x:c r="E1538" s="10" t="n">
        <x:f>(ABS('03_Sensibilidades'!$C$41)*IF('03_Sensibilidades'!$C$41&lt;0,100-$K$668,$K$668)+ABS('03_Sensibilidades'!$C$42)*IF('03_Sensibilidades'!$C$42&lt;0,100-$K$664,$K$664)+ABS('03_Sensibilidades'!$C$43)*IF('03_Sensibilidades'!$C$43&lt;0,100-$K$669,$K$669))/(ABS('03_Sensibilidades'!$C$41)+ABS('03_Sensibilidades'!$C$42)+ABS('03_Sensibilidades'!$C$43))</x:f>
        <x:v>39.09090909090909</x:v>
      </x:c>
      <x:c r="F1538" s="10" t="n">
        <x:f>(1-'00_Arquitectura'!$B$95)*D1538+'00_Arquitectura'!$B$95*E1538</x:f>
        <x:v>38.64034090909091</x:v>
      </x:c>
      <x:c r="G1538" s="10" t="n">
        <x:f>'02_Actores'!$I$15</x:f>
        <x:v>45</x:v>
      </x:c>
      <x:c r="H1538" s="10" t="n">
        <x:f>IF(OR(AND(F1538&lt;'00_Arquitectura'!$B$118,G1538&lt;'00_Arquitectura'!$B$119),F1538&lt;'00_Arquitectura'!$B$120),1,0)</x:f>
        <x:v>0</x:v>
      </x:c>
      <x:c r="I1538" s="10" t="n">
        <x:f>IF($I$1520=1,IF(OR(AND(F1538&lt;'00_Arquitectura'!$B$121,G1538&lt;'00_Arquitectura'!$B$122),F1538&lt;'00_Arquitectura'!$B$123),1,0),IF(AND(H1538=1,$H$1520=1),1,0))</x:f>
        <x:v>0</x:v>
      </x:c>
      <x:c r="J1538" s="10" t="n">
        <x:f>-I1538*1.5*'02_Actores'!$E$15/10</x:f>
        <x:v>0</x:v>
      </x:c>
      <x:c r="K1538" s="10" t="n">
        <x:f>$K$1529</x:f>
        <x:v>43.9324477289043</x:v>
      </x:c>
      <x:c r="L1538" s="10" t="str">
        <x:v>J programa offset para t+1; efecto sustituible y acotado, sin voto adicional.</x:v>
      </x:c>
    </x:row>
    <x:row r="1539" ht="34" customHeight="1">
      <x:c r="A1539" s="5" t="str">
        <x:v>S5_SEGURIDAD</x:v>
      </x:c>
      <x:c r="B1539" s="5" t="n">
        <x:v>3</x:v>
      </x:c>
      <x:c r="C1539" s="5" t="str">
        <x:v>organizaciones</x:v>
      </x:c>
      <x:c r="D1539" s="5" t="n">
        <x:f>$F$1521</x:f>
        <x:v>42.669642857142854</x:v>
      </x:c>
      <x:c r="E1539" s="5" t="n">
        <x:f>(ABS('03_Sensibilidades'!$C$44)*IF('03_Sensibilidades'!$C$44&lt;0,100-$K$666,$K$666)+ABS('03_Sensibilidades'!$C$45)*IF('03_Sensibilidades'!$C$45&lt;0,100-$K$665,$K$665)+ABS('03_Sensibilidades'!$C$46)*IF('03_Sensibilidades'!$C$46&lt;0,100-$K$658,$K$658)+ABS('03_Sensibilidades'!$C$47)*IF('03_Sensibilidades'!$C$47&lt;0,100-$K$669,$K$669))/(ABS('03_Sensibilidades'!$C$44)+ABS('03_Sensibilidades'!$C$45)+ABS('03_Sensibilidades'!$C$46)+ABS('03_Sensibilidades'!$C$47))</x:f>
        <x:v>43.214285714285715</x:v>
      </x:c>
      <x:c r="F1539" s="5" t="n">
        <x:f>(1-'00_Arquitectura'!$B$95)*D1539+'00_Arquitectura'!$B$95*E1539</x:f>
        <x:v>42.86026785714286</x:v>
      </x:c>
      <x:c r="G1539" s="5" t="n">
        <x:f>'02_Actores'!$I$16</x:f>
        <x:v>45</x:v>
      </x:c>
      <x:c r="H1539" s="5" t="n">
        <x:f>IF(OR(AND(F1539&lt;'00_Arquitectura'!$B$118,G1539&lt;'00_Arquitectura'!$B$119),F1539&lt;'00_Arquitectura'!$B$120),1,0)</x:f>
        <x:v>0</x:v>
      </x:c>
      <x:c r="I1539" s="5" t="n">
        <x:f>IF($I$1521=1,IF(OR(AND(F1539&lt;'00_Arquitectura'!$B$121,G1539&lt;'00_Arquitectura'!$B$122),F1539&lt;'00_Arquitectura'!$B$123),1,0),IF(AND(H1539=1,$H$1521=1),1,0))</x:f>
        <x:v>0</x:v>
      </x:c>
      <x:c r="J1539" s="5" t="n">
        <x:f>-I1539*1.5*'02_Actores'!$E$16/10</x:f>
        <x:v>0</x:v>
      </x:c>
      <x:c r="K1539" s="5" t="n">
        <x:f>$K$1529</x:f>
        <x:v>43.9324477289043</x:v>
      </x:c>
      <x:c r="L1539" s="5" t="str">
        <x:v>J programa offset para t+1; efecto sustituible y acotado, sin voto adicional.</x:v>
      </x:c>
    </x:row>
    <x:row r="1540" ht="42" customHeight="1">
      <x:c r="A1540" s="10" t="str">
        <x:v>S5_SEGURIDAD</x:v>
      </x:c>
      <x:c r="B1540" s="10" t="n">
        <x:v>3</x:v>
      </x:c>
      <x:c r="C1540" s="10" t="str">
        <x:v>ddhh</x:v>
      </x:c>
      <x:c r="D1540" s="10" t="n">
        <x:f>$F$1522</x:f>
        <x:v>30.186029411764704</x:v>
      </x:c>
      <x:c r="E1540" s="10" t="n">
        <x:f>(ABS('03_Sensibilidades'!$C$48)*IF('03_Sensibilidades'!$C$48&lt;0,100-$K$669,$K$669)+ABS('03_Sensibilidades'!$C$49)*IF('03_Sensibilidades'!$C$49&lt;0,100-$K$667,$K$667)+ABS('03_Sensibilidades'!$C$50)*IF('03_Sensibilidades'!$C$50&lt;0,100-$K$666,$K$666))/(ABS('03_Sensibilidades'!$C$48)+ABS('03_Sensibilidades'!$C$49)+ABS('03_Sensibilidades'!$C$50))</x:f>
        <x:v>31.470588235294116</x:v>
      </x:c>
      <x:c r="F1540" s="10" t="n">
        <x:f>(1-'00_Arquitectura'!$B$95)*D1540+'00_Arquitectura'!$B$95*E1540</x:f>
        <x:v>30.635624999999997</x:v>
      </x:c>
      <x:c r="G1540" s="10" t="n">
        <x:f>30</x:f>
        <x:v>30</x:v>
      </x:c>
      <x:c r="H1540" s="10" t="n">
        <x:f>IF(OR(AND(F1540&lt;'00_Arquitectura'!$B$118,G1540&lt;'00_Arquitectura'!$B$119),F1540&lt;'00_Arquitectura'!$B$120),1,0)</x:f>
        <x:v>1</x:v>
      </x:c>
      <x:c r="I1540" s="10" t="n">
        <x:f>IF($I$1522=1,IF(OR(AND(F1540&lt;'00_Arquitectura'!$B$121,G1540&lt;'00_Arquitectura'!$B$122),F1540&lt;'00_Arquitectura'!$B$123),1,0),IF(AND(H1540=1,$H$1522=1),1,0))</x:f>
        <x:v>1</x:v>
      </x:c>
      <x:c r="J1540" s="10" t="n">
        <x:f>0</x:f>
        <x:v>0</x:v>
      </x:c>
      <x:c r="K1540" s="10" t="n">
        <x:f>$K$1529</x:f>
        <x:v>43.9324477289043</x:v>
      </x:c>
      <x:c r="L1540" s="10" t="str">
        <x:v>Conflicto activo captura menor eficacia en políticas ejecutadas en t+1. Magnitud0 en J: no es un offset directo de indicador.</x:v>
      </x:c>
    </x:row>
    <x:row r="1541" ht="42" customHeight="1">
      <x:c r="A1541" s="5" t="str">
        <x:v>S5_SEGURIDAD</x:v>
      </x:c>
      <x:c r="B1541" s="5" t="n">
        <x:v>3</x:v>
      </x:c>
      <x:c r="C1541" s="5" t="str">
        <x:v>ambientalistas</x:v>
      </x:c>
      <x:c r="D1541" s="5" t="n">
        <x:f>$F$1523</x:f>
        <x:v>41.375</x:v>
      </x:c>
      <x:c r="E1541" s="5" t="n">
        <x:f>(ABS('03_Sensibilidades'!$C$51)*IF('03_Sensibilidades'!$C$51&lt;0,100-$K$670,$K$670)+ABS('03_Sensibilidades'!$C$52)*IF('03_Sensibilidades'!$C$52&lt;0,100-$K$669,$K$669)+ABS('03_Sensibilidades'!$C$53)*IF('03_Sensibilidades'!$C$53&lt;0,100-$K$665,$K$665))/(ABS('03_Sensibilidades'!$C$51)+ABS('03_Sensibilidades'!$C$52)+ABS('03_Sensibilidades'!$C$53))</x:f>
        <x:v>42.22222222222222</x:v>
      </x:c>
      <x:c r="F1541" s="5" t="n">
        <x:f>(1-'00_Arquitectura'!$B$95)*D1541+'00_Arquitectura'!$B$95*E1541</x:f>
        <x:v>41.671527777777776</x:v>
      </x:c>
      <x:c r="G1541" s="5" t="n">
        <x:f>'02_Actores'!$I$18</x:f>
        <x:v>45</x:v>
      </x:c>
      <x:c r="H1541" s="5" t="n">
        <x:f>IF(OR(AND(F1541&lt;'00_Arquitectura'!$B$118,G1541&lt;'00_Arquitectura'!$B$119),F1541&lt;'00_Arquitectura'!$B$120),1,0)</x:f>
        <x:v>0</x:v>
      </x:c>
      <x:c r="I1541" s="5" t="n">
        <x:f>IF($I$1523=1,IF(OR(AND(F1541&lt;'00_Arquitectura'!$B$121,G1541&lt;'00_Arquitectura'!$B$122),F1541&lt;'00_Arquitectura'!$B$123),1,0),IF(AND(H1541=1,$H$1523=1),1,0))</x:f>
        <x:v>0</x:v>
      </x:c>
      <x:c r="J1541" s="5" t="n">
        <x:f>0</x:f>
        <x:v>0</x:v>
      </x:c>
      <x:c r="K1541" s="5" t="n">
        <x:f>$K$1529</x:f>
        <x:v>43.9324477289043</x:v>
      </x:c>
      <x:c r="L1541" s="5" t="str">
        <x:v>Conflicto activo captura menor eficacia en políticas ejecutadas en t+1. Magnitud0 en J: no es un offset directo de indicador.</x:v>
      </x:c>
    </x:row>
    <x:row r="1542" ht="34" customHeight="1">
      <x:c r="A1542" s="10" t="str">
        <x:v>S5_SEGURIDAD</x:v>
      </x:c>
      <x:c r="B1542" s="10" t="n">
        <x:v>3</x:v>
      </x:c>
      <x:c r="C1542" s="10" t="str">
        <x:v>cultura</x:v>
      </x:c>
      <x:c r="D1542" s="10" t="n">
        <x:f>$F$1524</x:f>
        <x:v>35.61052631578947</x:v>
      </x:c>
      <x:c r="E1542" s="10" t="n">
        <x:f>(ABS('03_Sensibilidades'!$C$54)*IF('03_Sensibilidades'!$C$54&lt;0,100-$K$669,$K$669)+ABS('03_Sensibilidades'!$C$55)*IF('03_Sensibilidades'!$C$55&lt;0,100-$K$664,$K$664)+ABS('03_Sensibilidades'!$C$56)*IF('03_Sensibilidades'!$C$56&lt;0,100-$K$659,$K$659))/(ABS('03_Sensibilidades'!$C$54)+ABS('03_Sensibilidades'!$C$55)+ABS('03_Sensibilidades'!$C$56))</x:f>
        <x:v>36.89473684210526</x:v>
      </x:c>
      <x:c r="F1542" s="10" t="n">
        <x:f>(1-'00_Arquitectura'!$B$95)*D1542+'00_Arquitectura'!$B$95*E1542</x:f>
        <x:v>36.06</x:v>
      </x:c>
      <x:c r="G1542" s="10" t="n">
        <x:f>'02_Actores'!$I$19</x:f>
        <x:v>45</x:v>
      </x:c>
      <x:c r="H1542" s="10" t="n">
        <x:f>IF(OR(AND(F1542&lt;'00_Arquitectura'!$B$118,G1542&lt;'00_Arquitectura'!$B$119),F1542&lt;'00_Arquitectura'!$B$120),1,0)</x:f>
        <x:v>0</x:v>
      </x:c>
      <x:c r="I1542" s="10" t="n">
        <x:f>IF($I$1524=1,IF(OR(AND(F1542&lt;'00_Arquitectura'!$B$121,G1542&lt;'00_Arquitectura'!$B$122),F1542&lt;'00_Arquitectura'!$B$123),1,0),IF(AND(H1542=1,$H$1524=1),1,0))</x:f>
        <x:v>0</x:v>
      </x:c>
      <x:c r="J1542" s="10" t="n">
        <x:f>0</x:f>
        <x:v>0</x:v>
      </x:c>
      <x:c r="K1542" s="10" t="n">
        <x:f>$K$1529</x:f>
        <x:v>43.9324477289043</x:v>
      </x:c>
      <x:c r="L1542" s="10" t="str">
        <x:v>Conflicto activo encarece agenda del turno siguiente; sin castigo electoral adicional.</x:v>
      </x:c>
    </x:row>
    <x:row r="1543" ht="34" customHeight="1">
      <x:c r="A1543" s="5" t="str">
        <x:v>S5_SEGURIDAD</x:v>
      </x:c>
      <x:c r="B1543" s="5" t="n">
        <x:v>3</x:v>
      </x:c>
      <x:c r="C1543" s="5" t="str">
        <x:v>oficialismo</x:v>
      </x:c>
      <x:c r="D1543" s="5" t="n">
        <x:f>$F$1525</x:f>
        <x:v>43.216</x:v>
      </x:c>
      <x:c r="E1543" s="5" t="n">
        <x:f>(ABS('03_Sensibilidades'!$C$57)*IF('03_Sensibilidades'!$C$57&lt;0,100-$K$669,$K$669)+ABS('03_Sensibilidades'!$C$58)*IF('03_Sensibilidades'!$C$58&lt;0,100-$K$658,$K$658)+ABS('03_Sensibilidades'!$C$59)*IF('03_Sensibilidades'!$C$59&lt;0,100-$K$661,$K$661)+ABS('03_Sensibilidades'!$C$60)*IF('03_Sensibilidades'!$C$60&lt;0,100-$K$666,$K$666))/(ABS('03_Sensibilidades'!$C$57)+ABS('03_Sensibilidades'!$C$58)+ABS('03_Sensibilidades'!$C$59)+ABS('03_Sensibilidades'!$C$60))</x:f>
        <x:v>44.2</x:v>
      </x:c>
      <x:c r="F1543" s="5" t="n">
        <x:f>(1-'00_Arquitectura'!$B$95)*D1543+'00_Arquitectura'!$B$95*E1543</x:f>
        <x:v>43.5604</x:v>
      </x:c>
      <x:c r="G1543" s="5" t="n">
        <x:f>'02_Actores'!$I$20</x:f>
        <x:v>60</x:v>
      </x:c>
      <x:c r="H1543" s="5" t="n">
        <x:f>IF(OR(AND(F1543&lt;'00_Arquitectura'!$B$118,G1543&lt;'00_Arquitectura'!$B$119),F1543&lt;'00_Arquitectura'!$B$120),1,0)</x:f>
        <x:v>0</x:v>
      </x:c>
      <x:c r="I1543" s="5" t="n">
        <x:f>IF($I$1525=1,IF(OR(AND(F1543&lt;'00_Arquitectura'!$B$121,G1543&lt;'00_Arquitectura'!$B$122),F1543&lt;'00_Arquitectura'!$B$123),1,0),IF(AND(H1543=1,$H$1525=1),1,0))</x:f>
        <x:v>0</x:v>
      </x:c>
      <x:c r="J1543" s="5" t="n">
        <x:f>0</x:f>
        <x:v>0</x:v>
      </x:c>
      <x:c r="K1543" s="5" t="n">
        <x:f>$K$1529</x:f>
        <x:v>43.9324477289043</x:v>
      </x:c>
      <x:c r="L1543" s="5" t="str">
        <x:v>No aporta E_social; S y R alimentan disposición a leyes según07.</x:v>
      </x:c>
    </x:row>
    <x:row r="1544" ht="34" customHeight="1">
      <x:c r="A1544" s="10" t="str">
        <x:v>S5_SEGURIDAD</x:v>
      </x:c>
      <x:c r="B1544" s="10" t="n">
        <x:v>3</x:v>
      </x:c>
      <x:c r="C1544" s="10" t="str">
        <x:v>aliados</x:v>
      </x:c>
      <x:c r="D1544" s="10" t="n">
        <x:f>$F$1526</x:f>
        <x:v>39.05952380952381</x:v>
      </x:c>
      <x:c r="E1544" s="10" t="n">
        <x:f>(ABS('03_Sensibilidades'!$C$61)*IF('03_Sensibilidades'!$C$61&lt;0,100-$K$669,$K$669)+ABS('03_Sensibilidades'!$C$62)*IF('03_Sensibilidades'!$C$62&lt;0,100-$K$661,$K$661)+ABS('03_Sensibilidades'!$C$63)*IF('03_Sensibilidades'!$C$63&lt;0,100-$K$663,$K$663))/(ABS('03_Sensibilidades'!$C$61)+ABS('03_Sensibilidades'!$C$62)+ABS('03_Sensibilidades'!$C$63))</x:f>
        <x:v>40.57142857142857</x:v>
      </x:c>
      <x:c r="F1544" s="10" t="n">
        <x:f>(1-'00_Arquitectura'!$B$95)*D1544+'00_Arquitectura'!$B$95*E1544</x:f>
        <x:v>39.58869047619047</x:v>
      </x:c>
      <x:c r="G1544" s="10" t="n">
        <x:f>'02_Actores'!$I$21</x:f>
        <x:v>45</x:v>
      </x:c>
      <x:c r="H1544" s="10" t="n">
        <x:f>IF(OR(AND(F1544&lt;'00_Arquitectura'!$B$118,G1544&lt;'00_Arquitectura'!$B$119),F1544&lt;'00_Arquitectura'!$B$120),1,0)</x:f>
        <x:v>0</x:v>
      </x:c>
      <x:c r="I1544" s="10" t="n">
        <x:f>IF($I$1526=1,IF(OR(AND(F1544&lt;'00_Arquitectura'!$B$121,G1544&lt;'00_Arquitectura'!$B$122),F1544&lt;'00_Arquitectura'!$B$123),1,0),IF(AND(H1544=1,$H$1526=1),1,0))</x:f>
        <x:v>0</x:v>
      </x:c>
      <x:c r="J1544" s="10" t="n">
        <x:f>0</x:f>
        <x:v>0</x:v>
      </x:c>
      <x:c r="K1544" s="10" t="n">
        <x:f>$K$1529</x:f>
        <x:v>43.9324477289043</x:v>
      </x:c>
      <x:c r="L1544" s="10" t="str">
        <x:v>No aporta E_social; S y R alimentan disposición a leyes según07.</x:v>
      </x:c>
    </x:row>
    <x:row r="1545" ht="34" customHeight="1">
      <x:c r="A1545" s="5" t="str">
        <x:v>S5_SEGURIDAD</x:v>
      </x:c>
      <x:c r="B1545" s="5" t="n">
        <x:v>3</x:v>
      </x:c>
      <x:c r="C1545" s="5" t="str">
        <x:v>oposicion</x:v>
      </x:c>
      <x:c r="D1545" s="5" t="n">
        <x:f>$F$1527</x:f>
        <x:v>36.1375</x:v>
      </x:c>
      <x:c r="E1545" s="5" t="n">
        <x:f>(ABS('03_Sensibilidades'!$C$64)*IF('03_Sensibilidades'!$C$64&lt;0,100-$K$669,$K$669)+ABS('03_Sensibilidades'!$C$65)*IF('03_Sensibilidades'!$C$65&lt;0,100-$K$661,$K$661)+ABS('03_Sensibilidades'!$C$66)*IF('03_Sensibilidades'!$C$66&lt;0,100-$K$667,$K$667))/(ABS('03_Sensibilidades'!$C$64)+ABS('03_Sensibilidades'!$C$65)+ABS('03_Sensibilidades'!$C$66))</x:f>
        <x:v>37.4</x:v>
      </x:c>
      <x:c r="F1545" s="5" t="n">
        <x:f>(1-'00_Arquitectura'!$B$95)*D1545+'00_Arquitectura'!$B$95*E1545</x:f>
        <x:v>36.579375</x:v>
      </x:c>
      <x:c r="G1545" s="5" t="n">
        <x:f>'02_Actores'!$I$22</x:f>
        <x:v>30</x:v>
      </x:c>
      <x:c r="H1545" s="5" t="n">
        <x:f>IF(OR(AND(F1545&lt;'00_Arquitectura'!$B$118,G1545&lt;'00_Arquitectura'!$B$119),F1545&lt;'00_Arquitectura'!$B$120),1,0)</x:f>
        <x:v>0</x:v>
      </x:c>
      <x:c r="I1545" s="5" t="n">
        <x:f>IF($I$1527=1,IF(OR(AND(F1545&lt;'00_Arquitectura'!$B$121,G1545&lt;'00_Arquitectura'!$B$122),F1545&lt;'00_Arquitectura'!$B$123),1,0),IF(AND(H1545=1,$H$1527=1),1,0))</x:f>
        <x:v>0</x:v>
      </x:c>
      <x:c r="J1545" s="5" t="n">
        <x:f>0</x:f>
        <x:v>0</x:v>
      </x:c>
      <x:c r="K1545" s="5" t="n">
        <x:f>$K$1529</x:f>
        <x:v>43.9324477289043</x:v>
      </x:c>
      <x:c r="L1545" s="5" t="str">
        <x:v>No aporta E_social; S y R alimentan disposición a leyes según07.</x:v>
      </x:c>
    </x:row>
    <x:row r="1546" ht="42" customHeight="1">
      <x:c r="A1546" s="10" t="str">
        <x:v>S5_SEGURIDAD</x:v>
      </x:c>
      <x:c r="B1546" s="10" t="n">
        <x:v>3</x:v>
      </x:c>
      <x:c r="C1546" s="10" t="str">
        <x:v>gobernadores</x:v>
      </x:c>
      <x:c r="D1546" s="10" t="n">
        <x:f>$F$1528</x:f>
        <x:v>49.88620689655173</x:v>
      </x:c>
      <x:c r="E1546" s="10" t="n">
        <x:f>(ABS('03_Sensibilidades'!$C$67)*IF('03_Sensibilidades'!$C$67&lt;0,100-$K$663,$K$663)+ABS('03_Sensibilidades'!$C$68)*IF('03_Sensibilidades'!$C$68&lt;0,100-$K$665,$K$665)+ABS('03_Sensibilidades'!$C$69)*IF('03_Sensibilidades'!$C$69&lt;0,100-$K$664,$K$664)+ABS('03_Sensibilidades'!$C$70)*IF('03_Sensibilidades'!$C$70&lt;0,100-$K$661,$K$661))/(ABS('03_Sensibilidades'!$C$67)+ABS('03_Sensibilidades'!$C$68)+ABS('03_Sensibilidades'!$C$69)+ABS('03_Sensibilidades'!$C$70))</x:f>
        <x:v>50.10344827586207</x:v>
      </x:c>
      <x:c r="F1546" s="10" t="n">
        <x:f>(1-'00_Arquitectura'!$B$95)*D1546+'00_Arquitectura'!$B$95*E1546</x:f>
        <x:v>49.96224137931035</x:v>
      </x:c>
      <x:c r="G1546" s="10" t="n">
        <x:f>'02_Actores'!$I$23</x:f>
        <x:v>45</x:v>
      </x:c>
      <x:c r="H1546" s="10" t="n">
        <x:f>IF(OR(AND(F1546&lt;'00_Arquitectura'!$B$118,G1546&lt;'00_Arquitectura'!$B$119),F1546&lt;'00_Arquitectura'!$B$120),1,0)</x:f>
        <x:v>0</x:v>
      </x:c>
      <x:c r="I1546" s="10" t="n">
        <x:f>IF($I$1528=1,IF(OR(AND(F1546&lt;'00_Arquitectura'!$B$121,G1546&lt;'00_Arquitectura'!$B$122),F1546&lt;'00_Arquitectura'!$B$123),1,0),IF(AND(H1546=1,$H$1528=1),1,0))</x:f>
        <x:v>0</x:v>
      </x:c>
      <x:c r="J1546" s="10" t="n">
        <x:f>0</x:f>
        <x:v>0</x:v>
      </x:c>
      <x:c r="K1546" s="10" t="n">
        <x:f>$K$1529</x:f>
        <x:v>43.9324477289043</x:v>
      </x:c>
      <x:c r="L1546" s="10" t="str">
        <x:v>Conflicto activo captura menor eficacia en políticas ejecutadas en t+1. Magnitud0 en J: no es un offset directo de indicador.</x:v>
      </x:c>
    </x:row>
    <x:row r="1547" ht="34" customHeight="1">
      <x:c r="A1547" s="5" t="str">
        <x:v>S5_SEGURIDAD</x:v>
      </x:c>
      <x:c r="B1547" s="5" t="n">
        <x:v>4</x:v>
      </x:c>
      <x:c r="C1547" s="5" t="str">
        <x:v>industria</x:v>
      </x:c>
      <x:c r="D1547" s="5" t="n">
        <x:f>$F$1529</x:f>
        <x:v>46.47525925925926</x:v>
      </x:c>
      <x:c r="E1547" s="5" t="n">
        <x:f>(ABS('03_Sensibilidades'!$C$6)*IF('03_Sensibilidades'!$C$6&lt;0,100-$K$674,$K$674)+ABS('03_Sensibilidades'!$C$7)*IF('03_Sensibilidades'!$C$7&lt;0,100-$K$672,$K$672)+ABS('03_Sensibilidades'!$C$8)*IF('03_Sensibilidades'!$C$8&lt;0,100-$K$677,$K$677)+ABS('03_Sensibilidades'!$C$9)*IF('03_Sensibilidades'!$C$9&lt;0,100-$K$676,$K$676))/(ABS('03_Sensibilidades'!$C$6)+ABS('03_Sensibilidades'!$C$7)+ABS('03_Sensibilidades'!$C$8)+ABS('03_Sensibilidades'!$C$9))</x:f>
        <x:v>46.464948148148146</x:v>
      </x:c>
      <x:c r="F1547" s="5" t="n">
        <x:f>(1-'00_Arquitectura'!$B$95)*D1547+'00_Arquitectura'!$B$95*E1547</x:f>
        <x:v>46.47165037037037</x:v>
      </x:c>
      <x:c r="G1547" s="5" t="n">
        <x:f>'02_Actores'!$I$6</x:f>
        <x:v>45</x:v>
      </x:c>
      <x:c r="H1547" s="5" t="n">
        <x:f>IF(OR(AND(F1547&lt;'00_Arquitectura'!$B$118,G1547&lt;'00_Arquitectura'!$B$119),F1547&lt;'00_Arquitectura'!$B$120),1,0)</x:f>
        <x:v>0</x:v>
      </x:c>
      <x:c r="I1547" s="5" t="n">
        <x:f>IF($I$1529=1,IF(OR(AND(F1547&lt;'00_Arquitectura'!$B$121,G1547&lt;'00_Arquitectura'!$B$122),F1547&lt;'00_Arquitectura'!$B$123),1,0),IF(AND(H1547=1,$H$1529=1),1,0))</x:f>
        <x:v>0</x:v>
      </x:c>
      <x:c r="J1547" s="5" t="n">
        <x:f>-I1547*2*'02_Actores'!$E$6/10</x:f>
        <x:v>0</x:v>
      </x:c>
      <x:c r="K1547" s="5" t="n">
        <x:f>($F$1547*'02_Actores'!$F$6+$F$1548*'02_Actores'!$F$7+$F$1549*'02_Actores'!$F$8+$F$1550*'02_Actores'!$F$9+$F$1551*'02_Actores'!$F$10+$F$1552*'02_Actores'!$F$11+$F$1553*'02_Actores'!$F$12+$F$1554*'02_Actores'!$F$13+$F$1555*'02_Actores'!$F$14+$F$1556*'02_Actores'!$F$15+$F$1557*'02_Actores'!$F$16+$F$1558*'02_Actores'!$F$17+$F$1559*'02_Actores'!$F$18+$F$1560*'02_Actores'!$F$19)/('02_Actores'!$F$6+'02_Actores'!$F$7+'02_Actores'!$F$8+'02_Actores'!$F$9+'02_Actores'!$F$10+'02_Actores'!$F$11+'02_Actores'!$F$12+'02_Actores'!$F$13+'02_Actores'!$F$14+'02_Actores'!$F$15+'02_Actores'!$F$16+'02_Actores'!$F$17+'02_Actores'!$F$18+'02_Actores'!$F$19)</x:f>
        <x:v>44.002642882527134</x:v>
      </x:c>
      <x:c r="L1547" s="5" t="str">
        <x:v>J programa offset para t+1; efecto sustituible y acotado, sin voto adicional.</x:v>
      </x:c>
    </x:row>
    <x:row r="1548" ht="34" customHeight="1">
      <x:c r="A1548" s="10" t="str">
        <x:v>S5_SEGURIDAD</x:v>
      </x:c>
      <x:c r="B1548" s="10" t="n">
        <x:v>4</x:v>
      </x:c>
      <x:c r="C1548" s="10" t="str">
        <x:v>agro</x:v>
      </x:c>
      <x:c r="D1548" s="10" t="n">
        <x:f>$F$1530</x:f>
        <x:v>45.88910714285714</x:v>
      </x:c>
      <x:c r="E1548" s="10" t="n">
        <x:f>(ABS('03_Sensibilidades'!$C$10)*IF('03_Sensibilidades'!$C$10&lt;0,100-$K$676,$K$676)+ABS('03_Sensibilidades'!$C$11)*IF('03_Sensibilidades'!$C$11&lt;0,100-$K$677,$K$677)+ABS('03_Sensibilidades'!$C$12)*IF('03_Sensibilidades'!$C$12&lt;0,100-$K$684,$K$684)+ABS('03_Sensibilidades'!$C$13)*IF('03_Sensibilidades'!$C$13&lt;0,100-$K$674,$K$674))/(ABS('03_Sensibilidades'!$C$10)+ABS('03_Sensibilidades'!$C$11)+ABS('03_Sensibilidades'!$C$12)+ABS('03_Sensibilidades'!$C$13))</x:f>
        <x:v>45.88375</x:v>
      </x:c>
      <x:c r="F1548" s="10" t="n">
        <x:f>(1-'00_Arquitectura'!$B$95)*D1548+'00_Arquitectura'!$B$95*E1548</x:f>
        <x:v>45.887232142857144</x:v>
      </x:c>
      <x:c r="G1548" s="10" t="n">
        <x:f>'02_Actores'!$I$7</x:f>
        <x:v>45</x:v>
      </x:c>
      <x:c r="H1548" s="10" t="n">
        <x:f>IF(OR(AND(F1548&lt;'00_Arquitectura'!$B$118,G1548&lt;'00_Arquitectura'!$B$119),F1548&lt;'00_Arquitectura'!$B$120),1,0)</x:f>
        <x:v>0</x:v>
      </x:c>
      <x:c r="I1548" s="10" t="n">
        <x:f>IF($I$1530=1,IF(OR(AND(F1548&lt;'00_Arquitectura'!$B$121,G1548&lt;'00_Arquitectura'!$B$122),F1548&lt;'00_Arquitectura'!$B$123),1,0),IF(AND(H1548=1,$H$1530=1),1,0))</x:f>
        <x:v>0</x:v>
      </x:c>
      <x:c r="J1548" s="10" t="n">
        <x:f>-I1548*2*'02_Actores'!$E$7/10</x:f>
        <x:v>0</x:v>
      </x:c>
      <x:c r="K1548" s="10" t="n">
        <x:f>$K$1547</x:f>
        <x:v>44.002642882527134</x:v>
      </x:c>
      <x:c r="L1548" s="10" t="str">
        <x:v>J programa offset para t+1; efecto sustituible y acotado, sin voto adicional.</x:v>
      </x:c>
    </x:row>
    <x:row r="1549" ht="34" customHeight="1">
      <x:c r="A1549" s="5" t="str">
        <x:v>S5_SEGURIDAD</x:v>
      </x:c>
      <x:c r="B1549" s="5" t="n">
        <x:v>4</x:v>
      </x:c>
      <x:c r="C1549" s="5" t="str">
        <x:v>financiero</x:v>
      </x:c>
      <x:c r="D1549" s="5" t="n">
        <x:f>$F$1531</x:f>
        <x:v>49.934413793103445</x:v>
      </x:c>
      <x:c r="E1549" s="5" t="n">
        <x:f>(ABS('03_Sensibilidades'!$C$14)*IF('03_Sensibilidades'!$C$14&lt;0,100-$K$675,$K$675)+ABS('03_Sensibilidades'!$C$15)*IF('03_Sensibilidades'!$C$15&lt;0,100-$K$671,$K$671)+ABS('03_Sensibilidades'!$C$16)*IF('03_Sensibilidades'!$C$16&lt;0,100-$K$674,$K$674)+ABS('03_Sensibilidades'!$C$17)*IF('03_Sensibilidades'!$C$17&lt;0,100-$K$683,$K$683))/(ABS('03_Sensibilidades'!$C$14)+ABS('03_Sensibilidades'!$C$15)+ABS('03_Sensibilidades'!$C$16)+ABS('03_Sensibilidades'!$C$17))</x:f>
        <x:v>50.43596551724138</x:v>
      </x:c>
      <x:c r="F1549" s="5" t="n">
        <x:f>(1-'00_Arquitectura'!$B$95)*D1549+'00_Arquitectura'!$B$95*E1549</x:f>
        <x:v>50.10995689655172</x:v>
      </x:c>
      <x:c r="G1549" s="5" t="n">
        <x:f>'02_Actores'!$I$8</x:f>
        <x:v>45</x:v>
      </x:c>
      <x:c r="H1549" s="5" t="n">
        <x:f>IF(OR(AND(F1549&lt;'00_Arquitectura'!$B$118,G1549&lt;'00_Arquitectura'!$B$119),F1549&lt;'00_Arquitectura'!$B$120),1,0)</x:f>
        <x:v>0</x:v>
      </x:c>
      <x:c r="I1549" s="5" t="n">
        <x:f>IF($I$1531=1,IF(OR(AND(F1549&lt;'00_Arquitectura'!$B$121,G1549&lt;'00_Arquitectura'!$B$122),F1549&lt;'00_Arquitectura'!$B$123),1,0),IF(AND(H1549=1,$H$1531=1),1,0))</x:f>
        <x:v>0</x:v>
      </x:c>
      <x:c r="J1549" s="5" t="n">
        <x:f>-I1549*2*'02_Actores'!$E$8/10</x:f>
        <x:v>0</x:v>
      </x:c>
      <x:c r="K1549" s="5" t="n">
        <x:f>$K$1547</x:f>
        <x:v>44.002642882527134</x:v>
      </x:c>
      <x:c r="L1549" s="5" t="str">
        <x:v>J programa offset para t+1; efecto sustituible y acotado, sin voto adicional.</x:v>
      </x:c>
    </x:row>
    <x:row r="1550" ht="34" customHeight="1">
      <x:c r="A1550" s="10" t="str">
        <x:v>S5_SEGURIDAD</x:v>
      </x:c>
      <x:c r="B1550" s="10" t="n">
        <x:v>4</x:v>
      </x:c>
      <x:c r="C1550" s="10" t="str">
        <x:v>sindicatos</x:v>
      </x:c>
      <x:c r="D1550" s="10" t="n">
        <x:f>$F$1532</x:f>
        <x:v>43.10586206896552</x:v>
      </x:c>
      <x:c r="E1550" s="10" t="n">
        <x:f>(ABS('03_Sensibilidades'!$C$18)*IF('03_Sensibilidades'!$C$18&lt;0,100-$K$673,$K$673)+ABS('03_Sensibilidades'!$C$19)*IF('03_Sensibilidades'!$C$19&lt;0,100-$K$672,$K$672)+ABS('03_Sensibilidades'!$C$20)*IF('03_Sensibilidades'!$C$20&lt;0,100-$K$680,$K$680)+ABS('03_Sensibilidades'!$C$21)*IF('03_Sensibilidades'!$C$21&lt;0,100-$K$683,$K$683))/(ABS('03_Sensibilidades'!$C$18)+ABS('03_Sensibilidades'!$C$19)+ABS('03_Sensibilidades'!$C$20)+ABS('03_Sensibilidades'!$C$21))</x:f>
        <x:v>43.37782068965517</x:v>
      </x:c>
      <x:c r="F1550" s="10" t="n">
        <x:f>(1-'00_Arquitectura'!$B$95)*D1550+'00_Arquitectura'!$B$95*E1550</x:f>
        <x:v>43.2010475862069</x:v>
      </x:c>
      <x:c r="G1550" s="10" t="n">
        <x:f>'02_Actores'!$I$9</x:f>
        <x:v>45</x:v>
      </x:c>
      <x:c r="H1550" s="10" t="n">
        <x:f>IF(OR(AND(F1550&lt;'00_Arquitectura'!$B$118,G1550&lt;'00_Arquitectura'!$B$119),F1550&lt;'00_Arquitectura'!$B$120),1,0)</x:f>
        <x:v>0</x:v>
      </x:c>
      <x:c r="I1550" s="10" t="n">
        <x:f>IF($I$1532=1,IF(OR(AND(F1550&lt;'00_Arquitectura'!$B$121,G1550&lt;'00_Arquitectura'!$B$122),F1550&lt;'00_Arquitectura'!$B$123),1,0),IF(AND(H1550=1,$H$1532=1),1,0))</x:f>
        <x:v>0</x:v>
      </x:c>
      <x:c r="J1550" s="10" t="n">
        <x:f>-I1550*2*'02_Actores'!$E$9/10</x:f>
        <x:v>0</x:v>
      </x:c>
      <x:c r="K1550" s="10" t="n">
        <x:f>$K$1547</x:f>
        <x:v>44.002642882527134</x:v>
      </x:c>
      <x:c r="L1550" s="10" t="str">
        <x:v>J programa offset para t+1; efecto sustituible y acotado, sin voto adicional.</x:v>
      </x:c>
    </x:row>
    <x:row r="1551" ht="34" customHeight="1">
      <x:c r="A1551" s="5" t="str">
        <x:v>S5_SEGURIDAD</x:v>
      </x:c>
      <x:c r="B1551" s="5" t="n">
        <x:v>4</x:v>
      </x:c>
      <x:c r="C1551" s="5" t="str">
        <x:v>pymes</x:v>
      </x:c>
      <x:c r="D1551" s="5" t="n">
        <x:f>$F$1533</x:f>
        <x:v>49.13068965517242</x:v>
      </x:c>
      <x:c r="E1551" s="5" t="n">
        <x:f>(ABS('03_Sensibilidades'!$C$22)*IF('03_Sensibilidades'!$C$22&lt;0,100-$K$674,$K$674)+ABS('03_Sensibilidades'!$C$23)*IF('03_Sensibilidades'!$C$23&lt;0,100-$K$672,$K$672)+ABS('03_Sensibilidades'!$C$24)*IF('03_Sensibilidades'!$C$24&lt;0,100-$K$677,$K$677)+ABS('03_Sensibilidades'!$C$25)*IF('03_Sensibilidades'!$C$25&lt;0,100-$K$671,$K$671))/(ABS('03_Sensibilidades'!$C$22)+ABS('03_Sensibilidades'!$C$23)+ABS('03_Sensibilidades'!$C$24)+ABS('03_Sensibilidades'!$C$25))</x:f>
        <x:v>49.11885517241379</x:v>
      </x:c>
      <x:c r="F1551" s="5" t="n">
        <x:f>(1-'00_Arquitectura'!$B$95)*D1551+'00_Arquitectura'!$B$95*E1551</x:f>
        <x:v>49.1265475862069</x:v>
      </x:c>
      <x:c r="G1551" s="5" t="n">
        <x:f>'02_Actores'!$I$10</x:f>
        <x:v>45</x:v>
      </x:c>
      <x:c r="H1551" s="5" t="n">
        <x:f>IF(OR(AND(F1551&lt;'00_Arquitectura'!$B$118,G1551&lt;'00_Arquitectura'!$B$119),F1551&lt;'00_Arquitectura'!$B$120),1,0)</x:f>
        <x:v>0</x:v>
      </x:c>
      <x:c r="I1551" s="5" t="n">
        <x:f>IF($I$1533=1,IF(OR(AND(F1551&lt;'00_Arquitectura'!$B$121,G1551&lt;'00_Arquitectura'!$B$122),F1551&lt;'00_Arquitectura'!$B$123),1,0),IF(AND(H1551=1,$H$1533=1),1,0))</x:f>
        <x:v>0</x:v>
      </x:c>
      <x:c r="J1551" s="5" t="n">
        <x:f>-I1551*2*'02_Actores'!$E$10/10</x:f>
        <x:v>0</x:v>
      </x:c>
      <x:c r="K1551" s="5" t="n">
        <x:f>$K$1547</x:f>
        <x:v>44.002642882527134</x:v>
      </x:c>
      <x:c r="L1551" s="5" t="str">
        <x:v>J programa offset para t+1; efecto sustituible y acotado, sin voto adicional.</x:v>
      </x:c>
    </x:row>
    <x:row r="1552" ht="34" customHeight="1">
      <x:c r="A1552" s="10" t="str">
        <x:v>S5_SEGURIDAD</x:v>
      </x:c>
      <x:c r="B1552" s="10" t="n">
        <x:v>4</x:v>
      </x:c>
      <x:c r="C1552" s="10" t="str">
        <x:v>clase_media</x:v>
      </x:c>
      <x:c r="D1552" s="10" t="n">
        <x:f>$F$1534</x:f>
        <x:v>48.81993055555556</x:v>
      </x:c>
      <x:c r="E1552" s="10" t="n">
        <x:f>(ABS('03_Sensibilidades'!$C$26)*IF('03_Sensibilidades'!$C$26&lt;0,100-$K$673,$K$673)+ABS('03_Sensibilidades'!$C$27)*IF('03_Sensibilidades'!$C$27&lt;0,100-$K$681,$K$681)+ABS('03_Sensibilidades'!$C$28)*IF('03_Sensibilidades'!$C$28&lt;0,100-$K$678,$K$678)+ABS('03_Sensibilidades'!$C$29)*IF('03_Sensibilidades'!$C$29&lt;0,100-$K$671,$K$671))/(ABS('03_Sensibilidades'!$C$26)+ABS('03_Sensibilidades'!$C$27)+ABS('03_Sensibilidades'!$C$28)+ABS('03_Sensibilidades'!$C$29))</x:f>
        <x:v>48.333333333333336</x:v>
      </x:c>
      <x:c r="F1552" s="10" t="n">
        <x:f>(1-'00_Arquitectura'!$B$95)*D1552+'00_Arquitectura'!$B$95*E1552</x:f>
        <x:v>48.64962152777778</x:v>
      </x:c>
      <x:c r="G1552" s="10" t="n">
        <x:f>'02_Actores'!$I$11</x:f>
        <x:v>45</x:v>
      </x:c>
      <x:c r="H1552" s="10" t="n">
        <x:f>IF(OR(AND(F1552&lt;'00_Arquitectura'!$B$118,G1552&lt;'00_Arquitectura'!$B$119),F1552&lt;'00_Arquitectura'!$B$120),1,0)</x:f>
        <x:v>0</x:v>
      </x:c>
      <x:c r="I1552" s="10" t="n">
        <x:f>IF($I$1534=1,IF(OR(AND(F1552&lt;'00_Arquitectura'!$B$121,G1552&lt;'00_Arquitectura'!$B$122),F1552&lt;'00_Arquitectura'!$B$123),1,0),IF(AND(H1552=1,$H$1534=1),1,0))</x:f>
        <x:v>0</x:v>
      </x:c>
      <x:c r="J1552" s="10" t="n">
        <x:f>0</x:f>
        <x:v>0</x:v>
      </x:c>
      <x:c r="K1552" s="10" t="n">
        <x:f>$K$1547</x:f>
        <x:v>44.002642882527134</x:v>
      </x:c>
      <x:c r="L1552" s="10" t="str">
        <x:v>Canal directo sólo al índice social; sin bono de popularidad.</x:v>
      </x:c>
    </x:row>
    <x:row r="1553" ht="34" customHeight="1">
      <x:c r="A1553" s="5" t="str">
        <x:v>S5_SEGURIDAD</x:v>
      </x:c>
      <x:c r="B1553" s="5" t="n">
        <x:v>4</x:v>
      </x:c>
      <x:c r="C1553" s="5" t="str">
        <x:v>cooperativas</x:v>
      </x:c>
      <x:c r="D1553" s="5" t="n">
        <x:f>$F$1535</x:f>
        <x:v>42.58974074074074</x:v>
      </x:c>
      <x:c r="E1553" s="5" t="n">
        <x:f>(ABS('03_Sensibilidades'!$C$30)*IF('03_Sensibilidades'!$C$30&lt;0,100-$K$674,$K$674)+ABS('03_Sensibilidades'!$C$31)*IF('03_Sensibilidades'!$C$31&lt;0,100-$K$672,$K$672)+ABS('03_Sensibilidades'!$C$32)*IF('03_Sensibilidades'!$C$32&lt;0,100-$K$680,$K$680)+ABS('03_Sensibilidades'!$C$33)*IF('03_Sensibilidades'!$C$33&lt;0,100-$K$683,$K$683))/(ABS('03_Sensibilidades'!$C$30)+ABS('03_Sensibilidades'!$C$31)+ABS('03_Sensibilidades'!$C$32)+ABS('03_Sensibilidades'!$C$33))</x:f>
        <x:v>42.874422222222215</x:v>
      </x:c>
      <x:c r="F1553" s="5" t="n">
        <x:f>(1-'00_Arquitectura'!$B$95)*D1553+'00_Arquitectura'!$B$95*E1553</x:f>
        <x:v>42.689379259259255</x:v>
      </x:c>
      <x:c r="G1553" s="5" t="n">
        <x:f>'02_Actores'!$I$12</x:f>
        <x:v>45</x:v>
      </x:c>
      <x:c r="H1553" s="5" t="n">
        <x:f>IF(OR(AND(F1553&lt;'00_Arquitectura'!$B$118,G1553&lt;'00_Arquitectura'!$B$119),F1553&lt;'00_Arquitectura'!$B$120),1,0)</x:f>
        <x:v>0</x:v>
      </x:c>
      <x:c r="I1553" s="5" t="n">
        <x:f>IF($I$1535=1,IF(OR(AND(F1553&lt;'00_Arquitectura'!$B$121,G1553&lt;'00_Arquitectura'!$B$122),F1553&lt;'00_Arquitectura'!$B$123),1,0),IF(AND(H1553=1,$H$1535=1),1,0))</x:f>
        <x:v>0</x:v>
      </x:c>
      <x:c r="J1553" s="5" t="n">
        <x:f>-I1553*1.5*'02_Actores'!$E$12/10</x:f>
        <x:v>0</x:v>
      </x:c>
      <x:c r="K1553" s="5" t="n">
        <x:f>$K$1547</x:f>
        <x:v>44.002642882527134</x:v>
      </x:c>
      <x:c r="L1553" s="5" t="str">
        <x:v>J programa offset para t+1; efecto sustituible y acotado, sin voto adicional.</x:v>
      </x:c>
    </x:row>
    <x:row r="1554" ht="42" customHeight="1">
      <x:c r="A1554" s="10" t="str">
        <x:v>S5_SEGURIDAD</x:v>
      </x:c>
      <x:c r="B1554" s="10" t="n">
        <x:v>4</x:v>
      </x:c>
      <x:c r="C1554" s="10" t="str">
        <x:v>estudiantes</x:v>
      </x:c>
      <x:c r="D1554" s="10" t="n">
        <x:f>$F$1536</x:f>
        <x:v>39.4049</x:v>
      </x:c>
      <x:c r="E1554" s="10" t="n">
        <x:f>(ABS('03_Sensibilidades'!$C$34)*IF('03_Sensibilidades'!$C$34&lt;0,100-$K$678,$K$678)+ABS('03_Sensibilidades'!$C$35)*IF('03_Sensibilidades'!$C$35&lt;0,100-$K$673,$K$673)+ABS('03_Sensibilidades'!$C$36)*IF('03_Sensibilidades'!$C$36&lt;0,100-$K$683,$K$683)+ABS('03_Sensibilidades'!$C$37)*IF('03_Sensibilidades'!$C$37&lt;0,100-$K$682,$K$682))/(ABS('03_Sensibilidades'!$C$34)+ABS('03_Sensibilidades'!$C$35)+ABS('03_Sensibilidades'!$C$36)+ABS('03_Sensibilidades'!$C$37))</x:f>
        <x:v>39.96</x:v>
      </x:c>
      <x:c r="F1554" s="10" t="n">
        <x:f>(1-'00_Arquitectura'!$B$95)*D1554+'00_Arquitectura'!$B$95*E1554</x:f>
        <x:v>39.599185</x:v>
      </x:c>
      <x:c r="G1554" s="10" t="n">
        <x:f>'02_Actores'!$I$13</x:f>
        <x:v>45</x:v>
      </x:c>
      <x:c r="H1554" s="10" t="n">
        <x:f>IF(OR(AND(F1554&lt;'00_Arquitectura'!$B$118,G1554&lt;'00_Arquitectura'!$B$119),F1554&lt;'00_Arquitectura'!$B$120),1,0)</x:f>
        <x:v>0</x:v>
      </x:c>
      <x:c r="I1554" s="10" t="n">
        <x:f>IF($I$1536=1,IF(OR(AND(F1554&lt;'00_Arquitectura'!$B$121,G1554&lt;'00_Arquitectura'!$B$122),F1554&lt;'00_Arquitectura'!$B$123),1,0),IF(AND(H1554=1,$H$1536=1),1,0))</x:f>
        <x:v>0</x:v>
      </x:c>
      <x:c r="J1554" s="10" t="n">
        <x:f>0</x:f>
        <x:v>0</x:v>
      </x:c>
      <x:c r="K1554" s="10" t="n">
        <x:f>$K$1547</x:f>
        <x:v>44.002642882527134</x:v>
      </x:c>
      <x:c r="L1554" s="10" t="str">
        <x:v>Conflicto activo captura menor eficacia en políticas ejecutadas en t+1. Magnitud0 en J: no es un offset directo de indicador.</x:v>
      </x:c>
    </x:row>
    <x:row r="1555" ht="34" customHeight="1">
      <x:c r="A1555" s="5" t="str">
        <x:v>S5_SEGURIDAD</x:v>
      </x:c>
      <x:c r="B1555" s="5" t="n">
        <x:v>4</x:v>
      </x:c>
      <x:c r="C1555" s="5" t="str">
        <x:v>docentes</x:v>
      </x:c>
      <x:c r="D1555" s="5" t="n">
        <x:f>$F$1537</x:f>
        <x:v>42.829130434782606</x:v>
      </x:c>
      <x:c r="E1555" s="5" t="n">
        <x:f>(ABS('03_Sensibilidades'!$C$38)*IF('03_Sensibilidades'!$C$38&lt;0,100-$K$678,$K$678)+ABS('03_Sensibilidades'!$C$39)*IF('03_Sensibilidades'!$C$39&lt;0,100-$K$673,$K$673)+ABS('03_Sensibilidades'!$C$40)*IF('03_Sensibilidades'!$C$40&lt;0,100-$K$683,$K$683))/(ABS('03_Sensibilidades'!$C$38)+ABS('03_Sensibilidades'!$C$39)+ABS('03_Sensibilidades'!$C$40))</x:f>
        <x:v>43.17391304347826</x:v>
      </x:c>
      <x:c r="F1555" s="5" t="n">
        <x:f>(1-'00_Arquitectura'!$B$95)*D1555+'00_Arquitectura'!$B$95*E1555</x:f>
        <x:v>42.94980434782609</x:v>
      </x:c>
      <x:c r="G1555" s="5" t="n">
        <x:f>'02_Actores'!$I$14</x:f>
        <x:v>45</x:v>
      </x:c>
      <x:c r="H1555" s="5" t="n">
        <x:f>IF(OR(AND(F1555&lt;'00_Arquitectura'!$B$118,G1555&lt;'00_Arquitectura'!$B$119),F1555&lt;'00_Arquitectura'!$B$120),1,0)</x:f>
        <x:v>0</x:v>
      </x:c>
      <x:c r="I1555" s="5" t="n">
        <x:f>IF($I$1537=1,IF(OR(AND(F1555&lt;'00_Arquitectura'!$B$121,G1555&lt;'00_Arquitectura'!$B$122),F1555&lt;'00_Arquitectura'!$B$123),1,0),IF(AND(H1555=1,$H$1537=1),1,0))</x:f>
        <x:v>0</x:v>
      </x:c>
      <x:c r="J1555" s="5" t="n">
        <x:f>-I1555*1.5*'02_Actores'!$E$14/10</x:f>
        <x:v>0</x:v>
      </x:c>
      <x:c r="K1555" s="5" t="n">
        <x:f>$K$1547</x:f>
        <x:v>44.002642882527134</x:v>
      </x:c>
      <x:c r="L1555" s="5" t="str">
        <x:v>J programa offset para t+1; efecto sustituible y acotado, sin voto adicional.</x:v>
      </x:c>
    </x:row>
    <x:row r="1556" ht="34" customHeight="1">
      <x:c r="A1556" s="10" t="str">
        <x:v>S5_SEGURIDAD</x:v>
      </x:c>
      <x:c r="B1556" s="10" t="n">
        <x:v>4</x:v>
      </x:c>
      <x:c r="C1556" s="10" t="str">
        <x:v>cientificos</x:v>
      </x:c>
      <x:c r="D1556" s="10" t="n">
        <x:f>$F$1538</x:f>
        <x:v>38.64034090909091</x:v>
      </x:c>
      <x:c r="E1556" s="10" t="n">
        <x:f>(ABS('03_Sensibilidades'!$C$41)*IF('03_Sensibilidades'!$C$41&lt;0,100-$K$682,$K$682)+ABS('03_Sensibilidades'!$C$42)*IF('03_Sensibilidades'!$C$42&lt;0,100-$K$678,$K$678)+ABS('03_Sensibilidades'!$C$43)*IF('03_Sensibilidades'!$C$43&lt;0,100-$K$683,$K$683))/(ABS('03_Sensibilidades'!$C$41)+ABS('03_Sensibilidades'!$C$42)+ABS('03_Sensibilidades'!$C$43))</x:f>
        <x:v>39.09090909090909</x:v>
      </x:c>
      <x:c r="F1556" s="10" t="n">
        <x:f>(1-'00_Arquitectura'!$B$95)*D1556+'00_Arquitectura'!$B$95*E1556</x:f>
        <x:v>38.79803977272727</x:v>
      </x:c>
      <x:c r="G1556" s="10" t="n">
        <x:f>'02_Actores'!$I$15</x:f>
        <x:v>45</x:v>
      </x:c>
      <x:c r="H1556" s="10" t="n">
        <x:f>IF(OR(AND(F1556&lt;'00_Arquitectura'!$B$118,G1556&lt;'00_Arquitectura'!$B$119),F1556&lt;'00_Arquitectura'!$B$120),1,0)</x:f>
        <x:v>0</x:v>
      </x:c>
      <x:c r="I1556" s="10" t="n">
        <x:f>IF($I$1538=1,IF(OR(AND(F1556&lt;'00_Arquitectura'!$B$121,G1556&lt;'00_Arquitectura'!$B$122),F1556&lt;'00_Arquitectura'!$B$123),1,0),IF(AND(H1556=1,$H$1538=1),1,0))</x:f>
        <x:v>0</x:v>
      </x:c>
      <x:c r="J1556" s="10" t="n">
        <x:f>-I1556*1.5*'02_Actores'!$E$15/10</x:f>
        <x:v>0</x:v>
      </x:c>
      <x:c r="K1556" s="10" t="n">
        <x:f>$K$1547</x:f>
        <x:v>44.002642882527134</x:v>
      </x:c>
      <x:c r="L1556" s="10" t="str">
        <x:v>J programa offset para t+1; efecto sustituible y acotado, sin voto adicional.</x:v>
      </x:c>
    </x:row>
    <x:row r="1557" ht="34" customHeight="1">
      <x:c r="A1557" s="5" t="str">
        <x:v>S5_SEGURIDAD</x:v>
      </x:c>
      <x:c r="B1557" s="5" t="n">
        <x:v>4</x:v>
      </x:c>
      <x:c r="C1557" s="5" t="str">
        <x:v>organizaciones</x:v>
      </x:c>
      <x:c r="D1557" s="5" t="n">
        <x:f>$F$1539</x:f>
        <x:v>42.86026785714286</x:v>
      </x:c>
      <x:c r="E1557" s="5" t="n">
        <x:f>(ABS('03_Sensibilidades'!$C$44)*IF('03_Sensibilidades'!$C$44&lt;0,100-$K$680,$K$680)+ABS('03_Sensibilidades'!$C$45)*IF('03_Sensibilidades'!$C$45&lt;0,100-$K$679,$K$679)+ABS('03_Sensibilidades'!$C$46)*IF('03_Sensibilidades'!$C$46&lt;0,100-$K$672,$K$672)+ABS('03_Sensibilidades'!$C$47)*IF('03_Sensibilidades'!$C$47&lt;0,100-$K$683,$K$683))/(ABS('03_Sensibilidades'!$C$44)+ABS('03_Sensibilidades'!$C$45)+ABS('03_Sensibilidades'!$C$46)+ABS('03_Sensibilidades'!$C$47))</x:f>
        <x:v>43.21325714285714</x:v>
      </x:c>
      <x:c r="F1557" s="5" t="n">
        <x:f>(1-'00_Arquitectura'!$B$95)*D1557+'00_Arquitectura'!$B$95*E1557</x:f>
        <x:v>42.983814107142855</x:v>
      </x:c>
      <x:c r="G1557" s="5" t="n">
        <x:f>'02_Actores'!$I$16</x:f>
        <x:v>45</x:v>
      </x:c>
      <x:c r="H1557" s="5" t="n">
        <x:f>IF(OR(AND(F1557&lt;'00_Arquitectura'!$B$118,G1557&lt;'00_Arquitectura'!$B$119),F1557&lt;'00_Arquitectura'!$B$120),1,0)</x:f>
        <x:v>0</x:v>
      </x:c>
      <x:c r="I1557" s="5" t="n">
        <x:f>IF($I$1539=1,IF(OR(AND(F1557&lt;'00_Arquitectura'!$B$121,G1557&lt;'00_Arquitectura'!$B$122),F1557&lt;'00_Arquitectura'!$B$123),1,0),IF(AND(H1557=1,$H$1539=1),1,0))</x:f>
        <x:v>0</x:v>
      </x:c>
      <x:c r="J1557" s="5" t="n">
        <x:f>-I1557*1.5*'02_Actores'!$E$16/10</x:f>
        <x:v>0</x:v>
      </x:c>
      <x:c r="K1557" s="5" t="n">
        <x:f>$K$1547</x:f>
        <x:v>44.002642882527134</x:v>
      </x:c>
      <x:c r="L1557" s="5" t="str">
        <x:v>J programa offset para t+1; efecto sustituible y acotado, sin voto adicional.</x:v>
      </x:c>
    </x:row>
    <x:row r="1558" ht="42" customHeight="1">
      <x:c r="A1558" s="10" t="str">
        <x:v>S5_SEGURIDAD</x:v>
      </x:c>
      <x:c r="B1558" s="10" t="n">
        <x:v>4</x:v>
      </x:c>
      <x:c r="C1558" s="10" t="str">
        <x:v>ddhh</x:v>
      </x:c>
      <x:c r="D1558" s="10" t="n">
        <x:f>$F$1540</x:f>
        <x:v>30.635624999999997</x:v>
      </x:c>
      <x:c r="E1558" s="10" t="n">
        <x:f>(ABS('03_Sensibilidades'!$C$48)*IF('03_Sensibilidades'!$C$48&lt;0,100-$K$683,$K$683)+ABS('03_Sensibilidades'!$C$49)*IF('03_Sensibilidades'!$C$49&lt;0,100-$K$681,$K$681)+ABS('03_Sensibilidades'!$C$50)*IF('03_Sensibilidades'!$C$50&lt;0,100-$K$680,$K$680))/(ABS('03_Sensibilidades'!$C$48)+ABS('03_Sensibilidades'!$C$49)+ABS('03_Sensibilidades'!$C$50))</x:f>
        <x:v>31.470588235294116</x:v>
      </x:c>
      <x:c r="F1558" s="10" t="n">
        <x:f>(1-'00_Arquitectura'!$B$95)*D1558+'00_Arquitectura'!$B$95*E1558</x:f>
        <x:v>30.927862132352942</x:v>
      </x:c>
      <x:c r="G1558" s="10" t="n">
        <x:f>30</x:f>
        <x:v>30</x:v>
      </x:c>
      <x:c r="H1558" s="10" t="n">
        <x:f>IF(OR(AND(F1558&lt;'00_Arquitectura'!$B$118,G1558&lt;'00_Arquitectura'!$B$119),F1558&lt;'00_Arquitectura'!$B$120),1,0)</x:f>
        <x:v>1</x:v>
      </x:c>
      <x:c r="I1558" s="10" t="n">
        <x:f>IF($I$1540=1,IF(OR(AND(F1558&lt;'00_Arquitectura'!$B$121,G1558&lt;'00_Arquitectura'!$B$122),F1558&lt;'00_Arquitectura'!$B$123),1,0),IF(AND(H1558=1,$H$1540=1),1,0))</x:f>
        <x:v>1</x:v>
      </x:c>
      <x:c r="J1558" s="10" t="n">
        <x:f>0</x:f>
        <x:v>0</x:v>
      </x:c>
      <x:c r="K1558" s="10" t="n">
        <x:f>$K$1547</x:f>
        <x:v>44.002642882527134</x:v>
      </x:c>
      <x:c r="L1558" s="10" t="str">
        <x:v>Conflicto activo captura menor eficacia en políticas ejecutadas en t+1. Magnitud0 en J: no es un offset directo de indicador.</x:v>
      </x:c>
    </x:row>
    <x:row r="1559" ht="42" customHeight="1">
      <x:c r="A1559" s="5" t="str">
        <x:v>S5_SEGURIDAD</x:v>
      </x:c>
      <x:c r="B1559" s="5" t="n">
        <x:v>4</x:v>
      </x:c>
      <x:c r="C1559" s="5" t="str">
        <x:v>ambientalistas</x:v>
      </x:c>
      <x:c r="D1559" s="5" t="n">
        <x:f>$F$1541</x:f>
        <x:v>41.671527777777776</x:v>
      </x:c>
      <x:c r="E1559" s="5" t="n">
        <x:f>(ABS('03_Sensibilidades'!$C$51)*IF('03_Sensibilidades'!$C$51&lt;0,100-$K$684,$K$684)+ABS('03_Sensibilidades'!$C$52)*IF('03_Sensibilidades'!$C$52&lt;0,100-$K$683,$K$683)+ABS('03_Sensibilidades'!$C$53)*IF('03_Sensibilidades'!$C$53&lt;0,100-$K$679,$K$679))/(ABS('03_Sensibilidades'!$C$51)+ABS('03_Sensibilidades'!$C$52)+ABS('03_Sensibilidades'!$C$53))</x:f>
        <x:v>42.22222222222222</x:v>
      </x:c>
      <x:c r="F1559" s="5" t="n">
        <x:f>(1-'00_Arquitectura'!$B$95)*D1559+'00_Arquitectura'!$B$95*E1559</x:f>
        <x:v>41.86427083333333</x:v>
      </x:c>
      <x:c r="G1559" s="5" t="n">
        <x:f>'02_Actores'!$I$18</x:f>
        <x:v>45</x:v>
      </x:c>
      <x:c r="H1559" s="5" t="n">
        <x:f>IF(OR(AND(F1559&lt;'00_Arquitectura'!$B$118,G1559&lt;'00_Arquitectura'!$B$119),F1559&lt;'00_Arquitectura'!$B$120),1,0)</x:f>
        <x:v>0</x:v>
      </x:c>
      <x:c r="I1559" s="5" t="n">
        <x:f>IF($I$1541=1,IF(OR(AND(F1559&lt;'00_Arquitectura'!$B$121,G1559&lt;'00_Arquitectura'!$B$122),F1559&lt;'00_Arquitectura'!$B$123),1,0),IF(AND(H1559=1,$H$1541=1),1,0))</x:f>
        <x:v>0</x:v>
      </x:c>
      <x:c r="J1559" s="5" t="n">
        <x:f>0</x:f>
        <x:v>0</x:v>
      </x:c>
      <x:c r="K1559" s="5" t="n">
        <x:f>$K$1547</x:f>
        <x:v>44.002642882527134</x:v>
      </x:c>
      <x:c r="L1559" s="5" t="str">
        <x:v>Conflicto activo captura menor eficacia en políticas ejecutadas en t+1. Magnitud0 en J: no es un offset directo de indicador.</x:v>
      </x:c>
    </x:row>
    <x:row r="1560" ht="34" customHeight="1">
      <x:c r="A1560" s="10" t="str">
        <x:v>S5_SEGURIDAD</x:v>
      </x:c>
      <x:c r="B1560" s="10" t="n">
        <x:v>4</x:v>
      </x:c>
      <x:c r="C1560" s="10" t="str">
        <x:v>cultura</x:v>
      </x:c>
      <x:c r="D1560" s="10" t="n">
        <x:f>$F$1542</x:f>
        <x:v>36.06</x:v>
      </x:c>
      <x:c r="E1560" s="10" t="n">
        <x:f>(ABS('03_Sensibilidades'!$C$54)*IF('03_Sensibilidades'!$C$54&lt;0,100-$K$683,$K$683)+ABS('03_Sensibilidades'!$C$55)*IF('03_Sensibilidades'!$C$55&lt;0,100-$K$678,$K$678)+ABS('03_Sensibilidades'!$C$56)*IF('03_Sensibilidades'!$C$56&lt;0,100-$K$673,$K$673))/(ABS('03_Sensibilidades'!$C$54)+ABS('03_Sensibilidades'!$C$55)+ABS('03_Sensibilidades'!$C$56))</x:f>
        <x:v>36.89473684210526</x:v>
      </x:c>
      <x:c r="F1560" s="10" t="n">
        <x:f>(1-'00_Arquitectura'!$B$95)*D1560+'00_Arquitectura'!$B$95*E1560</x:f>
        <x:v>36.35215789473685</x:v>
      </x:c>
      <x:c r="G1560" s="10" t="n">
        <x:f>'02_Actores'!$I$19</x:f>
        <x:v>45</x:v>
      </x:c>
      <x:c r="H1560" s="10" t="n">
        <x:f>IF(OR(AND(F1560&lt;'00_Arquitectura'!$B$118,G1560&lt;'00_Arquitectura'!$B$119),F1560&lt;'00_Arquitectura'!$B$120),1,0)</x:f>
        <x:v>0</x:v>
      </x:c>
      <x:c r="I1560" s="10" t="n">
        <x:f>IF($I$1542=1,IF(OR(AND(F1560&lt;'00_Arquitectura'!$B$121,G1560&lt;'00_Arquitectura'!$B$122),F1560&lt;'00_Arquitectura'!$B$123),1,0),IF(AND(H1560=1,$H$1542=1),1,0))</x:f>
        <x:v>0</x:v>
      </x:c>
      <x:c r="J1560" s="10" t="n">
        <x:f>0</x:f>
        <x:v>0</x:v>
      </x:c>
      <x:c r="K1560" s="10" t="n">
        <x:f>$K$1547</x:f>
        <x:v>44.002642882527134</x:v>
      </x:c>
      <x:c r="L1560" s="10" t="str">
        <x:v>Conflicto activo encarece agenda del turno siguiente; sin castigo electoral adicional.</x:v>
      </x:c>
    </x:row>
    <x:row r="1561" ht="34" customHeight="1">
      <x:c r="A1561" s="5" t="str">
        <x:v>S5_SEGURIDAD</x:v>
      </x:c>
      <x:c r="B1561" s="5" t="n">
        <x:v>4</x:v>
      </x:c>
      <x:c r="C1561" s="5" t="str">
        <x:v>oficialismo</x:v>
      </x:c>
      <x:c r="D1561" s="5" t="n">
        <x:f>$F$1543</x:f>
        <x:v>43.5604</x:v>
      </x:c>
      <x:c r="E1561" s="5" t="n">
        <x:f>(ABS('03_Sensibilidades'!$C$57)*IF('03_Sensibilidades'!$C$57&lt;0,100-$K$683,$K$683)+ABS('03_Sensibilidades'!$C$58)*IF('03_Sensibilidades'!$C$58&lt;0,100-$K$672,$K$672)+ABS('03_Sensibilidades'!$C$59)*IF('03_Sensibilidades'!$C$59&lt;0,100-$K$675,$K$675)+ABS('03_Sensibilidades'!$C$60)*IF('03_Sensibilidades'!$C$60&lt;0,100-$K$680,$K$680))/(ABS('03_Sensibilidades'!$C$57)+ABS('03_Sensibilidades'!$C$58)+ABS('03_Sensibilidades'!$C$59)+ABS('03_Sensibilidades'!$C$60))</x:f>
        <x:v>44.198464</x:v>
      </x:c>
      <x:c r="F1561" s="5" t="n">
        <x:f>(1-'00_Arquitectura'!$B$95)*D1561+'00_Arquitectura'!$B$95*E1561</x:f>
        <x:v>43.7837224</x:v>
      </x:c>
      <x:c r="G1561" s="5" t="n">
        <x:f>'02_Actores'!$I$20</x:f>
        <x:v>60</x:v>
      </x:c>
      <x:c r="H1561" s="5" t="n">
        <x:f>IF(OR(AND(F1561&lt;'00_Arquitectura'!$B$118,G1561&lt;'00_Arquitectura'!$B$119),F1561&lt;'00_Arquitectura'!$B$120),1,0)</x:f>
        <x:v>0</x:v>
      </x:c>
      <x:c r="I1561" s="5" t="n">
        <x:f>IF($I$1543=1,IF(OR(AND(F1561&lt;'00_Arquitectura'!$B$121,G1561&lt;'00_Arquitectura'!$B$122),F1561&lt;'00_Arquitectura'!$B$123),1,0),IF(AND(H1561=1,$H$1543=1),1,0))</x:f>
        <x:v>0</x:v>
      </x:c>
      <x:c r="J1561" s="5" t="n">
        <x:f>0</x:f>
        <x:v>0</x:v>
      </x:c>
      <x:c r="K1561" s="5" t="n">
        <x:f>$K$1547</x:f>
        <x:v>44.002642882527134</x:v>
      </x:c>
      <x:c r="L1561" s="5" t="str">
        <x:v>No aporta E_social; S y R alimentan disposición a leyes según07.</x:v>
      </x:c>
    </x:row>
    <x:row r="1562" ht="34" customHeight="1">
      <x:c r="A1562" s="10" t="str">
        <x:v>S5_SEGURIDAD</x:v>
      </x:c>
      <x:c r="B1562" s="10" t="n">
        <x:v>4</x:v>
      </x:c>
      <x:c r="C1562" s="10" t="str">
        <x:v>aliados</x:v>
      </x:c>
      <x:c r="D1562" s="10" t="n">
        <x:f>$F$1544</x:f>
        <x:v>39.58869047619047</x:v>
      </x:c>
      <x:c r="E1562" s="10" t="n">
        <x:f>(ABS('03_Sensibilidades'!$C$61)*IF('03_Sensibilidades'!$C$61&lt;0,100-$K$683,$K$683)+ABS('03_Sensibilidades'!$C$62)*IF('03_Sensibilidades'!$C$62&lt;0,100-$K$675,$K$675)+ABS('03_Sensibilidades'!$C$63)*IF('03_Sensibilidades'!$C$63&lt;0,100-$K$677,$K$677))/(ABS('03_Sensibilidades'!$C$61)+ABS('03_Sensibilidades'!$C$62)+ABS('03_Sensibilidades'!$C$63))</x:f>
        <x:v>40.57142857142857</x:v>
      </x:c>
      <x:c r="F1562" s="10" t="n">
        <x:f>(1-'00_Arquitectura'!$B$95)*D1562+'00_Arquitectura'!$B$95*E1562</x:f>
        <x:v>39.932648809523805</x:v>
      </x:c>
      <x:c r="G1562" s="10" t="n">
        <x:f>'02_Actores'!$I$21</x:f>
        <x:v>45</x:v>
      </x:c>
      <x:c r="H1562" s="10" t="n">
        <x:f>IF(OR(AND(F1562&lt;'00_Arquitectura'!$B$118,G1562&lt;'00_Arquitectura'!$B$119),F1562&lt;'00_Arquitectura'!$B$120),1,0)</x:f>
        <x:v>0</x:v>
      </x:c>
      <x:c r="I1562" s="10" t="n">
        <x:f>IF($I$1544=1,IF(OR(AND(F1562&lt;'00_Arquitectura'!$B$121,G1562&lt;'00_Arquitectura'!$B$122),F1562&lt;'00_Arquitectura'!$B$123),1,0),IF(AND(H1562=1,$H$1544=1),1,0))</x:f>
        <x:v>0</x:v>
      </x:c>
      <x:c r="J1562" s="10" t="n">
        <x:f>0</x:f>
        <x:v>0</x:v>
      </x:c>
      <x:c r="K1562" s="10" t="n">
        <x:f>$K$1547</x:f>
        <x:v>44.002642882527134</x:v>
      </x:c>
      <x:c r="L1562" s="10" t="str">
        <x:v>No aporta E_social; S y R alimentan disposición a leyes según07.</x:v>
      </x:c>
    </x:row>
    <x:row r="1563" ht="34" customHeight="1">
      <x:c r="A1563" s="5" t="str">
        <x:v>S5_SEGURIDAD</x:v>
      </x:c>
      <x:c r="B1563" s="5" t="n">
        <x:v>4</x:v>
      </x:c>
      <x:c r="C1563" s="5" t="str">
        <x:v>oposicion</x:v>
      </x:c>
      <x:c r="D1563" s="5" t="n">
        <x:f>$F$1545</x:f>
        <x:v>36.579375</x:v>
      </x:c>
      <x:c r="E1563" s="5" t="n">
        <x:f>(ABS('03_Sensibilidades'!$C$64)*IF('03_Sensibilidades'!$C$64&lt;0,100-$K$683,$K$683)+ABS('03_Sensibilidades'!$C$65)*IF('03_Sensibilidades'!$C$65&lt;0,100-$K$675,$K$675)+ABS('03_Sensibilidades'!$C$66)*IF('03_Sensibilidades'!$C$66&lt;0,100-$K$681,$K$681))/(ABS('03_Sensibilidades'!$C$64)+ABS('03_Sensibilidades'!$C$65)+ABS('03_Sensibilidades'!$C$66))</x:f>
        <x:v>37.4</x:v>
      </x:c>
      <x:c r="F1563" s="5" t="n">
        <x:f>(1-'00_Arquitectura'!$B$95)*D1563+'00_Arquitectura'!$B$95*E1563</x:f>
        <x:v>36.86659375</x:v>
      </x:c>
      <x:c r="G1563" s="5" t="n">
        <x:f>'02_Actores'!$I$22</x:f>
        <x:v>30</x:v>
      </x:c>
      <x:c r="H1563" s="5" t="n">
        <x:f>IF(OR(AND(F1563&lt;'00_Arquitectura'!$B$118,G1563&lt;'00_Arquitectura'!$B$119),F1563&lt;'00_Arquitectura'!$B$120),1,0)</x:f>
        <x:v>0</x:v>
      </x:c>
      <x:c r="I1563" s="5" t="n">
        <x:f>IF($I$1545=1,IF(OR(AND(F1563&lt;'00_Arquitectura'!$B$121,G1563&lt;'00_Arquitectura'!$B$122),F1563&lt;'00_Arquitectura'!$B$123),1,0),IF(AND(H1563=1,$H$1545=1),1,0))</x:f>
        <x:v>0</x:v>
      </x:c>
      <x:c r="J1563" s="5" t="n">
        <x:f>0</x:f>
        <x:v>0</x:v>
      </x:c>
      <x:c r="K1563" s="5" t="n">
        <x:f>$K$1547</x:f>
        <x:v>44.002642882527134</x:v>
      </x:c>
      <x:c r="L1563" s="5" t="str">
        <x:v>No aporta E_social; S y R alimentan disposición a leyes según07.</x:v>
      </x:c>
    </x:row>
    <x:row r="1564" ht="42" customHeight="1">
      <x:c r="A1564" s="10" t="str">
        <x:v>S5_SEGURIDAD</x:v>
      </x:c>
      <x:c r="B1564" s="10" t="n">
        <x:v>4</x:v>
      </x:c>
      <x:c r="C1564" s="10" t="str">
        <x:v>gobernadores</x:v>
      </x:c>
      <x:c r="D1564" s="10" t="n">
        <x:f>$F$1546</x:f>
        <x:v>49.96224137931035</x:v>
      </x:c>
      <x:c r="E1564" s="10" t="n">
        <x:f>(ABS('03_Sensibilidades'!$C$67)*IF('03_Sensibilidades'!$C$67&lt;0,100-$K$677,$K$677)+ABS('03_Sensibilidades'!$C$68)*IF('03_Sensibilidades'!$C$68&lt;0,100-$K$679,$K$679)+ABS('03_Sensibilidades'!$C$69)*IF('03_Sensibilidades'!$C$69&lt;0,100-$K$678,$K$678)+ABS('03_Sensibilidades'!$C$70)*IF('03_Sensibilidades'!$C$70&lt;0,100-$K$675,$K$675))/(ABS('03_Sensibilidades'!$C$67)+ABS('03_Sensibilidades'!$C$68)+ABS('03_Sensibilidades'!$C$69)+ABS('03_Sensibilidades'!$C$70))</x:f>
        <x:v>50.10344827586207</x:v>
      </x:c>
      <x:c r="F1564" s="10" t="n">
        <x:f>(1-'00_Arquitectura'!$B$95)*D1564+'00_Arquitectura'!$B$95*E1564</x:f>
        <x:v>50.01166379310345</x:v>
      </x:c>
      <x:c r="G1564" s="10" t="n">
        <x:f>'02_Actores'!$I$23</x:f>
        <x:v>45</x:v>
      </x:c>
      <x:c r="H1564" s="10" t="n">
        <x:f>IF(OR(AND(F1564&lt;'00_Arquitectura'!$B$118,G1564&lt;'00_Arquitectura'!$B$119),F1564&lt;'00_Arquitectura'!$B$120),1,0)</x:f>
        <x:v>0</x:v>
      </x:c>
      <x:c r="I1564" s="10" t="n">
        <x:f>IF($I$1546=1,IF(OR(AND(F1564&lt;'00_Arquitectura'!$B$121,G1564&lt;'00_Arquitectura'!$B$122),F1564&lt;'00_Arquitectura'!$B$123),1,0),IF(AND(H1564=1,$H$1546=1),1,0))</x:f>
        <x:v>0</x:v>
      </x:c>
      <x:c r="J1564" s="10" t="n">
        <x:f>0</x:f>
        <x:v>0</x:v>
      </x:c>
      <x:c r="K1564" s="10" t="n">
        <x:f>$K$1547</x:f>
        <x:v>44.002642882527134</x:v>
      </x:c>
      <x:c r="L1564" s="10" t="str">
        <x:v>Conflicto activo captura menor eficacia en políticas ejecutadas en t+1. Magnitud0 en J: no es un offset directo de indicador.</x:v>
      </x:c>
    </x:row>
    <x:row r="1565" ht="34" customHeight="1">
      <x:c r="A1565" s="5" t="str">
        <x:v>S5_SEGURIDAD</x:v>
      </x:c>
      <x:c r="B1565" s="5" t="n">
        <x:v>5</x:v>
      </x:c>
      <x:c r="C1565" s="5" t="str">
        <x:v>industria</x:v>
      </x:c>
      <x:c r="D1565" s="5" t="n">
        <x:f>$F$1547</x:f>
        <x:v>46.47165037037037</x:v>
      </x:c>
      <x:c r="E1565" s="5" t="n">
        <x:f>(ABS('03_Sensibilidades'!$C$6)*IF('03_Sensibilidades'!$C$6&lt;0,100-$K$688,$K$688)+ABS('03_Sensibilidades'!$C$7)*IF('03_Sensibilidades'!$C$7&lt;0,100-$K$686,$K$686)+ABS('03_Sensibilidades'!$C$8)*IF('03_Sensibilidades'!$C$8&lt;0,100-$K$691,$K$691)+ABS('03_Sensibilidades'!$C$9)*IF('03_Sensibilidades'!$C$9&lt;0,100-$K$690,$K$690))/(ABS('03_Sensibilidades'!$C$6)+ABS('03_Sensibilidades'!$C$7)+ABS('03_Sensibilidades'!$C$8)+ABS('03_Sensibilidades'!$C$9))</x:f>
        <x:v>46.466290370370366</x:v>
      </x:c>
      <x:c r="F1565" s="5" t="n">
        <x:f>(1-'00_Arquitectura'!$B$95)*D1565+'00_Arquitectura'!$B$95*E1565</x:f>
        <x:v>46.46977437037037</x:v>
      </x:c>
      <x:c r="G1565" s="5" t="n">
        <x:f>'02_Actores'!$I$6</x:f>
        <x:v>45</x:v>
      </x:c>
      <x:c r="H1565" s="5" t="n">
        <x:f>IF(OR(AND(F1565&lt;'00_Arquitectura'!$B$118,G1565&lt;'00_Arquitectura'!$B$119),F1565&lt;'00_Arquitectura'!$B$120),1,0)</x:f>
        <x:v>0</x:v>
      </x:c>
      <x:c r="I1565" s="5" t="n">
        <x:f>IF($I$1547=1,IF(OR(AND(F1565&lt;'00_Arquitectura'!$B$121,G1565&lt;'00_Arquitectura'!$B$122),F1565&lt;'00_Arquitectura'!$B$123),1,0),IF(AND(H1565=1,$H$1547=1),1,0))</x:f>
        <x:v>0</x:v>
      </x:c>
      <x:c r="J1565" s="5" t="n">
        <x:f>-I1565*2*'02_Actores'!$E$6/10</x:f>
        <x:v>0</x:v>
      </x:c>
      <x:c r="K1565" s="5" t="n">
        <x:f>($F$1565*'02_Actores'!$F$6+$F$1566*'02_Actores'!$F$7+$F$1567*'02_Actores'!$F$8+$F$1568*'02_Actores'!$F$9+$F$1569*'02_Actores'!$F$10+$F$1570*'02_Actores'!$F$11+$F$1571*'02_Actores'!$F$12+$F$1572*'02_Actores'!$F$13+$F$1573*'02_Actores'!$F$14+$F$1574*'02_Actores'!$F$15+$F$1575*'02_Actores'!$F$16+$F$1576*'02_Actores'!$F$17+$F$1577*'02_Actores'!$F$18+$F$1578*'02_Actores'!$F$19)/('02_Actores'!$F$6+'02_Actores'!$F$7+'02_Actores'!$F$8+'02_Actores'!$F$9+'02_Actores'!$F$10+'02_Actores'!$F$11+'02_Actores'!$F$12+'02_Actores'!$F$13+'02_Actores'!$F$14+'02_Actores'!$F$15+'02_Actores'!$F$16+'02_Actores'!$F$17+'02_Actores'!$F$18+'02_Actores'!$F$19)</x:f>
        <x:v>44.125045485772</x:v>
      </x:c>
      <x:c r="L1565" s="5" t="str">
        <x:v>J programa offset para t+1; efecto sustituible y acotado, sin voto adicional.</x:v>
      </x:c>
    </x:row>
    <x:row r="1566" ht="34" customHeight="1">
      <x:c r="A1566" s="10" t="str">
        <x:v>S5_SEGURIDAD</x:v>
      </x:c>
      <x:c r="B1566" s="10" t="n">
        <x:v>5</x:v>
      </x:c>
      <x:c r="C1566" s="10" t="str">
        <x:v>agro</x:v>
      </x:c>
      <x:c r="D1566" s="10" t="n">
        <x:f>$F$1548</x:f>
        <x:v>45.887232142857144</x:v>
      </x:c>
      <x:c r="E1566" s="10" t="n">
        <x:f>(ABS('03_Sensibilidades'!$C$10)*IF('03_Sensibilidades'!$C$10&lt;0,100-$K$690,$K$690)+ABS('03_Sensibilidades'!$C$11)*IF('03_Sensibilidades'!$C$11&lt;0,100-$K$691,$K$691)+ABS('03_Sensibilidades'!$C$12)*IF('03_Sensibilidades'!$C$12&lt;0,100-$K$698,$K$698)+ABS('03_Sensibilidades'!$C$13)*IF('03_Sensibilidades'!$C$13&lt;0,100-$K$688,$K$688))/(ABS('03_Sensibilidades'!$C$10)+ABS('03_Sensibilidades'!$C$11)+ABS('03_Sensibilidades'!$C$12)+ABS('03_Sensibilidades'!$C$13))</x:f>
        <x:v>45.88511607142857</x:v>
      </x:c>
      <x:c r="F1566" s="10" t="n">
        <x:f>(1-'00_Arquitectura'!$B$95)*D1566+'00_Arquitectura'!$B$95*E1566</x:f>
        <x:v>45.88649151785714</x:v>
      </x:c>
      <x:c r="G1566" s="10" t="n">
        <x:f>'02_Actores'!$I$7</x:f>
        <x:v>45</x:v>
      </x:c>
      <x:c r="H1566" s="10" t="n">
        <x:f>IF(OR(AND(F1566&lt;'00_Arquitectura'!$B$118,G1566&lt;'00_Arquitectura'!$B$119),F1566&lt;'00_Arquitectura'!$B$120),1,0)</x:f>
        <x:v>0</x:v>
      </x:c>
      <x:c r="I1566" s="10" t="n">
        <x:f>IF($I$1548=1,IF(OR(AND(F1566&lt;'00_Arquitectura'!$B$121,G1566&lt;'00_Arquitectura'!$B$122),F1566&lt;'00_Arquitectura'!$B$123),1,0),IF(AND(H1566=1,$H$1548=1),1,0))</x:f>
        <x:v>0</x:v>
      </x:c>
      <x:c r="J1566" s="10" t="n">
        <x:f>-I1566*2*'02_Actores'!$E$7/10</x:f>
        <x:v>0</x:v>
      </x:c>
      <x:c r="K1566" s="10" t="n">
        <x:f>$K$1565</x:f>
        <x:v>44.125045485772</x:v>
      </x:c>
      <x:c r="L1566" s="10" t="str">
        <x:v>J programa offset para t+1; efecto sustituible y acotado, sin voto adicional.</x:v>
      </x:c>
    </x:row>
    <x:row r="1567" ht="34" customHeight="1">
      <x:c r="A1567" s="5" t="str">
        <x:v>S5_SEGURIDAD</x:v>
      </x:c>
      <x:c r="B1567" s="5" t="n">
        <x:v>5</x:v>
      </x:c>
      <x:c r="C1567" s="5" t="str">
        <x:v>financiero</x:v>
      </x:c>
      <x:c r="D1567" s="5" t="n">
        <x:f>$F$1549</x:f>
        <x:v>50.10995689655172</x:v>
      </x:c>
      <x:c r="E1567" s="5" t="n">
        <x:f>(ABS('03_Sensibilidades'!$C$14)*IF('03_Sensibilidades'!$C$14&lt;0,100-$K$689,$K$689)+ABS('03_Sensibilidades'!$C$15)*IF('03_Sensibilidades'!$C$15&lt;0,100-$K$685,$K$685)+ABS('03_Sensibilidades'!$C$16)*IF('03_Sensibilidades'!$C$16&lt;0,100-$K$688,$K$688)+ABS('03_Sensibilidades'!$C$17)*IF('03_Sensibilidades'!$C$17&lt;0,100-$K$697,$K$697))/(ABS('03_Sensibilidades'!$C$14)+ABS('03_Sensibilidades'!$C$15)+ABS('03_Sensibilidades'!$C$16)+ABS('03_Sensibilidades'!$C$17))</x:f>
        <x:v>51.12713620689656</x:v>
      </x:c>
      <x:c r="F1567" s="5" t="n">
        <x:f>(1-'00_Arquitectura'!$B$95)*D1567+'00_Arquitectura'!$B$95*E1567</x:f>
        <x:v>50.465969655172415</x:v>
      </x:c>
      <x:c r="G1567" s="5" t="n">
        <x:f>'02_Actores'!$I$8</x:f>
        <x:v>45</x:v>
      </x:c>
      <x:c r="H1567" s="5" t="n">
        <x:f>IF(OR(AND(F1567&lt;'00_Arquitectura'!$B$118,G1567&lt;'00_Arquitectura'!$B$119),F1567&lt;'00_Arquitectura'!$B$120),1,0)</x:f>
        <x:v>0</x:v>
      </x:c>
      <x:c r="I1567" s="5" t="n">
        <x:f>IF($I$1549=1,IF(OR(AND(F1567&lt;'00_Arquitectura'!$B$121,G1567&lt;'00_Arquitectura'!$B$122),F1567&lt;'00_Arquitectura'!$B$123),1,0),IF(AND(H1567=1,$H$1549=1),1,0))</x:f>
        <x:v>0</x:v>
      </x:c>
      <x:c r="J1567" s="5" t="n">
        <x:f>-I1567*2*'02_Actores'!$E$8/10</x:f>
        <x:v>0</x:v>
      </x:c>
      <x:c r="K1567" s="5" t="n">
        <x:f>$K$1565</x:f>
        <x:v>44.125045485772</x:v>
      </x:c>
      <x:c r="L1567" s="5" t="str">
        <x:v>J programa offset para t+1; efecto sustituible y acotado, sin voto adicional.</x:v>
      </x:c>
    </x:row>
    <x:row r="1568" ht="34" customHeight="1">
      <x:c r="A1568" s="10" t="str">
        <x:v>S5_SEGURIDAD</x:v>
      </x:c>
      <x:c r="B1568" s="10" t="n">
        <x:v>5</x:v>
      </x:c>
      <x:c r="C1568" s="10" t="str">
        <x:v>sindicatos</x:v>
      </x:c>
      <x:c r="D1568" s="10" t="n">
        <x:f>$F$1550</x:f>
        <x:v>43.2010475862069</x:v>
      </x:c>
      <x:c r="E1568" s="10" t="n">
        <x:f>(ABS('03_Sensibilidades'!$C$18)*IF('03_Sensibilidades'!$C$18&lt;0,100-$K$687,$K$687)+ABS('03_Sensibilidades'!$C$19)*IF('03_Sensibilidades'!$C$19&lt;0,100-$K$686,$K$686)+ABS('03_Sensibilidades'!$C$20)*IF('03_Sensibilidades'!$C$20&lt;0,100-$K$694,$K$694)+ABS('03_Sensibilidades'!$C$21)*IF('03_Sensibilidades'!$C$21&lt;0,100-$K$697,$K$697))/(ABS('03_Sensibilidades'!$C$18)+ABS('03_Sensibilidades'!$C$19)+ABS('03_Sensibilidades'!$C$20)+ABS('03_Sensibilidades'!$C$21))</x:f>
        <x:v>43.37660413793103</x:v>
      </x:c>
      <x:c r="F1568" s="10" t="n">
        <x:f>(1-'00_Arquitectura'!$B$95)*D1568+'00_Arquitectura'!$B$95*E1568</x:f>
        <x:v>43.262492379310345</x:v>
      </x:c>
      <x:c r="G1568" s="10" t="n">
        <x:f>'02_Actores'!$I$9</x:f>
        <x:v>45</x:v>
      </x:c>
      <x:c r="H1568" s="10" t="n">
        <x:f>IF(OR(AND(F1568&lt;'00_Arquitectura'!$B$118,G1568&lt;'00_Arquitectura'!$B$119),F1568&lt;'00_Arquitectura'!$B$120),1,0)</x:f>
        <x:v>0</x:v>
      </x:c>
      <x:c r="I1568" s="10" t="n">
        <x:f>IF($I$1550=1,IF(OR(AND(F1568&lt;'00_Arquitectura'!$B$121,G1568&lt;'00_Arquitectura'!$B$122),F1568&lt;'00_Arquitectura'!$B$123),1,0),IF(AND(H1568=1,$H$1550=1),1,0))</x:f>
        <x:v>0</x:v>
      </x:c>
      <x:c r="J1568" s="10" t="n">
        <x:f>-I1568*2*'02_Actores'!$E$9/10</x:f>
        <x:v>0</x:v>
      </x:c>
      <x:c r="K1568" s="10" t="n">
        <x:f>$K$1565</x:f>
        <x:v>44.125045485772</x:v>
      </x:c>
      <x:c r="L1568" s="10" t="str">
        <x:v>J programa offset para t+1; efecto sustituible y acotado, sin voto adicional.</x:v>
      </x:c>
    </x:row>
    <x:row r="1569" ht="34" customHeight="1">
      <x:c r="A1569" s="5" t="str">
        <x:v>S5_SEGURIDAD</x:v>
      </x:c>
      <x:c r="B1569" s="5" t="n">
        <x:v>5</x:v>
      </x:c>
      <x:c r="C1569" s="5" t="str">
        <x:v>pymes</x:v>
      </x:c>
      <x:c r="D1569" s="5" t="n">
        <x:f>$F$1551</x:f>
        <x:v>49.1265475862069</x:v>
      </x:c>
      <x:c r="E1569" s="5" t="n">
        <x:f>(ABS('03_Sensibilidades'!$C$22)*IF('03_Sensibilidades'!$C$22&lt;0,100-$K$688,$K$688)+ABS('03_Sensibilidades'!$C$23)*IF('03_Sensibilidades'!$C$23&lt;0,100-$K$686,$K$686)+ABS('03_Sensibilidades'!$C$24)*IF('03_Sensibilidades'!$C$24&lt;0,100-$K$691,$K$691)+ABS('03_Sensibilidades'!$C$25)*IF('03_Sensibilidades'!$C$25&lt;0,100-$K$685,$K$685))/(ABS('03_Sensibilidades'!$C$22)+ABS('03_Sensibilidades'!$C$23)+ABS('03_Sensibilidades'!$C$24)+ABS('03_Sensibilidades'!$C$25))</x:f>
        <x:v>49.1205248275862</x:v>
      </x:c>
      <x:c r="F1569" s="5" t="n">
        <x:f>(1-'00_Arquitectura'!$B$95)*D1569+'00_Arquitectura'!$B$95*E1569</x:f>
        <x:v>49.12443962068966</x:v>
      </x:c>
      <x:c r="G1569" s="5" t="n">
        <x:f>'02_Actores'!$I$10</x:f>
        <x:v>45</x:v>
      </x:c>
      <x:c r="H1569" s="5" t="n">
        <x:f>IF(OR(AND(F1569&lt;'00_Arquitectura'!$B$118,G1569&lt;'00_Arquitectura'!$B$119),F1569&lt;'00_Arquitectura'!$B$120),1,0)</x:f>
        <x:v>0</x:v>
      </x:c>
      <x:c r="I1569" s="5" t="n">
        <x:f>IF($I$1551=1,IF(OR(AND(F1569&lt;'00_Arquitectura'!$B$121,G1569&lt;'00_Arquitectura'!$B$122),F1569&lt;'00_Arquitectura'!$B$123),1,0),IF(AND(H1569=1,$H$1551=1),1,0))</x:f>
        <x:v>0</x:v>
      </x:c>
      <x:c r="J1569" s="5" t="n">
        <x:f>-I1569*2*'02_Actores'!$E$10/10</x:f>
        <x:v>0</x:v>
      </x:c>
      <x:c r="K1569" s="5" t="n">
        <x:f>$K$1565</x:f>
        <x:v>44.125045485772</x:v>
      </x:c>
      <x:c r="L1569" s="5" t="str">
        <x:v>J programa offset para t+1; efecto sustituible y acotado, sin voto adicional.</x:v>
      </x:c>
    </x:row>
    <x:row r="1570" ht="34" customHeight="1">
      <x:c r="A1570" s="10" t="str">
        <x:v>S5_SEGURIDAD</x:v>
      </x:c>
      <x:c r="B1570" s="10" t="n">
        <x:v>5</x:v>
      </x:c>
      <x:c r="C1570" s="10" t="str">
        <x:v>clase_media</x:v>
      </x:c>
      <x:c r="D1570" s="10" t="n">
        <x:f>$F$1552</x:f>
        <x:v>48.64962152777778</x:v>
      </x:c>
      <x:c r="E1570" s="10" t="n">
        <x:f>(ABS('03_Sensibilidades'!$C$26)*IF('03_Sensibilidades'!$C$26&lt;0,100-$K$687,$K$687)+ABS('03_Sensibilidades'!$C$27)*IF('03_Sensibilidades'!$C$27&lt;0,100-$K$695,$K$695)+ABS('03_Sensibilidades'!$C$28)*IF('03_Sensibilidades'!$C$28&lt;0,100-$K$692,$K$692)+ABS('03_Sensibilidades'!$C$29)*IF('03_Sensibilidades'!$C$29&lt;0,100-$K$685,$K$685))/(ABS('03_Sensibilidades'!$C$26)+ABS('03_Sensibilidades'!$C$27)+ABS('03_Sensibilidades'!$C$28)+ABS('03_Sensibilidades'!$C$29))</x:f>
        <x:v>49.434918518518515</x:v>
      </x:c>
      <x:c r="F1570" s="10" t="n">
        <x:f>(1-'00_Arquitectura'!$B$95)*D1570+'00_Arquitectura'!$B$95*E1570</x:f>
        <x:v>48.92447547453703</x:v>
      </x:c>
      <x:c r="G1570" s="10" t="n">
        <x:f>'02_Actores'!$I$11</x:f>
        <x:v>45</x:v>
      </x:c>
      <x:c r="H1570" s="10" t="n">
        <x:f>IF(OR(AND(F1570&lt;'00_Arquitectura'!$B$118,G1570&lt;'00_Arquitectura'!$B$119),F1570&lt;'00_Arquitectura'!$B$120),1,0)</x:f>
        <x:v>0</x:v>
      </x:c>
      <x:c r="I1570" s="10" t="n">
        <x:f>IF($I$1552=1,IF(OR(AND(F1570&lt;'00_Arquitectura'!$B$121,G1570&lt;'00_Arquitectura'!$B$122),F1570&lt;'00_Arquitectura'!$B$123),1,0),IF(AND(H1570=1,$H$1552=1),1,0))</x:f>
        <x:v>0</x:v>
      </x:c>
      <x:c r="J1570" s="10" t="n">
        <x:f>0</x:f>
        <x:v>0</x:v>
      </x:c>
      <x:c r="K1570" s="10" t="n">
        <x:f>$K$1565</x:f>
        <x:v>44.125045485772</x:v>
      </x:c>
      <x:c r="L1570" s="10" t="str">
        <x:v>Canal directo sólo al índice social; sin bono de popularidad.</x:v>
      </x:c>
    </x:row>
    <x:row r="1571" ht="34" customHeight="1">
      <x:c r="A1571" s="5" t="str">
        <x:v>S5_SEGURIDAD</x:v>
      </x:c>
      <x:c r="B1571" s="5" t="n">
        <x:v>5</x:v>
      </x:c>
      <x:c r="C1571" s="5" t="str">
        <x:v>cooperativas</x:v>
      </x:c>
      <x:c r="D1571" s="5" t="n">
        <x:f>$F$1553</x:f>
        <x:v>42.689379259259255</x:v>
      </x:c>
      <x:c r="E1571" s="5" t="n">
        <x:f>(ABS('03_Sensibilidades'!$C$30)*IF('03_Sensibilidades'!$C$30&lt;0,100-$K$688,$K$688)+ABS('03_Sensibilidades'!$C$31)*IF('03_Sensibilidades'!$C$31&lt;0,100-$K$686,$K$686)+ABS('03_Sensibilidades'!$C$32)*IF('03_Sensibilidades'!$C$32&lt;0,100-$K$694,$K$694)+ABS('03_Sensibilidades'!$C$33)*IF('03_Sensibilidades'!$C$33&lt;0,100-$K$697,$K$697))/(ABS('03_Sensibilidades'!$C$30)+ABS('03_Sensibilidades'!$C$31)+ABS('03_Sensibilidades'!$C$32)+ABS('03_Sensibilidades'!$C$33))</x:f>
        <x:v>42.87559666666667</x:v>
      </x:c>
      <x:c r="F1571" s="5" t="n">
        <x:f>(1-'00_Arquitectura'!$B$95)*D1571+'00_Arquitectura'!$B$95*E1571</x:f>
        <x:v>42.75455535185185</x:v>
      </x:c>
      <x:c r="G1571" s="5" t="n">
        <x:f>'02_Actores'!$I$12</x:f>
        <x:v>45</x:v>
      </x:c>
      <x:c r="H1571" s="5" t="n">
        <x:f>IF(OR(AND(F1571&lt;'00_Arquitectura'!$B$118,G1571&lt;'00_Arquitectura'!$B$119),F1571&lt;'00_Arquitectura'!$B$120),1,0)</x:f>
        <x:v>0</x:v>
      </x:c>
      <x:c r="I1571" s="5" t="n">
        <x:f>IF($I$1553=1,IF(OR(AND(F1571&lt;'00_Arquitectura'!$B$121,G1571&lt;'00_Arquitectura'!$B$122),F1571&lt;'00_Arquitectura'!$B$123),1,0),IF(AND(H1571=1,$H$1553=1),1,0))</x:f>
        <x:v>0</x:v>
      </x:c>
      <x:c r="J1571" s="5" t="n">
        <x:f>-I1571*1.5*'02_Actores'!$E$12/10</x:f>
        <x:v>0</x:v>
      </x:c>
      <x:c r="K1571" s="5" t="n">
        <x:f>$K$1565</x:f>
        <x:v>44.125045485772</x:v>
      </x:c>
      <x:c r="L1571" s="5" t="str">
        <x:v>J programa offset para t+1; efecto sustituible y acotado, sin voto adicional.</x:v>
      </x:c>
    </x:row>
    <x:row r="1572" ht="42" customHeight="1">
      <x:c r="A1572" s="10" t="str">
        <x:v>S5_SEGURIDAD</x:v>
      </x:c>
      <x:c r="B1572" s="10" t="n">
        <x:v>5</x:v>
      </x:c>
      <x:c r="C1572" s="10" t="str">
        <x:v>estudiantes</x:v>
      </x:c>
      <x:c r="D1572" s="10" t="n">
        <x:f>$F$1554</x:f>
        <x:v>39.599185</x:v>
      </x:c>
      <x:c r="E1572" s="10" t="n">
        <x:f>(ABS('03_Sensibilidades'!$C$34)*IF('03_Sensibilidades'!$C$34&lt;0,100-$K$692,$K$692)+ABS('03_Sensibilidades'!$C$35)*IF('03_Sensibilidades'!$C$35&lt;0,100-$K$687,$K$687)+ABS('03_Sensibilidades'!$C$36)*IF('03_Sensibilidades'!$C$36&lt;0,100-$K$697,$K$697)+ABS('03_Sensibilidades'!$C$37)*IF('03_Sensibilidades'!$C$37&lt;0,100-$K$696,$K$696))/(ABS('03_Sensibilidades'!$C$34)+ABS('03_Sensibilidades'!$C$35)+ABS('03_Sensibilidades'!$C$36)+ABS('03_Sensibilidades'!$C$37))</x:f>
        <x:v>39.959856</x:v>
      </x:c>
      <x:c r="F1572" s="10" t="n">
        <x:f>(1-'00_Arquitectura'!$B$95)*D1572+'00_Arquitectura'!$B$95*E1572</x:f>
        <x:v>39.72541985</x:v>
      </x:c>
      <x:c r="G1572" s="10" t="n">
        <x:f>'02_Actores'!$I$13</x:f>
        <x:v>45</x:v>
      </x:c>
      <x:c r="H1572" s="10" t="n">
        <x:f>IF(OR(AND(F1572&lt;'00_Arquitectura'!$B$118,G1572&lt;'00_Arquitectura'!$B$119),F1572&lt;'00_Arquitectura'!$B$120),1,0)</x:f>
        <x:v>0</x:v>
      </x:c>
      <x:c r="I1572" s="10" t="n">
        <x:f>IF($I$1554=1,IF(OR(AND(F1572&lt;'00_Arquitectura'!$B$121,G1572&lt;'00_Arquitectura'!$B$122),F1572&lt;'00_Arquitectura'!$B$123),1,0),IF(AND(H1572=1,$H$1554=1),1,0))</x:f>
        <x:v>0</x:v>
      </x:c>
      <x:c r="J1572" s="10" t="n">
        <x:f>0</x:f>
        <x:v>0</x:v>
      </x:c>
      <x:c r="K1572" s="10" t="n">
        <x:f>$K$1565</x:f>
        <x:v>44.125045485772</x:v>
      </x:c>
      <x:c r="L1572" s="10" t="str">
        <x:v>Conflicto activo captura menor eficacia en políticas ejecutadas en t+1. Magnitud0 en J: no es un offset directo de indicador.</x:v>
      </x:c>
    </x:row>
    <x:row r="1573" ht="34" customHeight="1">
      <x:c r="A1573" s="5" t="str">
        <x:v>S5_SEGURIDAD</x:v>
      </x:c>
      <x:c r="B1573" s="5" t="n">
        <x:v>5</x:v>
      </x:c>
      <x:c r="C1573" s="5" t="str">
        <x:v>docentes</x:v>
      </x:c>
      <x:c r="D1573" s="5" t="n">
        <x:f>$F$1555</x:f>
        <x:v>42.94980434782609</x:v>
      </x:c>
      <x:c r="E1573" s="5" t="n">
        <x:f>(ABS('03_Sensibilidades'!$C$38)*IF('03_Sensibilidades'!$C$38&lt;0,100-$K$692,$K$692)+ABS('03_Sensibilidades'!$C$39)*IF('03_Sensibilidades'!$C$39&lt;0,100-$K$687,$K$687)+ABS('03_Sensibilidades'!$C$40)*IF('03_Sensibilidades'!$C$40&lt;0,100-$K$697,$K$697))/(ABS('03_Sensibilidades'!$C$38)+ABS('03_Sensibilidades'!$C$39)+ABS('03_Sensibilidades'!$C$40))</x:f>
        <x:v>43.17363130434783</x:v>
      </x:c>
      <x:c r="F1573" s="5" t="n">
        <x:f>(1-'00_Arquitectura'!$B$95)*D1573+'00_Arquitectura'!$B$95*E1573</x:f>
        <x:v>43.028143782608694</x:v>
      </x:c>
      <x:c r="G1573" s="5" t="n">
        <x:f>'02_Actores'!$I$14</x:f>
        <x:v>45</x:v>
      </x:c>
      <x:c r="H1573" s="5" t="n">
        <x:f>IF(OR(AND(F1573&lt;'00_Arquitectura'!$B$118,G1573&lt;'00_Arquitectura'!$B$119),F1573&lt;'00_Arquitectura'!$B$120),1,0)</x:f>
        <x:v>0</x:v>
      </x:c>
      <x:c r="I1573" s="5" t="n">
        <x:f>IF($I$1555=1,IF(OR(AND(F1573&lt;'00_Arquitectura'!$B$121,G1573&lt;'00_Arquitectura'!$B$122),F1573&lt;'00_Arquitectura'!$B$123),1,0),IF(AND(H1573=1,$H$1555=1),1,0))</x:f>
        <x:v>0</x:v>
      </x:c>
      <x:c r="J1573" s="5" t="n">
        <x:f>-I1573*1.5*'02_Actores'!$E$14/10</x:f>
        <x:v>0</x:v>
      </x:c>
      <x:c r="K1573" s="5" t="n">
        <x:f>$K$1565</x:f>
        <x:v>44.125045485772</x:v>
      </x:c>
      <x:c r="L1573" s="5" t="str">
        <x:v>J programa offset para t+1; efecto sustituible y acotado, sin voto adicional.</x:v>
      </x:c>
    </x:row>
    <x:row r="1574" ht="34" customHeight="1">
      <x:c r="A1574" s="10" t="str">
        <x:v>S5_SEGURIDAD</x:v>
      </x:c>
      <x:c r="B1574" s="10" t="n">
        <x:v>5</x:v>
      </x:c>
      <x:c r="C1574" s="10" t="str">
        <x:v>cientificos</x:v>
      </x:c>
      <x:c r="D1574" s="10" t="n">
        <x:f>$F$1556</x:f>
        <x:v>38.79803977272727</x:v>
      </x:c>
      <x:c r="E1574" s="10" t="n">
        <x:f>(ABS('03_Sensibilidades'!$C$41)*IF('03_Sensibilidades'!$C$41&lt;0,100-$K$696,$K$696)+ABS('03_Sensibilidades'!$C$42)*IF('03_Sensibilidades'!$C$42&lt;0,100-$K$692,$K$692)+ABS('03_Sensibilidades'!$C$43)*IF('03_Sensibilidades'!$C$43&lt;0,100-$K$697,$K$697))/(ABS('03_Sensibilidades'!$C$41)+ABS('03_Sensibilidades'!$C$42)+ABS('03_Sensibilidades'!$C$43))</x:f>
        <x:v>39.09090909090909</x:v>
      </x:c>
      <x:c r="F1574" s="10" t="n">
        <x:f>(1-'00_Arquitectura'!$B$95)*D1574+'00_Arquitectura'!$B$95*E1574</x:f>
        <x:v>38.900544034090906</x:v>
      </x:c>
      <x:c r="G1574" s="10" t="n">
        <x:f>'02_Actores'!$I$15</x:f>
        <x:v>45</x:v>
      </x:c>
      <x:c r="H1574" s="10" t="n">
        <x:f>IF(OR(AND(F1574&lt;'00_Arquitectura'!$B$118,G1574&lt;'00_Arquitectura'!$B$119),F1574&lt;'00_Arquitectura'!$B$120),1,0)</x:f>
        <x:v>0</x:v>
      </x:c>
      <x:c r="I1574" s="10" t="n">
        <x:f>IF($I$1556=1,IF(OR(AND(F1574&lt;'00_Arquitectura'!$B$121,G1574&lt;'00_Arquitectura'!$B$122),F1574&lt;'00_Arquitectura'!$B$123),1,0),IF(AND(H1574=1,$H$1556=1),1,0))</x:f>
        <x:v>0</x:v>
      </x:c>
      <x:c r="J1574" s="10" t="n">
        <x:f>-I1574*1.5*'02_Actores'!$E$15/10</x:f>
        <x:v>0</x:v>
      </x:c>
      <x:c r="K1574" s="10" t="n">
        <x:f>$K$1565</x:f>
        <x:v>44.125045485772</x:v>
      </x:c>
      <x:c r="L1574" s="10" t="str">
        <x:v>J programa offset para t+1; efecto sustituible y acotado, sin voto adicional.</x:v>
      </x:c>
    </x:row>
    <x:row r="1575" ht="34" customHeight="1">
      <x:c r="A1575" s="5" t="str">
        <x:v>S5_SEGURIDAD</x:v>
      </x:c>
      <x:c r="B1575" s="5" t="n">
        <x:v>5</x:v>
      </x:c>
      <x:c r="C1575" s="5" t="str">
        <x:v>organizaciones</x:v>
      </x:c>
      <x:c r="D1575" s="5" t="n">
        <x:f>$F$1557</x:f>
        <x:v>42.983814107142855</x:v>
      </x:c>
      <x:c r="E1575" s="5" t="n">
        <x:f>(ABS('03_Sensibilidades'!$C$44)*IF('03_Sensibilidades'!$C$44&lt;0,100-$K$694,$K$694)+ABS('03_Sensibilidades'!$C$45)*IF('03_Sensibilidades'!$C$45&lt;0,100-$K$693,$K$693)+ABS('03_Sensibilidades'!$C$46)*IF('03_Sensibilidades'!$C$46&lt;0,100-$K$686,$K$686)+ABS('03_Sensibilidades'!$C$47)*IF('03_Sensibilidades'!$C$47&lt;0,100-$K$697,$K$697))/(ABS('03_Sensibilidades'!$C$44)+ABS('03_Sensibilidades'!$C$45)+ABS('03_Sensibilidades'!$C$46)+ABS('03_Sensibilidades'!$C$47))</x:f>
        <x:v>43.21258857142857</x:v>
      </x:c>
      <x:c r="F1575" s="5" t="n">
        <x:f>(1-'00_Arquitectura'!$B$95)*D1575+'00_Arquitectura'!$B$95*E1575</x:f>
        <x:v>43.06388516964286</x:v>
      </x:c>
      <x:c r="G1575" s="5" t="n">
        <x:f>'02_Actores'!$I$16</x:f>
        <x:v>45</x:v>
      </x:c>
      <x:c r="H1575" s="5" t="n">
        <x:f>IF(OR(AND(F1575&lt;'00_Arquitectura'!$B$118,G1575&lt;'00_Arquitectura'!$B$119),F1575&lt;'00_Arquitectura'!$B$120),1,0)</x:f>
        <x:v>0</x:v>
      </x:c>
      <x:c r="I1575" s="5" t="n">
        <x:f>IF($I$1557=1,IF(OR(AND(F1575&lt;'00_Arquitectura'!$B$121,G1575&lt;'00_Arquitectura'!$B$122),F1575&lt;'00_Arquitectura'!$B$123),1,0),IF(AND(H1575=1,$H$1557=1),1,0))</x:f>
        <x:v>0</x:v>
      </x:c>
      <x:c r="J1575" s="5" t="n">
        <x:f>-I1575*1.5*'02_Actores'!$E$16/10</x:f>
        <x:v>0</x:v>
      </x:c>
      <x:c r="K1575" s="5" t="n">
        <x:f>$K$1565</x:f>
        <x:v>44.125045485772</x:v>
      </x:c>
      <x:c r="L1575" s="5" t="str">
        <x:v>J programa offset para t+1; efecto sustituible y acotado, sin voto adicional.</x:v>
      </x:c>
    </x:row>
    <x:row r="1576" ht="42" customHeight="1">
      <x:c r="A1576" s="10" t="str">
        <x:v>S5_SEGURIDAD</x:v>
      </x:c>
      <x:c r="B1576" s="10" t="n">
        <x:v>5</x:v>
      </x:c>
      <x:c r="C1576" s="10" t="str">
        <x:v>ddhh</x:v>
      </x:c>
      <x:c r="D1576" s="10" t="n">
        <x:f>$F$1558</x:f>
        <x:v>30.927862132352942</x:v>
      </x:c>
      <x:c r="E1576" s="10" t="n">
        <x:f>(ABS('03_Sensibilidades'!$C$48)*IF('03_Sensibilidades'!$C$48&lt;0,100-$K$697,$K$697)+ABS('03_Sensibilidades'!$C$49)*IF('03_Sensibilidades'!$C$49&lt;0,100-$K$695,$K$695)+ABS('03_Sensibilidades'!$C$50)*IF('03_Sensibilidades'!$C$50&lt;0,100-$K$694,$K$694))/(ABS('03_Sensibilidades'!$C$48)+ABS('03_Sensibilidades'!$C$49)+ABS('03_Sensibilidades'!$C$50))</x:f>
        <x:v>32.220588235294116</x:v>
      </x:c>
      <x:c r="F1576" s="10" t="n">
        <x:f>(1-'00_Arquitectura'!$B$95)*D1576+'00_Arquitectura'!$B$95*E1576</x:f>
        <x:v>31.38031626838235</x:v>
      </x:c>
      <x:c r="G1576" s="10" t="n">
        <x:f>30</x:f>
        <x:v>30</x:v>
      </x:c>
      <x:c r="H1576" s="10" t="n">
        <x:f>IF(OR(AND(F1576&lt;'00_Arquitectura'!$B$118,G1576&lt;'00_Arquitectura'!$B$119),F1576&lt;'00_Arquitectura'!$B$120),1,0)</x:f>
        <x:v>1</x:v>
      </x:c>
      <x:c r="I1576" s="10" t="n">
        <x:f>IF($I$1558=1,IF(OR(AND(F1576&lt;'00_Arquitectura'!$B$121,G1576&lt;'00_Arquitectura'!$B$122),F1576&lt;'00_Arquitectura'!$B$123),1,0),IF(AND(H1576=1,$H$1558=1),1,0))</x:f>
        <x:v>1</x:v>
      </x:c>
      <x:c r="J1576" s="10" t="n">
        <x:f>0</x:f>
        <x:v>0</x:v>
      </x:c>
      <x:c r="K1576" s="10" t="n">
        <x:f>$K$1565</x:f>
        <x:v>44.125045485772</x:v>
      </x:c>
      <x:c r="L1576" s="10" t="str">
        <x:v>Conflicto activo captura menor eficacia en políticas ejecutadas en t+1. Magnitud0 en J: no es un offset directo de indicador.</x:v>
      </x:c>
    </x:row>
    <x:row r="1577" ht="42" customHeight="1">
      <x:c r="A1577" s="5" t="str">
        <x:v>S5_SEGURIDAD</x:v>
      </x:c>
      <x:c r="B1577" s="5" t="n">
        <x:v>5</x:v>
      </x:c>
      <x:c r="C1577" s="5" t="str">
        <x:v>ambientalistas</x:v>
      </x:c>
      <x:c r="D1577" s="5" t="n">
        <x:f>$F$1559</x:f>
        <x:v>41.86427083333333</x:v>
      </x:c>
      <x:c r="E1577" s="5" t="n">
        <x:f>(ABS('03_Sensibilidades'!$C$51)*IF('03_Sensibilidades'!$C$51&lt;0,100-$K$698,$K$698)+ABS('03_Sensibilidades'!$C$52)*IF('03_Sensibilidades'!$C$52&lt;0,100-$K$697,$K$697)+ABS('03_Sensibilidades'!$C$53)*IF('03_Sensibilidades'!$C$53&lt;0,100-$K$693,$K$693))/(ABS('03_Sensibilidades'!$C$51)+ABS('03_Sensibilidades'!$C$52)+ABS('03_Sensibilidades'!$C$53))</x:f>
        <x:v>42.22222222222222</x:v>
      </x:c>
      <x:c r="F1577" s="5" t="n">
        <x:f>(1-'00_Arquitectura'!$B$95)*D1577+'00_Arquitectura'!$B$95*E1577</x:f>
        <x:v>41.98955381944444</x:v>
      </x:c>
      <x:c r="G1577" s="5" t="n">
        <x:f>'02_Actores'!$I$18</x:f>
        <x:v>45</x:v>
      </x:c>
      <x:c r="H1577" s="5" t="n">
        <x:f>IF(OR(AND(F1577&lt;'00_Arquitectura'!$B$118,G1577&lt;'00_Arquitectura'!$B$119),F1577&lt;'00_Arquitectura'!$B$120),1,0)</x:f>
        <x:v>0</x:v>
      </x:c>
      <x:c r="I1577" s="5" t="n">
        <x:f>IF($I$1559=1,IF(OR(AND(F1577&lt;'00_Arquitectura'!$B$121,G1577&lt;'00_Arquitectura'!$B$122),F1577&lt;'00_Arquitectura'!$B$123),1,0),IF(AND(H1577=1,$H$1559=1),1,0))</x:f>
        <x:v>0</x:v>
      </x:c>
      <x:c r="J1577" s="5" t="n">
        <x:f>0</x:f>
        <x:v>0</x:v>
      </x:c>
      <x:c r="K1577" s="5" t="n">
        <x:f>$K$1565</x:f>
        <x:v>44.125045485772</x:v>
      </x:c>
      <x:c r="L1577" s="5" t="str">
        <x:v>Conflicto activo captura menor eficacia en políticas ejecutadas en t+1. Magnitud0 en J: no es un offset directo de indicador.</x:v>
      </x:c>
    </x:row>
    <x:row r="1578" ht="34" customHeight="1">
      <x:c r="A1578" s="10" t="str">
        <x:v>S5_SEGURIDAD</x:v>
      </x:c>
      <x:c r="B1578" s="10" t="n">
        <x:v>5</x:v>
      </x:c>
      <x:c r="C1578" s="10" t="str">
        <x:v>cultura</x:v>
      </x:c>
      <x:c r="D1578" s="10" t="n">
        <x:f>$F$1560</x:f>
        <x:v>36.35215789473685</x:v>
      </x:c>
      <x:c r="E1578" s="10" t="n">
        <x:f>(ABS('03_Sensibilidades'!$C$54)*IF('03_Sensibilidades'!$C$54&lt;0,100-$K$697,$K$697)+ABS('03_Sensibilidades'!$C$55)*IF('03_Sensibilidades'!$C$55&lt;0,100-$K$692,$K$692)+ABS('03_Sensibilidades'!$C$56)*IF('03_Sensibilidades'!$C$56&lt;0,100-$K$687,$K$687))/(ABS('03_Sensibilidades'!$C$54)+ABS('03_Sensibilidades'!$C$55)+ABS('03_Sensibilidades'!$C$56))</x:f>
        <x:v>36.89454736842105</x:v>
      </x:c>
      <x:c r="F1578" s="10" t="n">
        <x:f>(1-'00_Arquitectura'!$B$95)*D1578+'00_Arquitectura'!$B$95*E1578</x:f>
        <x:v>36.54199421052632</x:v>
      </x:c>
      <x:c r="G1578" s="10" t="n">
        <x:f>'02_Actores'!$I$19</x:f>
        <x:v>45</x:v>
      </x:c>
      <x:c r="H1578" s="10" t="n">
        <x:f>IF(OR(AND(F1578&lt;'00_Arquitectura'!$B$118,G1578&lt;'00_Arquitectura'!$B$119),F1578&lt;'00_Arquitectura'!$B$120),1,0)</x:f>
        <x:v>0</x:v>
      </x:c>
      <x:c r="I1578" s="10" t="n">
        <x:f>IF($I$1560=1,IF(OR(AND(F1578&lt;'00_Arquitectura'!$B$121,G1578&lt;'00_Arquitectura'!$B$122),F1578&lt;'00_Arquitectura'!$B$123),1,0),IF(AND(H1578=1,$H$1560=1),1,0))</x:f>
        <x:v>0</x:v>
      </x:c>
      <x:c r="J1578" s="10" t="n">
        <x:f>0</x:f>
        <x:v>0</x:v>
      </x:c>
      <x:c r="K1578" s="10" t="n">
        <x:f>$K$1565</x:f>
        <x:v>44.125045485772</x:v>
      </x:c>
      <x:c r="L1578" s="10" t="str">
        <x:v>Conflicto activo encarece agenda del turno siguiente; sin castigo electoral adicional.</x:v>
      </x:c>
    </x:row>
    <x:row r="1579" ht="34" customHeight="1">
      <x:c r="A1579" s="5" t="str">
        <x:v>S5_SEGURIDAD</x:v>
      </x:c>
      <x:c r="B1579" s="5" t="n">
        <x:v>5</x:v>
      </x:c>
      <x:c r="C1579" s="5" t="str">
        <x:v>oficialismo</x:v>
      </x:c>
      <x:c r="D1579" s="5" t="n">
        <x:f>$F$1561</x:f>
        <x:v>43.7837224</x:v>
      </x:c>
      <x:c r="E1579" s="5" t="n">
        <x:f>(ABS('03_Sensibilidades'!$C$57)*IF('03_Sensibilidades'!$C$57&lt;0,100-$K$697,$K$697)+ABS('03_Sensibilidades'!$C$58)*IF('03_Sensibilidades'!$C$58&lt;0,100-$K$686,$K$686)+ABS('03_Sensibilidades'!$C$59)*IF('03_Sensibilidades'!$C$59&lt;0,100-$K$689,$K$689)+ABS('03_Sensibilidades'!$C$60)*IF('03_Sensibilidades'!$C$60&lt;0,100-$K$694,$K$694))/(ABS('03_Sensibilidades'!$C$57)+ABS('03_Sensibilidades'!$C$58)+ABS('03_Sensibilidades'!$C$59)+ABS('03_Sensibilidades'!$C$60))</x:f>
        <x:v>44.6772352</x:v>
      </x:c>
      <x:c r="F1579" s="5" t="n">
        <x:f>(1-'00_Arquitectura'!$B$95)*D1579+'00_Arquitectura'!$B$95*E1579</x:f>
        <x:v>44.09645188</x:v>
      </x:c>
      <x:c r="G1579" s="5" t="n">
        <x:f>'02_Actores'!$I$20</x:f>
        <x:v>60</x:v>
      </x:c>
      <x:c r="H1579" s="5" t="n">
        <x:f>IF(OR(AND(F1579&lt;'00_Arquitectura'!$B$118,G1579&lt;'00_Arquitectura'!$B$119),F1579&lt;'00_Arquitectura'!$B$120),1,0)</x:f>
        <x:v>0</x:v>
      </x:c>
      <x:c r="I1579" s="5" t="n">
        <x:f>IF($I$1561=1,IF(OR(AND(F1579&lt;'00_Arquitectura'!$B$121,G1579&lt;'00_Arquitectura'!$B$122),F1579&lt;'00_Arquitectura'!$B$123),1,0),IF(AND(H1579=1,$H$1561=1),1,0))</x:f>
        <x:v>0</x:v>
      </x:c>
      <x:c r="J1579" s="5" t="n">
        <x:f>0</x:f>
        <x:v>0</x:v>
      </x:c>
      <x:c r="K1579" s="5" t="n">
        <x:f>$K$1565</x:f>
        <x:v>44.125045485772</x:v>
      </x:c>
      <x:c r="L1579" s="5" t="str">
        <x:v>No aporta E_social; S y R alimentan disposición a leyes según07.</x:v>
      </x:c>
    </x:row>
    <x:row r="1580" ht="34" customHeight="1">
      <x:c r="A1580" s="10" t="str">
        <x:v>S5_SEGURIDAD</x:v>
      </x:c>
      <x:c r="B1580" s="10" t="n">
        <x:v>5</x:v>
      </x:c>
      <x:c r="C1580" s="10" t="str">
        <x:v>aliados</x:v>
      </x:c>
      <x:c r="D1580" s="10" t="n">
        <x:f>$F$1562</x:f>
        <x:v>39.932648809523805</x:v>
      </x:c>
      <x:c r="E1580" s="10" t="n">
        <x:f>(ABS('03_Sensibilidades'!$C$61)*IF('03_Sensibilidades'!$C$61&lt;0,100-$K$697,$K$697)+ABS('03_Sensibilidades'!$C$62)*IF('03_Sensibilidades'!$C$62&lt;0,100-$K$689,$K$689)+ABS('03_Sensibilidades'!$C$63)*IF('03_Sensibilidades'!$C$63&lt;0,100-$K$691,$K$691))/(ABS('03_Sensibilidades'!$C$61)+ABS('03_Sensibilidades'!$C$62)+ABS('03_Sensibilidades'!$C$63))</x:f>
        <x:v>41.23777523809524</x:v>
      </x:c>
      <x:c r="F1580" s="10" t="n">
        <x:f>(1-'00_Arquitectura'!$B$95)*D1580+'00_Arquitectura'!$B$95*E1580</x:f>
        <x:v>40.389443059523806</x:v>
      </x:c>
      <x:c r="G1580" s="10" t="n">
        <x:f>'02_Actores'!$I$21</x:f>
        <x:v>45</x:v>
      </x:c>
      <x:c r="H1580" s="10" t="n">
        <x:f>IF(OR(AND(F1580&lt;'00_Arquitectura'!$B$118,G1580&lt;'00_Arquitectura'!$B$119),F1580&lt;'00_Arquitectura'!$B$120),1,0)</x:f>
        <x:v>0</x:v>
      </x:c>
      <x:c r="I1580" s="10" t="n">
        <x:f>IF($I$1562=1,IF(OR(AND(F1580&lt;'00_Arquitectura'!$B$121,G1580&lt;'00_Arquitectura'!$B$122),F1580&lt;'00_Arquitectura'!$B$123),1,0),IF(AND(H1580=1,$H$1562=1),1,0))</x:f>
        <x:v>0</x:v>
      </x:c>
      <x:c r="J1580" s="10" t="n">
        <x:f>0</x:f>
        <x:v>0</x:v>
      </x:c>
      <x:c r="K1580" s="10" t="n">
        <x:f>$K$1565</x:f>
        <x:v>44.125045485772</x:v>
      </x:c>
      <x:c r="L1580" s="10" t="str">
        <x:v>No aporta E_social; S y R alimentan disposición a leyes según07.</x:v>
      </x:c>
    </x:row>
    <x:row r="1581" ht="34" customHeight="1">
      <x:c r="A1581" s="5" t="str">
        <x:v>S5_SEGURIDAD</x:v>
      </x:c>
      <x:c r="B1581" s="5" t="n">
        <x:v>5</x:v>
      </x:c>
      <x:c r="C1581" s="5" t="str">
        <x:v>oposicion</x:v>
      </x:c>
      <x:c r="D1581" s="5" t="n">
        <x:f>$F$1563</x:f>
        <x:v>36.86659375</x:v>
      </x:c>
      <x:c r="E1581" s="5" t="n">
        <x:f>(ABS('03_Sensibilidades'!$C$64)*IF('03_Sensibilidades'!$C$64&lt;0,100-$K$697,$K$697)+ABS('03_Sensibilidades'!$C$65)*IF('03_Sensibilidades'!$C$65&lt;0,100-$K$689,$K$689)+ABS('03_Sensibilidades'!$C$66)*IF('03_Sensibilidades'!$C$66&lt;0,100-$K$695,$K$695))/(ABS('03_Sensibilidades'!$C$64)+ABS('03_Sensibilidades'!$C$65)+ABS('03_Sensibilidades'!$C$66))</x:f>
        <x:v>38.849712</x:v>
      </x:c>
      <x:c r="F1581" s="5" t="n">
        <x:f>(1-'00_Arquitectura'!$B$95)*D1581+'00_Arquitectura'!$B$95*E1581</x:f>
        <x:v>37.5606851375</x:v>
      </x:c>
      <x:c r="G1581" s="5" t="n">
        <x:f>'02_Actores'!$I$22</x:f>
        <x:v>30</x:v>
      </x:c>
      <x:c r="H1581" s="5" t="n">
        <x:f>IF(OR(AND(F1581&lt;'00_Arquitectura'!$B$118,G1581&lt;'00_Arquitectura'!$B$119),F1581&lt;'00_Arquitectura'!$B$120),1,0)</x:f>
        <x:v>0</x:v>
      </x:c>
      <x:c r="I1581" s="5" t="n">
        <x:f>IF($I$1563=1,IF(OR(AND(F1581&lt;'00_Arquitectura'!$B$121,G1581&lt;'00_Arquitectura'!$B$122),F1581&lt;'00_Arquitectura'!$B$123),1,0),IF(AND(H1581=1,$H$1563=1),1,0))</x:f>
        <x:v>0</x:v>
      </x:c>
      <x:c r="J1581" s="5" t="n">
        <x:f>0</x:f>
        <x:v>0</x:v>
      </x:c>
      <x:c r="K1581" s="5" t="n">
        <x:f>$K$1565</x:f>
        <x:v>44.125045485772</x:v>
      </x:c>
      <x:c r="L1581" s="5" t="str">
        <x:v>No aporta E_social; S y R alimentan disposición a leyes según07.</x:v>
      </x:c>
    </x:row>
    <x:row r="1582" ht="42" customHeight="1">
      <x:c r="A1582" s="10" t="str">
        <x:v>S5_SEGURIDAD</x:v>
      </x:c>
      <x:c r="B1582" s="10" t="n">
        <x:v>5</x:v>
      </x:c>
      <x:c r="C1582" s="10" t="str">
        <x:v>gobernadores</x:v>
      </x:c>
      <x:c r="D1582" s="10" t="n">
        <x:f>$F$1564</x:f>
        <x:v>50.01166379310345</x:v>
      </x:c>
      <x:c r="E1582" s="10" t="n">
        <x:f>(ABS('03_Sensibilidades'!$C$67)*IF('03_Sensibilidades'!$C$67&lt;0,100-$K$691,$K$691)+ABS('03_Sensibilidades'!$C$68)*IF('03_Sensibilidades'!$C$68&lt;0,100-$K$693,$K$693)+ABS('03_Sensibilidades'!$C$69)*IF('03_Sensibilidades'!$C$69&lt;0,100-$K$692,$K$692)+ABS('03_Sensibilidades'!$C$70)*IF('03_Sensibilidades'!$C$70&lt;0,100-$K$689,$K$689))/(ABS('03_Sensibilidades'!$C$67)+ABS('03_Sensibilidades'!$C$68)+ABS('03_Sensibilidades'!$C$69)+ABS('03_Sensibilidades'!$C$70))</x:f>
        <x:v>50.51704275862069</x:v>
      </x:c>
      <x:c r="F1582" s="10" t="n">
        <x:f>(1-'00_Arquitectura'!$B$95)*D1582+'00_Arquitectura'!$B$95*E1582</x:f>
        <x:v>50.18854643103449</x:v>
      </x:c>
      <x:c r="G1582" s="10" t="n">
        <x:f>'02_Actores'!$I$23</x:f>
        <x:v>45</x:v>
      </x:c>
      <x:c r="H1582" s="10" t="n">
        <x:f>IF(OR(AND(F1582&lt;'00_Arquitectura'!$B$118,G1582&lt;'00_Arquitectura'!$B$119),F1582&lt;'00_Arquitectura'!$B$120),1,0)</x:f>
        <x:v>0</x:v>
      </x:c>
      <x:c r="I1582" s="10" t="n">
        <x:f>IF($I$1564=1,IF(OR(AND(F1582&lt;'00_Arquitectura'!$B$121,G1582&lt;'00_Arquitectura'!$B$122),F1582&lt;'00_Arquitectura'!$B$123),1,0),IF(AND(H1582=1,$H$1564=1),1,0))</x:f>
        <x:v>0</x:v>
      </x:c>
      <x:c r="J1582" s="10" t="n">
        <x:f>0</x:f>
        <x:v>0</x:v>
      </x:c>
      <x:c r="K1582" s="10" t="n">
        <x:f>$K$1565</x:f>
        <x:v>44.125045485772</x:v>
      </x:c>
      <x:c r="L1582" s="10" t="str">
        <x:v>Conflicto activo captura menor eficacia en políticas ejecutadas en t+1. Magnitud0 en J: no es un offset directo de indicador.</x:v>
      </x:c>
    </x:row>
    <x:row r="1583" ht="34" customHeight="1">
      <x:c r="A1583" s="5" t="str">
        <x:v>S5_SEGURIDAD</x:v>
      </x:c>
      <x:c r="B1583" s="5" t="n">
        <x:v>6</x:v>
      </x:c>
      <x:c r="C1583" s="5" t="str">
        <x:v>industria</x:v>
      </x:c>
      <x:c r="D1583" s="5" t="n">
        <x:f>$F$1565</x:f>
        <x:v>46.46977437037037</x:v>
      </x:c>
      <x:c r="E1583" s="5" t="n">
        <x:f>(ABS('03_Sensibilidades'!$C$6)*IF('03_Sensibilidades'!$C$6&lt;0,100-$K$702,$K$702)+ABS('03_Sensibilidades'!$C$7)*IF('03_Sensibilidades'!$C$7&lt;0,100-$K$700,$K$700)+ABS('03_Sensibilidades'!$C$8)*IF('03_Sensibilidades'!$C$8&lt;0,100-$K$705,$K$705)+ABS('03_Sensibilidades'!$C$9)*IF('03_Sensibilidades'!$C$9&lt;0,100-$K$704,$K$704))/(ABS('03_Sensibilidades'!$C$6)+ABS('03_Sensibilidades'!$C$7)+ABS('03_Sensibilidades'!$C$8)+ABS('03_Sensibilidades'!$C$9))</x:f>
        <x:v>46.47950497777778</x:v>
      </x:c>
      <x:c r="F1583" s="5" t="n">
        <x:f>(1-'00_Arquitectura'!$B$95)*D1583+'00_Arquitectura'!$B$95*E1583</x:f>
        <x:v>46.47318008296296</x:v>
      </x:c>
      <x:c r="G1583" s="5" t="n">
        <x:f>'02_Actores'!$I$6</x:f>
        <x:v>45</x:v>
      </x:c>
      <x:c r="H1583" s="5" t="n">
        <x:f>IF(OR(AND(F1583&lt;'00_Arquitectura'!$B$118,G1583&lt;'00_Arquitectura'!$B$119),F1583&lt;'00_Arquitectura'!$B$120),1,0)</x:f>
        <x:v>0</x:v>
      </x:c>
      <x:c r="I1583" s="5" t="n">
        <x:f>IF($I$1565=1,IF(OR(AND(F1583&lt;'00_Arquitectura'!$B$121,G1583&lt;'00_Arquitectura'!$B$122),F1583&lt;'00_Arquitectura'!$B$123),1,0),IF(AND(H1583=1,$H$1565=1),1,0))</x:f>
        <x:v>0</x:v>
      </x:c>
      <x:c r="J1583" s="5" t="n">
        <x:f>-I1583*2*'02_Actores'!$E$6/10</x:f>
        <x:v>0</x:v>
      </x:c>
      <x:c r="K1583" s="5" t="n">
        <x:f>($F$1583*'02_Actores'!$F$6+$F$1584*'02_Actores'!$F$7+$F$1585*'02_Actores'!$F$8+$F$1586*'02_Actores'!$F$9+$F$1587*'02_Actores'!$F$10+$F$1588*'02_Actores'!$F$11+$F$1589*'02_Actores'!$F$12+$F$1590*'02_Actores'!$F$13+$F$1591*'02_Actores'!$F$14+$F$1592*'02_Actores'!$F$15+$F$1593*'02_Actores'!$F$16+$F$1594*'02_Actores'!$F$17+$F$1595*'02_Actores'!$F$18+$F$1596*'02_Actores'!$F$19)/('02_Actores'!$F$6+'02_Actores'!$F$7+'02_Actores'!$F$8+'02_Actores'!$F$9+'02_Actores'!$F$10+'02_Actores'!$F$11+'02_Actores'!$F$12+'02_Actores'!$F$13+'02_Actores'!$F$14+'02_Actores'!$F$15+'02_Actores'!$F$16+'02_Actores'!$F$17+'02_Actores'!$F$18+'02_Actores'!$F$19)</x:f>
        <x:v>44.04351133340859</x:v>
      </x:c>
      <x:c r="L1583" s="5" t="str">
        <x:v>J programa offset para t+1; efecto sustituible y acotado, sin voto adicional.</x:v>
      </x:c>
    </x:row>
    <x:row r="1584" ht="34" customHeight="1">
      <x:c r="A1584" s="10" t="str">
        <x:v>S5_SEGURIDAD</x:v>
      </x:c>
      <x:c r="B1584" s="10" t="n">
        <x:v>6</x:v>
      </x:c>
      <x:c r="C1584" s="10" t="str">
        <x:v>agro</x:v>
      </x:c>
      <x:c r="D1584" s="10" t="n">
        <x:f>$F$1566</x:f>
        <x:v>45.88649151785714</x:v>
      </x:c>
      <x:c r="E1584" s="10" t="n">
        <x:f>(ABS('03_Sensibilidades'!$C$10)*IF('03_Sensibilidades'!$C$10&lt;0,100-$K$704,$K$704)+ABS('03_Sensibilidades'!$C$11)*IF('03_Sensibilidades'!$C$11&lt;0,100-$K$705,$K$705)+ABS('03_Sensibilidades'!$C$12)*IF('03_Sensibilidades'!$C$12&lt;0,100-$K$712,$K$712)+ABS('03_Sensibilidades'!$C$13)*IF('03_Sensibilidades'!$C$13&lt;0,100-$K$702,$K$702))/(ABS('03_Sensibilidades'!$C$10)+ABS('03_Sensibilidades'!$C$11)+ABS('03_Sensibilidades'!$C$12)+ABS('03_Sensibilidades'!$C$13))</x:f>
        <x:v>45.89341666071429</x:v>
      </x:c>
      <x:c r="F1584" s="10" t="n">
        <x:f>(1-'00_Arquitectura'!$B$95)*D1584+'00_Arquitectura'!$B$95*E1584</x:f>
        <x:v>45.88891531785714</x:v>
      </x:c>
      <x:c r="G1584" s="10" t="n">
        <x:f>'02_Actores'!$I$7</x:f>
        <x:v>45</x:v>
      </x:c>
      <x:c r="H1584" s="10" t="n">
        <x:f>IF(OR(AND(F1584&lt;'00_Arquitectura'!$B$118,G1584&lt;'00_Arquitectura'!$B$119),F1584&lt;'00_Arquitectura'!$B$120),1,0)</x:f>
        <x:v>0</x:v>
      </x:c>
      <x:c r="I1584" s="10" t="n">
        <x:f>IF($I$1566=1,IF(OR(AND(F1584&lt;'00_Arquitectura'!$B$121,G1584&lt;'00_Arquitectura'!$B$122),F1584&lt;'00_Arquitectura'!$B$123),1,0),IF(AND(H1584=1,$H$1566=1),1,0))</x:f>
        <x:v>0</x:v>
      </x:c>
      <x:c r="J1584" s="10" t="n">
        <x:f>-I1584*2*'02_Actores'!$E$7/10</x:f>
        <x:v>0</x:v>
      </x:c>
      <x:c r="K1584" s="10" t="n">
        <x:f>$K$1583</x:f>
        <x:v>44.04351133340859</x:v>
      </x:c>
      <x:c r="L1584" s="10" t="str">
        <x:v>J programa offset para t+1; efecto sustituible y acotado, sin voto adicional.</x:v>
      </x:c>
    </x:row>
    <x:row r="1585" ht="34" customHeight="1">
      <x:c r="A1585" s="5" t="str">
        <x:v>S5_SEGURIDAD</x:v>
      </x:c>
      <x:c r="B1585" s="5" t="n">
        <x:v>6</x:v>
      </x:c>
      <x:c r="C1585" s="5" t="str">
        <x:v>financiero</x:v>
      </x:c>
      <x:c r="D1585" s="5" t="n">
        <x:f>$F$1567</x:f>
        <x:v>50.465969655172415</x:v>
      </x:c>
      <x:c r="E1585" s="5" t="n">
        <x:f>(ABS('03_Sensibilidades'!$C$14)*IF('03_Sensibilidades'!$C$14&lt;0,100-$K$703,$K$703)+ABS('03_Sensibilidades'!$C$15)*IF('03_Sensibilidades'!$C$15&lt;0,100-$K$699,$K$699)+ABS('03_Sensibilidades'!$C$16)*IF('03_Sensibilidades'!$C$16&lt;0,100-$K$702,$K$702)+ABS('03_Sensibilidades'!$C$17)*IF('03_Sensibilidades'!$C$17&lt;0,100-$K$711,$K$711))/(ABS('03_Sensibilidades'!$C$14)+ABS('03_Sensibilidades'!$C$15)+ABS('03_Sensibilidades'!$C$16)+ABS('03_Sensibilidades'!$C$17))</x:f>
        <x:v>49.68986527931034</x:v>
      </x:c>
      <x:c r="F1585" s="5" t="n">
        <x:f>(1-'00_Arquitectura'!$B$95)*D1585+'00_Arquitectura'!$B$95*E1585</x:f>
        <x:v>50.194333123620694</x:v>
      </x:c>
      <x:c r="G1585" s="5" t="n">
        <x:f>'02_Actores'!$I$8</x:f>
        <x:v>45</x:v>
      </x:c>
      <x:c r="H1585" s="5" t="n">
        <x:f>IF(OR(AND(F1585&lt;'00_Arquitectura'!$B$118,G1585&lt;'00_Arquitectura'!$B$119),F1585&lt;'00_Arquitectura'!$B$120),1,0)</x:f>
        <x:v>0</x:v>
      </x:c>
      <x:c r="I1585" s="5" t="n">
        <x:f>IF($I$1567=1,IF(OR(AND(F1585&lt;'00_Arquitectura'!$B$121,G1585&lt;'00_Arquitectura'!$B$122),F1585&lt;'00_Arquitectura'!$B$123),1,0),IF(AND(H1585=1,$H$1567=1),1,0))</x:f>
        <x:v>0</x:v>
      </x:c>
      <x:c r="J1585" s="5" t="n">
        <x:f>-I1585*2*'02_Actores'!$E$8/10</x:f>
        <x:v>0</x:v>
      </x:c>
      <x:c r="K1585" s="5" t="n">
        <x:f>$K$1583</x:f>
        <x:v>44.04351133340859</x:v>
      </x:c>
      <x:c r="L1585" s="5" t="str">
        <x:v>J programa offset para t+1; efecto sustituible y acotado, sin voto adicional.</x:v>
      </x:c>
    </x:row>
    <x:row r="1586" ht="34" customHeight="1">
      <x:c r="A1586" s="10" t="str">
        <x:v>S5_SEGURIDAD</x:v>
      </x:c>
      <x:c r="B1586" s="10" t="n">
        <x:v>6</x:v>
      </x:c>
      <x:c r="C1586" s="10" t="str">
        <x:v>sindicatos</x:v>
      </x:c>
      <x:c r="D1586" s="10" t="n">
        <x:f>$F$1568</x:f>
        <x:v>43.262492379310345</x:v>
      </x:c>
      <x:c r="E1586" s="10" t="n">
        <x:f>(ABS('03_Sensibilidades'!$C$18)*IF('03_Sensibilidades'!$C$18&lt;0,100-$K$701,$K$701)+ABS('03_Sensibilidades'!$C$19)*IF('03_Sensibilidades'!$C$19&lt;0,100-$K$700,$K$700)+ABS('03_Sensibilidades'!$C$20)*IF('03_Sensibilidades'!$C$20&lt;0,100-$K$708,$K$708)+ABS('03_Sensibilidades'!$C$21)*IF('03_Sensibilidades'!$C$21&lt;0,100-$K$711,$K$711))/(ABS('03_Sensibilidades'!$C$18)+ABS('03_Sensibilidades'!$C$19)+ABS('03_Sensibilidades'!$C$20)+ABS('03_Sensibilidades'!$C$21))</x:f>
        <x:v>42.962064965517236</x:v>
      </x:c>
      <x:c r="F1586" s="10" t="n">
        <x:f>(1-'00_Arquitectura'!$B$95)*D1586+'00_Arquitectura'!$B$95*E1586</x:f>
        <x:v>43.15734278448276</x:v>
      </x:c>
      <x:c r="G1586" s="10" t="n">
        <x:f>'02_Actores'!$I$9</x:f>
        <x:v>45</x:v>
      </x:c>
      <x:c r="H1586" s="10" t="n">
        <x:f>IF(OR(AND(F1586&lt;'00_Arquitectura'!$B$118,G1586&lt;'00_Arquitectura'!$B$119),F1586&lt;'00_Arquitectura'!$B$120),1,0)</x:f>
        <x:v>0</x:v>
      </x:c>
      <x:c r="I1586" s="10" t="n">
        <x:f>IF($I$1568=1,IF(OR(AND(F1586&lt;'00_Arquitectura'!$B$121,G1586&lt;'00_Arquitectura'!$B$122),F1586&lt;'00_Arquitectura'!$B$123),1,0),IF(AND(H1586=1,$H$1568=1),1,0))</x:f>
        <x:v>0</x:v>
      </x:c>
      <x:c r="J1586" s="10" t="n">
        <x:f>-I1586*2*'02_Actores'!$E$9/10</x:f>
        <x:v>0</x:v>
      </x:c>
      <x:c r="K1586" s="10" t="n">
        <x:f>$K$1583</x:f>
        <x:v>44.04351133340859</x:v>
      </x:c>
      <x:c r="L1586" s="10" t="str">
        <x:v>J programa offset para t+1; efecto sustituible y acotado, sin voto adicional.</x:v>
      </x:c>
    </x:row>
    <x:row r="1587" ht="34" customHeight="1">
      <x:c r="A1587" s="5" t="str">
        <x:v>S5_SEGURIDAD</x:v>
      </x:c>
      <x:c r="B1587" s="5" t="n">
        <x:v>6</x:v>
      </x:c>
      <x:c r="C1587" s="5" t="str">
        <x:v>pymes</x:v>
      </x:c>
      <x:c r="D1587" s="5" t="n">
        <x:f>$F$1569</x:f>
        <x:v>49.12443962068966</x:v>
      </x:c>
      <x:c r="E1587" s="5" t="n">
        <x:f>(ABS('03_Sensibilidades'!$C$22)*IF('03_Sensibilidades'!$C$22&lt;0,100-$K$702,$K$702)+ABS('03_Sensibilidades'!$C$23)*IF('03_Sensibilidades'!$C$23&lt;0,100-$K$700,$K$700)+ABS('03_Sensibilidades'!$C$24)*IF('03_Sensibilidades'!$C$24&lt;0,100-$K$705,$K$705)+ABS('03_Sensibilidades'!$C$25)*IF('03_Sensibilidades'!$C$25&lt;0,100-$K$699,$K$699))/(ABS('03_Sensibilidades'!$C$22)+ABS('03_Sensibilidades'!$C$23)+ABS('03_Sensibilidades'!$C$24)+ABS('03_Sensibilidades'!$C$25))</x:f>
        <x:v>49.135968862068964</x:v>
      </x:c>
      <x:c r="F1587" s="5" t="n">
        <x:f>(1-'00_Arquitectura'!$B$95)*D1587+'00_Arquitectura'!$B$95*E1587</x:f>
        <x:v>49.12847485517241</x:v>
      </x:c>
      <x:c r="G1587" s="5" t="n">
        <x:f>'02_Actores'!$I$10</x:f>
        <x:v>45</x:v>
      </x:c>
      <x:c r="H1587" s="5" t="n">
        <x:f>IF(OR(AND(F1587&lt;'00_Arquitectura'!$B$118,G1587&lt;'00_Arquitectura'!$B$119),F1587&lt;'00_Arquitectura'!$B$120),1,0)</x:f>
        <x:v>0</x:v>
      </x:c>
      <x:c r="I1587" s="5" t="n">
        <x:f>IF($I$1569=1,IF(OR(AND(F1587&lt;'00_Arquitectura'!$B$121,G1587&lt;'00_Arquitectura'!$B$122),F1587&lt;'00_Arquitectura'!$B$123),1,0),IF(AND(H1587=1,$H$1569=1),1,0))</x:f>
        <x:v>0</x:v>
      </x:c>
      <x:c r="J1587" s="5" t="n">
        <x:f>-I1587*2*'02_Actores'!$E$10/10</x:f>
        <x:v>0</x:v>
      </x:c>
      <x:c r="K1587" s="5" t="n">
        <x:f>$K$1583</x:f>
        <x:v>44.04351133340859</x:v>
      </x:c>
      <x:c r="L1587" s="5" t="str">
        <x:v>J programa offset para t+1; efecto sustituible y acotado, sin voto adicional.</x:v>
      </x:c>
    </x:row>
    <x:row r="1588" ht="34" customHeight="1">
      <x:c r="A1588" s="10" t="str">
        <x:v>S5_SEGURIDAD</x:v>
      </x:c>
      <x:c r="B1588" s="10" t="n">
        <x:v>6</x:v>
      </x:c>
      <x:c r="C1588" s="10" t="str">
        <x:v>clase_media</x:v>
      </x:c>
      <x:c r="D1588" s="10" t="n">
        <x:f>$F$1570</x:f>
        <x:v>48.92447547453703</x:v>
      </x:c>
      <x:c r="E1588" s="10" t="n">
        <x:f>(ABS('03_Sensibilidades'!$C$26)*IF('03_Sensibilidades'!$C$26&lt;0,100-$K$701,$K$701)+ABS('03_Sensibilidades'!$C$27)*IF('03_Sensibilidades'!$C$27&lt;0,100-$K$709,$K$709)+ABS('03_Sensibilidades'!$C$28)*IF('03_Sensibilidades'!$C$28&lt;0,100-$K$706,$K$706)+ABS('03_Sensibilidades'!$C$29)*IF('03_Sensibilidades'!$C$29&lt;0,100-$K$699,$K$699))/(ABS('03_Sensibilidades'!$C$26)+ABS('03_Sensibilidades'!$C$27)+ABS('03_Sensibilidades'!$C$28)+ABS('03_Sensibilidades'!$C$29))</x:f>
        <x:v>49.434745185185186</x:v>
      </x:c>
      <x:c r="F1588" s="10" t="n">
        <x:f>(1-'00_Arquitectura'!$B$95)*D1588+'00_Arquitectura'!$B$95*E1588</x:f>
        <x:v>49.10306987326389</x:v>
      </x:c>
      <x:c r="G1588" s="10" t="n">
        <x:f>'02_Actores'!$I$11</x:f>
        <x:v>45</x:v>
      </x:c>
      <x:c r="H1588" s="10" t="n">
        <x:f>IF(OR(AND(F1588&lt;'00_Arquitectura'!$B$118,G1588&lt;'00_Arquitectura'!$B$119),F1588&lt;'00_Arquitectura'!$B$120),1,0)</x:f>
        <x:v>0</x:v>
      </x:c>
      <x:c r="I1588" s="10" t="n">
        <x:f>IF($I$1570=1,IF(OR(AND(F1588&lt;'00_Arquitectura'!$B$121,G1588&lt;'00_Arquitectura'!$B$122),F1588&lt;'00_Arquitectura'!$B$123),1,0),IF(AND(H1588=1,$H$1570=1),1,0))</x:f>
        <x:v>0</x:v>
      </x:c>
      <x:c r="J1588" s="10" t="n">
        <x:f>0</x:f>
        <x:v>0</x:v>
      </x:c>
      <x:c r="K1588" s="10" t="n">
        <x:f>$K$1583</x:f>
        <x:v>44.04351133340859</x:v>
      </x:c>
      <x:c r="L1588" s="10" t="str">
        <x:v>Canal directo sólo al índice social; sin bono de popularidad.</x:v>
      </x:c>
    </x:row>
    <x:row r="1589" ht="34" customHeight="1">
      <x:c r="A1589" s="5" t="str">
        <x:v>S5_SEGURIDAD</x:v>
      </x:c>
      <x:c r="B1589" s="5" t="n">
        <x:v>6</x:v>
      </x:c>
      <x:c r="C1589" s="5" t="str">
        <x:v>cooperativas</x:v>
      </x:c>
      <x:c r="D1589" s="5" t="n">
        <x:f>$F$1571</x:f>
        <x:v>42.75455535185185</x:v>
      </x:c>
      <x:c r="E1589" s="5" t="n">
        <x:f>(ABS('03_Sensibilidades'!$C$30)*IF('03_Sensibilidades'!$C$30&lt;0,100-$K$702,$K$702)+ABS('03_Sensibilidades'!$C$31)*IF('03_Sensibilidades'!$C$31&lt;0,100-$K$700,$K$700)+ABS('03_Sensibilidades'!$C$32)*IF('03_Sensibilidades'!$C$32&lt;0,100-$K$708,$K$708)+ABS('03_Sensibilidades'!$C$33)*IF('03_Sensibilidades'!$C$33&lt;0,100-$K$711,$K$711))/(ABS('03_Sensibilidades'!$C$30)+ABS('03_Sensibilidades'!$C$31)+ABS('03_Sensibilidades'!$C$32)+ABS('03_Sensibilidades'!$C$33))</x:f>
        <x:v>42.4427150037037</x:v>
      </x:c>
      <x:c r="F1589" s="5" t="n">
        <x:f>(1-'00_Arquitectura'!$B$95)*D1589+'00_Arquitectura'!$B$95*E1589</x:f>
        <x:v>42.64541122999999</x:v>
      </x:c>
      <x:c r="G1589" s="5" t="n">
        <x:f>'02_Actores'!$I$12</x:f>
        <x:v>45</x:v>
      </x:c>
      <x:c r="H1589" s="5" t="n">
        <x:f>IF(OR(AND(F1589&lt;'00_Arquitectura'!$B$118,G1589&lt;'00_Arquitectura'!$B$119),F1589&lt;'00_Arquitectura'!$B$120),1,0)</x:f>
        <x:v>0</x:v>
      </x:c>
      <x:c r="I1589" s="5" t="n">
        <x:f>IF($I$1571=1,IF(OR(AND(F1589&lt;'00_Arquitectura'!$B$121,G1589&lt;'00_Arquitectura'!$B$122),F1589&lt;'00_Arquitectura'!$B$123),1,0),IF(AND(H1589=1,$H$1571=1),1,0))</x:f>
        <x:v>0</x:v>
      </x:c>
      <x:c r="J1589" s="5" t="n">
        <x:f>-I1589*1.5*'02_Actores'!$E$12/10</x:f>
        <x:v>0</x:v>
      </x:c>
      <x:c r="K1589" s="5" t="n">
        <x:f>$K$1583</x:f>
        <x:v>44.04351133340859</x:v>
      </x:c>
      <x:c r="L1589" s="5" t="str">
        <x:v>J programa offset para t+1; efecto sustituible y acotado, sin voto adicional.</x:v>
      </x:c>
    </x:row>
    <x:row r="1590" ht="42" customHeight="1">
      <x:c r="A1590" s="10" t="str">
        <x:v>S5_SEGURIDAD</x:v>
      </x:c>
      <x:c r="B1590" s="10" t="n">
        <x:v>6</x:v>
      </x:c>
      <x:c r="C1590" s="10" t="str">
        <x:v>estudiantes</x:v>
      </x:c>
      <x:c r="D1590" s="10" t="n">
        <x:f>$F$1572</x:f>
        <x:v>39.72541985</x:v>
      </x:c>
      <x:c r="E1590" s="10" t="n">
        <x:f>(ABS('03_Sensibilidades'!$C$34)*IF('03_Sensibilidades'!$C$34&lt;0,100-$K$706,$K$706)+ABS('03_Sensibilidades'!$C$35)*IF('03_Sensibilidades'!$C$35&lt;0,100-$K$701,$K$701)+ABS('03_Sensibilidades'!$C$36)*IF('03_Sensibilidades'!$C$36&lt;0,100-$K$711,$K$711)+ABS('03_Sensibilidades'!$C$37)*IF('03_Sensibilidades'!$C$37&lt;0,100-$K$710,$K$710))/(ABS('03_Sensibilidades'!$C$34)+ABS('03_Sensibilidades'!$C$35)+ABS('03_Sensibilidades'!$C$36)+ABS('03_Sensibilidades'!$C$37))</x:f>
        <x:v>39.1197624</x:v>
      </x:c>
      <x:c r="F1590" s="10" t="n">
        <x:f>(1-'00_Arquitectura'!$B$95)*D1590+'00_Arquitectura'!$B$95*E1590</x:f>
        <x:v>39.513439742500005</x:v>
      </x:c>
      <x:c r="G1590" s="10" t="n">
        <x:f>'02_Actores'!$I$13</x:f>
        <x:v>45</x:v>
      </x:c>
      <x:c r="H1590" s="10" t="n">
        <x:f>IF(OR(AND(F1590&lt;'00_Arquitectura'!$B$118,G1590&lt;'00_Arquitectura'!$B$119),F1590&lt;'00_Arquitectura'!$B$120),1,0)</x:f>
        <x:v>0</x:v>
      </x:c>
      <x:c r="I1590" s="10" t="n">
        <x:f>IF($I$1572=1,IF(OR(AND(F1590&lt;'00_Arquitectura'!$B$121,G1590&lt;'00_Arquitectura'!$B$122),F1590&lt;'00_Arquitectura'!$B$123),1,0),IF(AND(H1590=1,$H$1572=1),1,0))</x:f>
        <x:v>0</x:v>
      </x:c>
      <x:c r="J1590" s="10" t="n">
        <x:f>0</x:f>
        <x:v>0</x:v>
      </x:c>
      <x:c r="K1590" s="10" t="n">
        <x:f>$K$1583</x:f>
        <x:v>44.04351133340859</x:v>
      </x:c>
      <x:c r="L1590" s="10" t="str">
        <x:v>Conflicto activo captura menor eficacia en políticas ejecutadas en t+1. Magnitud0 en J: no es un offset directo de indicador.</x:v>
      </x:c>
    </x:row>
    <x:row r="1591" ht="34" customHeight="1">
      <x:c r="A1591" s="5" t="str">
        <x:v>S5_SEGURIDAD</x:v>
      </x:c>
      <x:c r="B1591" s="5" t="n">
        <x:v>6</x:v>
      </x:c>
      <x:c r="C1591" s="5" t="str">
        <x:v>docentes</x:v>
      </x:c>
      <x:c r="D1591" s="5" t="n">
        <x:f>$F$1573</x:f>
        <x:v>43.028143782608694</x:v>
      </x:c>
      <x:c r="E1591" s="5" t="n">
        <x:f>(ABS('03_Sensibilidades'!$C$38)*IF('03_Sensibilidades'!$C$38&lt;0,100-$K$706,$K$706)+ABS('03_Sensibilidades'!$C$39)*IF('03_Sensibilidades'!$C$39&lt;0,100-$K$701,$K$701)+ABS('03_Sensibilidades'!$C$40)*IF('03_Sensibilidades'!$C$40&lt;0,100-$K$711,$K$711))/(ABS('03_Sensibilidades'!$C$38)+ABS('03_Sensibilidades'!$C$39)+ABS('03_Sensibilidades'!$C$40))</x:f>
        <x:v>42.651709043478256</x:v>
      </x:c>
      <x:c r="F1591" s="5" t="n">
        <x:f>(1-'00_Arquitectura'!$B$95)*D1591+'00_Arquitectura'!$B$95*E1591</x:f>
        <x:v>42.89639162391304</x:v>
      </x:c>
      <x:c r="G1591" s="5" t="n">
        <x:f>'02_Actores'!$I$14</x:f>
        <x:v>45</x:v>
      </x:c>
      <x:c r="H1591" s="5" t="n">
        <x:f>IF(OR(AND(F1591&lt;'00_Arquitectura'!$B$118,G1591&lt;'00_Arquitectura'!$B$119),F1591&lt;'00_Arquitectura'!$B$120),1,0)</x:f>
        <x:v>0</x:v>
      </x:c>
      <x:c r="I1591" s="5" t="n">
        <x:f>IF($I$1573=1,IF(OR(AND(F1591&lt;'00_Arquitectura'!$B$121,G1591&lt;'00_Arquitectura'!$B$122),F1591&lt;'00_Arquitectura'!$B$123),1,0),IF(AND(H1591=1,$H$1573=1),1,0))</x:f>
        <x:v>0</x:v>
      </x:c>
      <x:c r="J1591" s="5" t="n">
        <x:f>-I1591*1.5*'02_Actores'!$E$14/10</x:f>
        <x:v>0</x:v>
      </x:c>
      <x:c r="K1591" s="5" t="n">
        <x:f>$K$1583</x:f>
        <x:v>44.04351133340859</x:v>
      </x:c>
      <x:c r="L1591" s="5" t="str">
        <x:v>J programa offset para t+1; efecto sustituible y acotado, sin voto adicional.</x:v>
      </x:c>
    </x:row>
    <x:row r="1592" ht="34" customHeight="1">
      <x:c r="A1592" s="10" t="str">
        <x:v>S5_SEGURIDAD</x:v>
      </x:c>
      <x:c r="B1592" s="10" t="n">
        <x:v>6</x:v>
      </x:c>
      <x:c r="C1592" s="10" t="str">
        <x:v>cientificos</x:v>
      </x:c>
      <x:c r="D1592" s="10" t="n">
        <x:f>$F$1574</x:f>
        <x:v>38.900544034090906</x:v>
      </x:c>
      <x:c r="E1592" s="10" t="n">
        <x:f>(ABS('03_Sensibilidades'!$C$41)*IF('03_Sensibilidades'!$C$41&lt;0,100-$K$710,$K$710)+ABS('03_Sensibilidades'!$C$42)*IF('03_Sensibilidades'!$C$42&lt;0,100-$K$706,$K$706)+ABS('03_Sensibilidades'!$C$43)*IF('03_Sensibilidades'!$C$43&lt;0,100-$K$711,$K$711))/(ABS('03_Sensibilidades'!$C$41)+ABS('03_Sensibilidades'!$C$42)+ABS('03_Sensibilidades'!$C$43))</x:f>
        <x:v>38.40909090909091</x:v>
      </x:c>
      <x:c r="F1592" s="10" t="n">
        <x:f>(1-'00_Arquitectura'!$B$95)*D1592+'00_Arquitectura'!$B$95*E1592</x:f>
        <x:v>38.728535440340906</x:v>
      </x:c>
      <x:c r="G1592" s="10" t="n">
        <x:f>'02_Actores'!$I$15</x:f>
        <x:v>45</x:v>
      </x:c>
      <x:c r="H1592" s="10" t="n">
        <x:f>IF(OR(AND(F1592&lt;'00_Arquitectura'!$B$118,G1592&lt;'00_Arquitectura'!$B$119),F1592&lt;'00_Arquitectura'!$B$120),1,0)</x:f>
        <x:v>0</x:v>
      </x:c>
      <x:c r="I1592" s="10" t="n">
        <x:f>IF($I$1574=1,IF(OR(AND(F1592&lt;'00_Arquitectura'!$B$121,G1592&lt;'00_Arquitectura'!$B$122),F1592&lt;'00_Arquitectura'!$B$123),1,0),IF(AND(H1592=1,$H$1574=1),1,0))</x:f>
        <x:v>0</x:v>
      </x:c>
      <x:c r="J1592" s="10" t="n">
        <x:f>-I1592*1.5*'02_Actores'!$E$15/10</x:f>
        <x:v>0</x:v>
      </x:c>
      <x:c r="K1592" s="10" t="n">
        <x:f>$K$1583</x:f>
        <x:v>44.04351133340859</x:v>
      </x:c>
      <x:c r="L1592" s="10" t="str">
        <x:v>J programa offset para t+1; efecto sustituible y acotado, sin voto adicional.</x:v>
      </x:c>
    </x:row>
    <x:row r="1593" ht="34" customHeight="1">
      <x:c r="A1593" s="5" t="str">
        <x:v>S5_SEGURIDAD</x:v>
      </x:c>
      <x:c r="B1593" s="5" t="n">
        <x:v>6</x:v>
      </x:c>
      <x:c r="C1593" s="5" t="str">
        <x:v>organizaciones</x:v>
      </x:c>
      <x:c r="D1593" s="5" t="n">
        <x:f>$F$1575</x:f>
        <x:v>43.06388516964286</x:v>
      </x:c>
      <x:c r="E1593" s="5" t="n">
        <x:f>(ABS('03_Sensibilidades'!$C$44)*IF('03_Sensibilidades'!$C$44&lt;0,100-$K$708,$K$708)+ABS('03_Sensibilidades'!$C$45)*IF('03_Sensibilidades'!$C$45&lt;0,100-$K$707,$K$707)+ABS('03_Sensibilidades'!$C$46)*IF('03_Sensibilidades'!$C$46&lt;0,100-$K$700,$K$700)+ABS('03_Sensibilidades'!$C$47)*IF('03_Sensibilidades'!$C$47&lt;0,100-$K$711,$K$711))/(ABS('03_Sensibilidades'!$C$44)+ABS('03_Sensibilidades'!$C$45)+ABS('03_Sensibilidades'!$C$46)+ABS('03_Sensibilidades'!$C$47))</x:f>
        <x:v>42.676470571428574</x:v>
      </x:c>
      <x:c r="F1593" s="5" t="n">
        <x:f>(1-'00_Arquitectura'!$B$95)*D1593+'00_Arquitectura'!$B$95*E1593</x:f>
        <x:v>42.928290060267855</x:v>
      </x:c>
      <x:c r="G1593" s="5" t="n">
        <x:f>'02_Actores'!$I$16</x:f>
        <x:v>45</x:v>
      </x:c>
      <x:c r="H1593" s="5" t="n">
        <x:f>IF(OR(AND(F1593&lt;'00_Arquitectura'!$B$118,G1593&lt;'00_Arquitectura'!$B$119),F1593&lt;'00_Arquitectura'!$B$120),1,0)</x:f>
        <x:v>0</x:v>
      </x:c>
      <x:c r="I1593" s="5" t="n">
        <x:f>IF($I$1575=1,IF(OR(AND(F1593&lt;'00_Arquitectura'!$B$121,G1593&lt;'00_Arquitectura'!$B$122),F1593&lt;'00_Arquitectura'!$B$123),1,0),IF(AND(H1593=1,$H$1575=1),1,0))</x:f>
        <x:v>0</x:v>
      </x:c>
      <x:c r="J1593" s="5" t="n">
        <x:f>-I1593*1.5*'02_Actores'!$E$16/10</x:f>
        <x:v>0</x:v>
      </x:c>
      <x:c r="K1593" s="5" t="n">
        <x:f>$K$1583</x:f>
        <x:v>44.04351133340859</x:v>
      </x:c>
      <x:c r="L1593" s="5" t="str">
        <x:v>J programa offset para t+1; efecto sustituible y acotado, sin voto adicional.</x:v>
      </x:c>
    </x:row>
    <x:row r="1594" ht="42" customHeight="1">
      <x:c r="A1594" s="10" t="str">
        <x:v>S5_SEGURIDAD</x:v>
      </x:c>
      <x:c r="B1594" s="10" t="n">
        <x:v>6</x:v>
      </x:c>
      <x:c r="C1594" s="10" t="str">
        <x:v>ddhh</x:v>
      </x:c>
      <x:c r="D1594" s="10" t="n">
        <x:f>$F$1576</x:f>
        <x:v>31.38031626838235</x:v>
      </x:c>
      <x:c r="E1594" s="10" t="n">
        <x:f>(ABS('03_Sensibilidades'!$C$48)*IF('03_Sensibilidades'!$C$48&lt;0,100-$K$711,$K$711)+ABS('03_Sensibilidades'!$C$49)*IF('03_Sensibilidades'!$C$49&lt;0,100-$K$709,$K$709)+ABS('03_Sensibilidades'!$C$50)*IF('03_Sensibilidades'!$C$50&lt;0,100-$K$708,$K$708))/(ABS('03_Sensibilidades'!$C$48)+ABS('03_Sensibilidades'!$C$49)+ABS('03_Sensibilidades'!$C$50))</x:f>
        <x:v>30.455882352941178</x:v>
      </x:c>
      <x:c r="F1594" s="10" t="n">
        <x:f>(1-'00_Arquitectura'!$B$95)*D1594+'00_Arquitectura'!$B$95*E1594</x:f>
        <x:v>31.05676439797794</x:v>
      </x:c>
      <x:c r="G1594" s="10" t="n">
        <x:f>30</x:f>
        <x:v>30</x:v>
      </x:c>
      <x:c r="H1594" s="10" t="n">
        <x:f>IF(OR(AND(F1594&lt;'00_Arquitectura'!$B$118,G1594&lt;'00_Arquitectura'!$B$119),F1594&lt;'00_Arquitectura'!$B$120),1,0)</x:f>
        <x:v>1</x:v>
      </x:c>
      <x:c r="I1594" s="10" t="n">
        <x:f>IF($I$1576=1,IF(OR(AND(F1594&lt;'00_Arquitectura'!$B$121,G1594&lt;'00_Arquitectura'!$B$122),F1594&lt;'00_Arquitectura'!$B$123),1,0),IF(AND(H1594=1,$H$1576=1),1,0))</x:f>
        <x:v>1</x:v>
      </x:c>
      <x:c r="J1594" s="10" t="n">
        <x:f>0</x:f>
        <x:v>0</x:v>
      </x:c>
      <x:c r="K1594" s="10" t="n">
        <x:f>$K$1583</x:f>
        <x:v>44.04351133340859</x:v>
      </x:c>
      <x:c r="L1594" s="10" t="str">
        <x:v>Conflicto activo captura menor eficacia en políticas ejecutadas en t+1. Magnitud0 en J: no es un offset directo de indicador.</x:v>
      </x:c>
    </x:row>
    <x:row r="1595" ht="42" customHeight="1">
      <x:c r="A1595" s="5" t="str">
        <x:v>S5_SEGURIDAD</x:v>
      </x:c>
      <x:c r="B1595" s="5" t="n">
        <x:v>6</x:v>
      </x:c>
      <x:c r="C1595" s="5" t="str">
        <x:v>ambientalistas</x:v>
      </x:c>
      <x:c r="D1595" s="5" t="n">
        <x:f>$F$1577</x:f>
        <x:v>41.98955381944444</x:v>
      </x:c>
      <x:c r="E1595" s="5" t="n">
        <x:f>(ABS('03_Sensibilidades'!$C$51)*IF('03_Sensibilidades'!$C$51&lt;0,100-$K$712,$K$712)+ABS('03_Sensibilidades'!$C$52)*IF('03_Sensibilidades'!$C$52&lt;0,100-$K$711,$K$711)+ABS('03_Sensibilidades'!$C$53)*IF('03_Sensibilidades'!$C$53&lt;0,100-$K$707,$K$707))/(ABS('03_Sensibilidades'!$C$51)+ABS('03_Sensibilidades'!$C$52)+ABS('03_Sensibilidades'!$C$53))</x:f>
        <x:v>41.388888888888886</x:v>
      </x:c>
      <x:c r="F1595" s="5" t="n">
        <x:f>(1-'00_Arquitectura'!$B$95)*D1595+'00_Arquitectura'!$B$95*E1595</x:f>
        <x:v>41.77932109374999</x:v>
      </x:c>
      <x:c r="G1595" s="5" t="n">
        <x:f>'02_Actores'!$I$18</x:f>
        <x:v>45</x:v>
      </x:c>
      <x:c r="H1595" s="5" t="n">
        <x:f>IF(OR(AND(F1595&lt;'00_Arquitectura'!$B$118,G1595&lt;'00_Arquitectura'!$B$119),F1595&lt;'00_Arquitectura'!$B$120),1,0)</x:f>
        <x:v>0</x:v>
      </x:c>
      <x:c r="I1595" s="5" t="n">
        <x:f>IF($I$1577=1,IF(OR(AND(F1595&lt;'00_Arquitectura'!$B$121,G1595&lt;'00_Arquitectura'!$B$122),F1595&lt;'00_Arquitectura'!$B$123),1,0),IF(AND(H1595=1,$H$1577=1),1,0))</x:f>
        <x:v>0</x:v>
      </x:c>
      <x:c r="J1595" s="5" t="n">
        <x:f>0</x:f>
        <x:v>0</x:v>
      </x:c>
      <x:c r="K1595" s="5" t="n">
        <x:f>$K$1583</x:f>
        <x:v>44.04351133340859</x:v>
      </x:c>
      <x:c r="L1595" s="5" t="str">
        <x:v>Conflicto activo captura menor eficacia en políticas ejecutadas en t+1. Magnitud0 en J: no es un offset directo de indicador.</x:v>
      </x:c>
    </x:row>
    <x:row r="1596" ht="34" customHeight="1">
      <x:c r="A1596" s="10" t="str">
        <x:v>S5_SEGURIDAD</x:v>
      </x:c>
      <x:c r="B1596" s="10" t="n">
        <x:v>6</x:v>
      </x:c>
      <x:c r="C1596" s="10" t="str">
        <x:v>cultura</x:v>
      </x:c>
      <x:c r="D1596" s="10" t="n">
        <x:f>$F$1578</x:f>
        <x:v>36.54199421052632</x:v>
      </x:c>
      <x:c r="E1596" s="10" t="n">
        <x:f>(ABS('03_Sensibilidades'!$C$54)*IF('03_Sensibilidades'!$C$54&lt;0,100-$K$711,$K$711)+ABS('03_Sensibilidades'!$C$55)*IF('03_Sensibilidades'!$C$55&lt;0,100-$K$706,$K$706)+ABS('03_Sensibilidades'!$C$56)*IF('03_Sensibilidades'!$C$56&lt;0,100-$K$701,$K$701))/(ABS('03_Sensibilidades'!$C$54)+ABS('03_Sensibilidades'!$C$55)+ABS('03_Sensibilidades'!$C$56))</x:f>
        <x:v>35.631266315789475</x:v>
      </x:c>
      <x:c r="F1596" s="10" t="n">
        <x:f>(1-'00_Arquitectura'!$B$95)*D1596+'00_Arquitectura'!$B$95*E1596</x:f>
        <x:v>36.22323944736843</x:v>
      </x:c>
      <x:c r="G1596" s="10" t="n">
        <x:f>'02_Actores'!$I$19</x:f>
        <x:v>45</x:v>
      </x:c>
      <x:c r="H1596" s="10" t="n">
        <x:f>IF(OR(AND(F1596&lt;'00_Arquitectura'!$B$118,G1596&lt;'00_Arquitectura'!$B$119),F1596&lt;'00_Arquitectura'!$B$120),1,0)</x:f>
        <x:v>0</x:v>
      </x:c>
      <x:c r="I1596" s="10" t="n">
        <x:f>IF($I$1578=1,IF(OR(AND(F1596&lt;'00_Arquitectura'!$B$121,G1596&lt;'00_Arquitectura'!$B$122),F1596&lt;'00_Arquitectura'!$B$123),1,0),IF(AND(H1596=1,$H$1578=1),1,0))</x:f>
        <x:v>0</x:v>
      </x:c>
      <x:c r="J1596" s="10" t="n">
        <x:f>0</x:f>
        <x:v>0</x:v>
      </x:c>
      <x:c r="K1596" s="10" t="n">
        <x:f>$K$1583</x:f>
        <x:v>44.04351133340859</x:v>
      </x:c>
      <x:c r="L1596" s="10" t="str">
        <x:v>Conflicto activo encarece agenda del turno siguiente; sin castigo electoral adicional.</x:v>
      </x:c>
    </x:row>
    <x:row r="1597" ht="34" customHeight="1">
      <x:c r="A1597" s="5" t="str">
        <x:v>S5_SEGURIDAD</x:v>
      </x:c>
      <x:c r="B1597" s="5" t="n">
        <x:v>6</x:v>
      </x:c>
      <x:c r="C1597" s="5" t="str">
        <x:v>oficialismo</x:v>
      </x:c>
      <x:c r="D1597" s="5" t="n">
        <x:f>$F$1579</x:f>
        <x:v>44.09645188</x:v>
      </x:c>
      <x:c r="E1597" s="5" t="n">
        <x:f>(ABS('03_Sensibilidades'!$C$57)*IF('03_Sensibilidades'!$C$57&lt;0,100-$K$711,$K$711)+ABS('03_Sensibilidades'!$C$58)*IF('03_Sensibilidades'!$C$58&lt;0,100-$K$700,$K$700)+ABS('03_Sensibilidades'!$C$59)*IF('03_Sensibilidades'!$C$59&lt;0,100-$K$703,$K$703)+ABS('03_Sensibilidades'!$C$60)*IF('03_Sensibilidades'!$C$60&lt;0,100-$K$708,$K$708))/(ABS('03_Sensibilidades'!$C$57)+ABS('03_Sensibilidades'!$C$58)+ABS('03_Sensibilidades'!$C$59)+ABS('03_Sensibilidades'!$C$60))</x:f>
        <x:v>43.236482560000006</x:v>
      </x:c>
      <x:c r="F1597" s="5" t="n">
        <x:f>(1-'00_Arquitectura'!$B$95)*D1597+'00_Arquitectura'!$B$95*E1597</x:f>
        <x:v>43.795462618</x:v>
      </x:c>
      <x:c r="G1597" s="5" t="n">
        <x:f>'02_Actores'!$I$20</x:f>
        <x:v>60</x:v>
      </x:c>
      <x:c r="H1597" s="5" t="n">
        <x:f>IF(OR(AND(F1597&lt;'00_Arquitectura'!$B$118,G1597&lt;'00_Arquitectura'!$B$119),F1597&lt;'00_Arquitectura'!$B$120),1,0)</x:f>
        <x:v>0</x:v>
      </x:c>
      <x:c r="I1597" s="5" t="n">
        <x:f>IF($I$1579=1,IF(OR(AND(F1597&lt;'00_Arquitectura'!$B$121,G1597&lt;'00_Arquitectura'!$B$122),F1597&lt;'00_Arquitectura'!$B$123),1,0),IF(AND(H1597=1,$H$1579=1),1,0))</x:f>
        <x:v>0</x:v>
      </x:c>
      <x:c r="J1597" s="5" t="n">
        <x:f>0</x:f>
        <x:v>0</x:v>
      </x:c>
      <x:c r="K1597" s="5" t="n">
        <x:f>$K$1583</x:f>
        <x:v>44.04351133340859</x:v>
      </x:c>
      <x:c r="L1597" s="5" t="str">
        <x:v>No aporta E_social; S y R alimentan disposición a leyes según07.</x:v>
      </x:c>
    </x:row>
    <x:row r="1598" ht="34" customHeight="1">
      <x:c r="A1598" s="10" t="str">
        <x:v>S5_SEGURIDAD</x:v>
      </x:c>
      <x:c r="B1598" s="10" t="n">
        <x:v>6</x:v>
      </x:c>
      <x:c r="C1598" s="10" t="str">
        <x:v>aliados</x:v>
      </x:c>
      <x:c r="D1598" s="10" t="n">
        <x:f>$F$1580</x:f>
        <x:v>40.389443059523806</x:v>
      </x:c>
      <x:c r="E1598" s="10" t="n">
        <x:f>(ABS('03_Sensibilidades'!$C$61)*IF('03_Sensibilidades'!$C$61&lt;0,100-$K$711,$K$711)+ABS('03_Sensibilidades'!$C$62)*IF('03_Sensibilidades'!$C$62&lt;0,100-$K$703,$K$703)+ABS('03_Sensibilidades'!$C$63)*IF('03_Sensibilidades'!$C$63&lt;0,100-$K$705,$K$705))/(ABS('03_Sensibilidades'!$C$61)+ABS('03_Sensibilidades'!$C$62)+ABS('03_Sensibilidades'!$C$63))</x:f>
        <x:v>39.0947100952381</x:v>
      </x:c>
      <x:c r="F1598" s="10" t="n">
        <x:f>(1-'00_Arquitectura'!$B$95)*D1598+'00_Arquitectura'!$B$95*E1598</x:f>
        <x:v>39.936286522023806</x:v>
      </x:c>
      <x:c r="G1598" s="10" t="n">
        <x:f>'02_Actores'!$I$21</x:f>
        <x:v>45</x:v>
      </x:c>
      <x:c r="H1598" s="10" t="n">
        <x:f>IF(OR(AND(F1598&lt;'00_Arquitectura'!$B$118,G1598&lt;'00_Arquitectura'!$B$119),F1598&lt;'00_Arquitectura'!$B$120),1,0)</x:f>
        <x:v>0</x:v>
      </x:c>
      <x:c r="I1598" s="10" t="n">
        <x:f>IF($I$1580=1,IF(OR(AND(F1598&lt;'00_Arquitectura'!$B$121,G1598&lt;'00_Arquitectura'!$B$122),F1598&lt;'00_Arquitectura'!$B$123),1,0),IF(AND(H1598=1,$H$1580=1),1,0))</x:f>
        <x:v>0</x:v>
      </x:c>
      <x:c r="J1598" s="10" t="n">
        <x:f>0</x:f>
        <x:v>0</x:v>
      </x:c>
      <x:c r="K1598" s="10" t="n">
        <x:f>$K$1583</x:f>
        <x:v>44.04351133340859</x:v>
      </x:c>
      <x:c r="L1598" s="10" t="str">
        <x:v>No aporta E_social; S y R alimentan disposición a leyes según07.</x:v>
      </x:c>
    </x:row>
    <x:row r="1599" ht="34" customHeight="1">
      <x:c r="A1599" s="5" t="str">
        <x:v>S5_SEGURIDAD</x:v>
      </x:c>
      <x:c r="B1599" s="5" t="n">
        <x:v>6</x:v>
      </x:c>
      <x:c r="C1599" s="5" t="str">
        <x:v>oposicion</x:v>
      </x:c>
      <x:c r="D1599" s="5" t="n">
        <x:f>$F$1581</x:f>
        <x:v>37.5606851375</x:v>
      </x:c>
      <x:c r="E1599" s="5" t="n">
        <x:f>(ABS('03_Sensibilidades'!$C$64)*IF('03_Sensibilidades'!$C$64&lt;0,100-$K$711,$K$711)+ABS('03_Sensibilidades'!$C$65)*IF('03_Sensibilidades'!$C$65&lt;0,100-$K$703,$K$703)+ABS('03_Sensibilidades'!$C$66)*IF('03_Sensibilidades'!$C$66&lt;0,100-$K$709,$K$709))/(ABS('03_Sensibilidades'!$C$64)+ABS('03_Sensibilidades'!$C$65)+ABS('03_Sensibilidades'!$C$66))</x:f>
        <x:v>36.4495248</x:v>
      </x:c>
      <x:c r="F1599" s="5" t="n">
        <x:f>(1-'00_Arquitectura'!$B$95)*D1599+'00_Arquitectura'!$B$95*E1599</x:f>
        <x:v>37.171779019375</x:v>
      </x:c>
      <x:c r="G1599" s="5" t="n">
        <x:f>'02_Actores'!$I$22</x:f>
        <x:v>30</x:v>
      </x:c>
      <x:c r="H1599" s="5" t="n">
        <x:f>IF(OR(AND(F1599&lt;'00_Arquitectura'!$B$118,G1599&lt;'00_Arquitectura'!$B$119),F1599&lt;'00_Arquitectura'!$B$120),1,0)</x:f>
        <x:v>0</x:v>
      </x:c>
      <x:c r="I1599" s="5" t="n">
        <x:f>IF($I$1581=1,IF(OR(AND(F1599&lt;'00_Arquitectura'!$B$121,G1599&lt;'00_Arquitectura'!$B$122),F1599&lt;'00_Arquitectura'!$B$123),1,0),IF(AND(H1599=1,$H$1581=1),1,0))</x:f>
        <x:v>0</x:v>
      </x:c>
      <x:c r="J1599" s="5" t="n">
        <x:f>0</x:f>
        <x:v>0</x:v>
      </x:c>
      <x:c r="K1599" s="5" t="n">
        <x:f>$K$1583</x:f>
        <x:v>44.04351133340859</x:v>
      </x:c>
      <x:c r="L1599" s="5" t="str">
        <x:v>No aporta E_social; S y R alimentan disposición a leyes según07.</x:v>
      </x:c>
    </x:row>
    <x:row r="1600" ht="42" customHeight="1">
      <x:c r="A1600" s="10" t="str">
        <x:v>S5_SEGURIDAD</x:v>
      </x:c>
      <x:c r="B1600" s="10" t="n">
        <x:v>6</x:v>
      </x:c>
      <x:c r="C1600" s="10" t="str">
        <x:v>gobernadores</x:v>
      </x:c>
      <x:c r="D1600" s="10" t="n">
        <x:f>$F$1582</x:f>
        <x:v>50.18854643103449</x:v>
      </x:c>
      <x:c r="E1600" s="10" t="n">
        <x:f>(ABS('03_Sensibilidades'!$C$67)*IF('03_Sensibilidades'!$C$67&lt;0,100-$K$705,$K$705)+ABS('03_Sensibilidades'!$C$68)*IF('03_Sensibilidades'!$C$68&lt;0,100-$K$707,$K$707)+ABS('03_Sensibilidades'!$C$69)*IF('03_Sensibilidades'!$C$69&lt;0,100-$K$706,$K$706)+ABS('03_Sensibilidades'!$C$70)*IF('03_Sensibilidades'!$C$70&lt;0,100-$K$703,$K$703))/(ABS('03_Sensibilidades'!$C$67)+ABS('03_Sensibilidades'!$C$68)+ABS('03_Sensibilidades'!$C$69)+ABS('03_Sensibilidades'!$C$70))</x:f>
        <x:v>49.896224</x:v>
      </x:c>
      <x:c r="F1600" s="10" t="n">
        <x:f>(1-'00_Arquitectura'!$B$95)*D1600+'00_Arquitectura'!$B$95*E1600</x:f>
        <x:v>50.08623358017242</x:v>
      </x:c>
      <x:c r="G1600" s="10" t="n">
        <x:f>'02_Actores'!$I$23</x:f>
        <x:v>45</x:v>
      </x:c>
      <x:c r="H1600" s="10" t="n">
        <x:f>IF(OR(AND(F1600&lt;'00_Arquitectura'!$B$118,G1600&lt;'00_Arquitectura'!$B$119),F1600&lt;'00_Arquitectura'!$B$120),1,0)</x:f>
        <x:v>0</x:v>
      </x:c>
      <x:c r="I1600" s="10" t="n">
        <x:f>IF($I$1582=1,IF(OR(AND(F1600&lt;'00_Arquitectura'!$B$121,G1600&lt;'00_Arquitectura'!$B$122),F1600&lt;'00_Arquitectura'!$B$123),1,0),IF(AND(H1600=1,$H$1582=1),1,0))</x:f>
        <x:v>0</x:v>
      </x:c>
      <x:c r="J1600" s="10" t="n">
        <x:f>0</x:f>
        <x:v>0</x:v>
      </x:c>
      <x:c r="K1600" s="10" t="n">
        <x:f>$K$1583</x:f>
        <x:v>44.04351133340859</x:v>
      </x:c>
      <x:c r="L1600" s="10" t="str">
        <x:v>Conflicto activo captura menor eficacia en políticas ejecutadas en t+1. Magnitud0 en J: no es un offset directo de indicador.</x:v>
      </x:c>
    </x:row>
    <x:row r="1601" ht="34" customHeight="1">
      <x:c r="A1601" s="5" t="str">
        <x:v>S5_SEGURIDAD</x:v>
      </x:c>
      <x:c r="B1601" s="5" t="n">
        <x:v>7</x:v>
      </x:c>
      <x:c r="C1601" s="5" t="str">
        <x:v>industria</x:v>
      </x:c>
      <x:c r="D1601" s="5" t="n">
        <x:f>$F$1583</x:f>
        <x:v>46.47318008296296</x:v>
      </x:c>
      <x:c r="E1601" s="5" t="n">
        <x:f>(ABS('03_Sensibilidades'!$C$6)*IF('03_Sensibilidades'!$C$6&lt;0,100-$K$716,$K$716)+ABS('03_Sensibilidades'!$C$7)*IF('03_Sensibilidades'!$C$7&lt;0,100-$K$714,$K$714)+ABS('03_Sensibilidades'!$C$8)*IF('03_Sensibilidades'!$C$8&lt;0,100-$K$719,$K$719)+ABS('03_Sensibilidades'!$C$9)*IF('03_Sensibilidades'!$C$9&lt;0,100-$K$718,$K$718))/(ABS('03_Sensibilidades'!$C$6)+ABS('03_Sensibilidades'!$C$7)+ABS('03_Sensibilidades'!$C$8)+ABS('03_Sensibilidades'!$C$9))</x:f>
        <x:v>46.474085656</x:v>
      </x:c>
      <x:c r="F1601" s="5" t="n">
        <x:f>(1-'00_Arquitectura'!$B$95)*D1601+'00_Arquitectura'!$B$95*E1601</x:f>
        <x:v>46.47349703352593</x:v>
      </x:c>
      <x:c r="G1601" s="5" t="n">
        <x:f>'02_Actores'!$I$6</x:f>
        <x:v>45</x:v>
      </x:c>
      <x:c r="H1601" s="5" t="n">
        <x:f>IF(OR(AND(F1601&lt;'00_Arquitectura'!$B$118,G1601&lt;'00_Arquitectura'!$B$119),F1601&lt;'00_Arquitectura'!$B$120),1,0)</x:f>
        <x:v>0</x:v>
      </x:c>
      <x:c r="I1601" s="5" t="n">
        <x:f>IF($I$1583=1,IF(OR(AND(F1601&lt;'00_Arquitectura'!$B$121,G1601&lt;'00_Arquitectura'!$B$122),F1601&lt;'00_Arquitectura'!$B$123),1,0),IF(AND(H1601=1,$H$1583=1),1,0))</x:f>
        <x:v>0</x:v>
      </x:c>
      <x:c r="J1601" s="5" t="n">
        <x:f>-I1601*2*'02_Actores'!$E$6/10</x:f>
        <x:v>0</x:v>
      </x:c>
      <x:c r="K1601" s="5" t="n">
        <x:f>($F$1601*'02_Actores'!$F$6+$F$1602*'02_Actores'!$F$7+$F$1603*'02_Actores'!$F$8+$F$1604*'02_Actores'!$F$9+$F$1605*'02_Actores'!$F$10+$F$1606*'02_Actores'!$F$11+$F$1607*'02_Actores'!$F$12+$F$1608*'02_Actores'!$F$13+$F$1609*'02_Actores'!$F$14+$F$1610*'02_Actores'!$F$15+$F$1611*'02_Actores'!$F$16+$F$1612*'02_Actores'!$F$17+$F$1613*'02_Actores'!$F$18+$F$1614*'02_Actores'!$F$19)/('02_Actores'!$F$6+'02_Actores'!$F$7+'02_Actores'!$F$8+'02_Actores'!$F$9+'02_Actores'!$F$10+'02_Actores'!$F$11+'02_Actores'!$F$12+'02_Actores'!$F$13+'02_Actores'!$F$14+'02_Actores'!$F$15+'02_Actores'!$F$16+'02_Actores'!$F$17+'02_Actores'!$F$18+'02_Actores'!$F$19)</x:f>
        <x:v>43.939072787080704</x:v>
      </x:c>
      <x:c r="L1601" s="5" t="str">
        <x:v>J programa offset para t+1; efecto sustituible y acotado, sin voto adicional.</x:v>
      </x:c>
    </x:row>
    <x:row r="1602" ht="34" customHeight="1">
      <x:c r="A1602" s="10" t="str">
        <x:v>S5_SEGURIDAD</x:v>
      </x:c>
      <x:c r="B1602" s="10" t="n">
        <x:v>7</x:v>
      </x:c>
      <x:c r="C1602" s="10" t="str">
        <x:v>agro</x:v>
      </x:c>
      <x:c r="D1602" s="10" t="n">
        <x:f>$F$1584</x:f>
        <x:v>45.88891531785714</x:v>
      </x:c>
      <x:c r="E1602" s="10" t="n">
        <x:f>(ABS('03_Sensibilidades'!$C$10)*IF('03_Sensibilidades'!$C$10&lt;0,100-$K$718,$K$718)+ABS('03_Sensibilidades'!$C$11)*IF('03_Sensibilidades'!$C$11&lt;0,100-$K$719,$K$719)+ABS('03_Sensibilidades'!$C$12)*IF('03_Sensibilidades'!$C$12&lt;0,100-$K$726,$K$726)+ABS('03_Sensibilidades'!$C$13)*IF('03_Sensibilidades'!$C$13&lt;0,100-$K$716,$K$716))/(ABS('03_Sensibilidades'!$C$10)+ABS('03_Sensibilidades'!$C$11)+ABS('03_Sensibilidades'!$C$12)+ABS('03_Sensibilidades'!$C$13))</x:f>
        <x:v>45.88975564732142</x:v>
      </x:c>
      <x:c r="F1602" s="10" t="n">
        <x:f>(1-'00_Arquitectura'!$B$95)*D1602+'00_Arquitectura'!$B$95*E1602</x:f>
        <x:v>45.88920943316964</x:v>
      </x:c>
      <x:c r="G1602" s="10" t="n">
        <x:f>'02_Actores'!$I$7</x:f>
        <x:v>45</x:v>
      </x:c>
      <x:c r="H1602" s="10" t="n">
        <x:f>IF(OR(AND(F1602&lt;'00_Arquitectura'!$B$118,G1602&lt;'00_Arquitectura'!$B$119),F1602&lt;'00_Arquitectura'!$B$120),1,0)</x:f>
        <x:v>0</x:v>
      </x:c>
      <x:c r="I1602" s="10" t="n">
        <x:f>IF($I$1584=1,IF(OR(AND(F1602&lt;'00_Arquitectura'!$B$121,G1602&lt;'00_Arquitectura'!$B$122),F1602&lt;'00_Arquitectura'!$B$123),1,0),IF(AND(H1602=1,$H$1584=1),1,0))</x:f>
        <x:v>0</x:v>
      </x:c>
      <x:c r="J1602" s="10" t="n">
        <x:f>-I1602*2*'02_Actores'!$E$7/10</x:f>
        <x:v>0</x:v>
      </x:c>
      <x:c r="K1602" s="10" t="n">
        <x:f>$K$1601</x:f>
        <x:v>43.939072787080704</x:v>
      </x:c>
      <x:c r="L1602" s="10" t="str">
        <x:v>J programa offset para t+1; efecto sustituible y acotado, sin voto adicional.</x:v>
      </x:c>
    </x:row>
    <x:row r="1603" ht="34" customHeight="1">
      <x:c r="A1603" s="5" t="str">
        <x:v>S5_SEGURIDAD</x:v>
      </x:c>
      <x:c r="B1603" s="5" t="n">
        <x:v>7</x:v>
      </x:c>
      <x:c r="C1603" s="5" t="str">
        <x:v>financiero</x:v>
      </x:c>
      <x:c r="D1603" s="5" t="n">
        <x:f>$F$1585</x:f>
        <x:v>50.194333123620694</x:v>
      </x:c>
      <x:c r="E1603" s="5" t="n">
        <x:f>(ABS('03_Sensibilidades'!$C$14)*IF('03_Sensibilidades'!$C$14&lt;0,100-$K$717,$K$717)+ABS('03_Sensibilidades'!$C$15)*IF('03_Sensibilidades'!$C$15&lt;0,100-$K$713,$K$713)+ABS('03_Sensibilidades'!$C$16)*IF('03_Sensibilidades'!$C$16&lt;0,100-$K$716,$K$716)+ABS('03_Sensibilidades'!$C$17)*IF('03_Sensibilidades'!$C$17&lt;0,100-$K$725,$K$725))/(ABS('03_Sensibilidades'!$C$14)+ABS('03_Sensibilidades'!$C$15)+ABS('03_Sensibilidades'!$C$16)+ABS('03_Sensibilidades'!$C$17))</x:f>
        <x:v>50.71926942672414</x:v>
      </x:c>
      <x:c r="F1603" s="5" t="n">
        <x:f>(1-'00_Arquitectura'!$B$95)*D1603+'00_Arquitectura'!$B$95*E1603</x:f>
        <x:v>50.3780608297069</x:v>
      </x:c>
      <x:c r="G1603" s="5" t="n">
        <x:f>'02_Actores'!$I$8</x:f>
        <x:v>45</x:v>
      </x:c>
      <x:c r="H1603" s="5" t="n">
        <x:f>IF(OR(AND(F1603&lt;'00_Arquitectura'!$B$118,G1603&lt;'00_Arquitectura'!$B$119),F1603&lt;'00_Arquitectura'!$B$120),1,0)</x:f>
        <x:v>0</x:v>
      </x:c>
      <x:c r="I1603" s="5" t="n">
        <x:f>IF($I$1585=1,IF(OR(AND(F1603&lt;'00_Arquitectura'!$B$121,G1603&lt;'00_Arquitectura'!$B$122),F1603&lt;'00_Arquitectura'!$B$123),1,0),IF(AND(H1603=1,$H$1585=1),1,0))</x:f>
        <x:v>0</x:v>
      </x:c>
      <x:c r="J1603" s="5" t="n">
        <x:f>-I1603*2*'02_Actores'!$E$8/10</x:f>
        <x:v>0</x:v>
      </x:c>
      <x:c r="K1603" s="5" t="n">
        <x:f>$K$1601</x:f>
        <x:v>43.939072787080704</x:v>
      </x:c>
      <x:c r="L1603" s="5" t="str">
        <x:v>J programa offset para t+1; efecto sustituible y acotado, sin voto adicional.</x:v>
      </x:c>
    </x:row>
    <x:row r="1604" ht="34" customHeight="1">
      <x:c r="A1604" s="10" t="str">
        <x:v>S5_SEGURIDAD</x:v>
      </x:c>
      <x:c r="B1604" s="10" t="n">
        <x:v>7</x:v>
      </x:c>
      <x:c r="C1604" s="10" t="str">
        <x:v>sindicatos</x:v>
      </x:c>
      <x:c r="D1604" s="10" t="n">
        <x:f>$F$1586</x:f>
        <x:v>43.15734278448276</x:v>
      </x:c>
      <x:c r="E1604" s="10" t="n">
        <x:f>(ABS('03_Sensibilidades'!$C$18)*IF('03_Sensibilidades'!$C$18&lt;0,100-$K$715,$K$715)+ABS('03_Sensibilidades'!$C$19)*IF('03_Sensibilidades'!$C$19&lt;0,100-$K$714,$K$714)+ABS('03_Sensibilidades'!$C$20)*IF('03_Sensibilidades'!$C$20&lt;0,100-$K$722,$K$722)+ABS('03_Sensibilidades'!$C$21)*IF('03_Sensibilidades'!$C$21&lt;0,100-$K$725,$K$725))/(ABS('03_Sensibilidades'!$C$18)+ABS('03_Sensibilidades'!$C$19)+ABS('03_Sensibilidades'!$C$20)+ABS('03_Sensibilidades'!$C$21))</x:f>
        <x:v>42.96265383365517</x:v>
      </x:c>
      <x:c r="F1604" s="10" t="n">
        <x:f>(1-'00_Arquitectura'!$B$95)*D1604+'00_Arquitectura'!$B$95*E1604</x:f>
        <x:v>43.0892016516931</x:v>
      </x:c>
      <x:c r="G1604" s="10" t="n">
        <x:f>'02_Actores'!$I$9</x:f>
        <x:v>45</x:v>
      </x:c>
      <x:c r="H1604" s="10" t="n">
        <x:f>IF(OR(AND(F1604&lt;'00_Arquitectura'!$B$118,G1604&lt;'00_Arquitectura'!$B$119),F1604&lt;'00_Arquitectura'!$B$120),1,0)</x:f>
        <x:v>0</x:v>
      </x:c>
      <x:c r="I1604" s="10" t="n">
        <x:f>IF($I$1586=1,IF(OR(AND(F1604&lt;'00_Arquitectura'!$B$121,G1604&lt;'00_Arquitectura'!$B$122),F1604&lt;'00_Arquitectura'!$B$123),1,0),IF(AND(H1604=1,$H$1586=1),1,0))</x:f>
        <x:v>0</x:v>
      </x:c>
      <x:c r="J1604" s="10" t="n">
        <x:f>-I1604*2*'02_Actores'!$E$9/10</x:f>
        <x:v>0</x:v>
      </x:c>
      <x:c r="K1604" s="10" t="n">
        <x:f>$K$1601</x:f>
        <x:v>43.939072787080704</x:v>
      </x:c>
      <x:c r="L1604" s="10" t="str">
        <x:v>J programa offset para t+1; efecto sustituible y acotado, sin voto adicional.</x:v>
      </x:c>
    </x:row>
    <x:row r="1605" ht="34" customHeight="1">
      <x:c r="A1605" s="5" t="str">
        <x:v>S5_SEGURIDAD</x:v>
      </x:c>
      <x:c r="B1605" s="5" t="n">
        <x:v>7</x:v>
      </x:c>
      <x:c r="C1605" s="5" t="str">
        <x:v>pymes</x:v>
      </x:c>
      <x:c r="D1605" s="5" t="n">
        <x:f>$F$1587</x:f>
        <x:v>49.12847485517241</x:v>
      </x:c>
      <x:c r="E1605" s="5" t="n">
        <x:f>(ABS('03_Sensibilidades'!$C$22)*IF('03_Sensibilidades'!$C$22&lt;0,100-$K$716,$K$716)+ABS('03_Sensibilidades'!$C$23)*IF('03_Sensibilidades'!$C$23&lt;0,100-$K$714,$K$714)+ABS('03_Sensibilidades'!$C$24)*IF('03_Sensibilidades'!$C$24&lt;0,100-$K$719,$K$719)+ABS('03_Sensibilidades'!$C$25)*IF('03_Sensibilidades'!$C$25&lt;0,100-$K$713,$K$713))/(ABS('03_Sensibilidades'!$C$22)+ABS('03_Sensibilidades'!$C$23)+ABS('03_Sensibilidades'!$C$24)+ABS('03_Sensibilidades'!$C$25))</x:f>
        <x:v>49.129585635379314</x:v>
      </x:c>
      <x:c r="F1605" s="5" t="n">
        <x:f>(1-'00_Arquitectura'!$B$95)*D1605+'00_Arquitectura'!$B$95*E1605</x:f>
        <x:v>49.12886362824483</x:v>
      </x:c>
      <x:c r="G1605" s="5" t="n">
        <x:f>'02_Actores'!$I$10</x:f>
        <x:v>45</x:v>
      </x:c>
      <x:c r="H1605" s="5" t="n">
        <x:f>IF(OR(AND(F1605&lt;'00_Arquitectura'!$B$118,G1605&lt;'00_Arquitectura'!$B$119),F1605&lt;'00_Arquitectura'!$B$120),1,0)</x:f>
        <x:v>0</x:v>
      </x:c>
      <x:c r="I1605" s="5" t="n">
        <x:f>IF($I$1587=1,IF(OR(AND(F1605&lt;'00_Arquitectura'!$B$121,G1605&lt;'00_Arquitectura'!$B$122),F1605&lt;'00_Arquitectura'!$B$123),1,0),IF(AND(H1605=1,$H$1587=1),1,0))</x:f>
        <x:v>0</x:v>
      </x:c>
      <x:c r="J1605" s="5" t="n">
        <x:f>-I1605*2*'02_Actores'!$E$10/10</x:f>
        <x:v>0</x:v>
      </x:c>
      <x:c r="K1605" s="5" t="n">
        <x:f>$K$1601</x:f>
        <x:v>43.939072787080704</x:v>
      </x:c>
      <x:c r="L1605" s="5" t="str">
        <x:v>J programa offset para t+1; efecto sustituible y acotado, sin voto adicional.</x:v>
      </x:c>
    </x:row>
    <x:row r="1606" ht="34" customHeight="1">
      <x:c r="A1606" s="10" t="str">
        <x:v>S5_SEGURIDAD</x:v>
      </x:c>
      <x:c r="B1606" s="10" t="n">
        <x:v>7</x:v>
      </x:c>
      <x:c r="C1606" s="10" t="str">
        <x:v>clase_media</x:v>
      </x:c>
      <x:c r="D1606" s="10" t="n">
        <x:f>$F$1588</x:f>
        <x:v>49.10306987326389</x:v>
      </x:c>
      <x:c r="E1606" s="10" t="n">
        <x:f>(ABS('03_Sensibilidades'!$C$26)*IF('03_Sensibilidades'!$C$26&lt;0,100-$K$715,$K$715)+ABS('03_Sensibilidades'!$C$27)*IF('03_Sensibilidades'!$C$27&lt;0,100-$K$723,$K$723)+ABS('03_Sensibilidades'!$C$28)*IF('03_Sensibilidades'!$C$28&lt;0,100-$K$720,$K$720)+ABS('03_Sensibilidades'!$C$29)*IF('03_Sensibilidades'!$C$29&lt;0,100-$K$713,$K$713))/(ABS('03_Sensibilidades'!$C$26)+ABS('03_Sensibilidades'!$C$27)+ABS('03_Sensibilidades'!$C$28)+ABS('03_Sensibilidades'!$C$29))</x:f>
        <x:v>48.332788666666666</x:v>
      </x:c>
      <x:c r="F1606" s="10" t="n">
        <x:f>(1-'00_Arquitectura'!$B$95)*D1606+'00_Arquitectura'!$B$95*E1606</x:f>
        <x:v>48.83347145095486</x:v>
      </x:c>
      <x:c r="G1606" s="10" t="n">
        <x:f>'02_Actores'!$I$11</x:f>
        <x:v>45</x:v>
      </x:c>
      <x:c r="H1606" s="10" t="n">
        <x:f>IF(OR(AND(F1606&lt;'00_Arquitectura'!$B$118,G1606&lt;'00_Arquitectura'!$B$119),F1606&lt;'00_Arquitectura'!$B$120),1,0)</x:f>
        <x:v>0</x:v>
      </x:c>
      <x:c r="I1606" s="10" t="n">
        <x:f>IF($I$1588=1,IF(OR(AND(F1606&lt;'00_Arquitectura'!$B$121,G1606&lt;'00_Arquitectura'!$B$122),F1606&lt;'00_Arquitectura'!$B$123),1,0),IF(AND(H1606=1,$H$1588=1),1,0))</x:f>
        <x:v>0</x:v>
      </x:c>
      <x:c r="J1606" s="10" t="n">
        <x:f>0</x:f>
        <x:v>0</x:v>
      </x:c>
      <x:c r="K1606" s="10" t="n">
        <x:f>$K$1601</x:f>
        <x:v>43.939072787080704</x:v>
      </x:c>
      <x:c r="L1606" s="10" t="str">
        <x:v>Canal directo sólo al índice social; sin bono de popularidad.</x:v>
      </x:c>
    </x:row>
    <x:row r="1607" ht="34" customHeight="1">
      <x:c r="A1607" s="5" t="str">
        <x:v>S5_SEGURIDAD</x:v>
      </x:c>
      <x:c r="B1607" s="5" t="n">
        <x:v>7</x:v>
      </x:c>
      <x:c r="C1607" s="5" t="str">
        <x:v>cooperativas</x:v>
      </x:c>
      <x:c r="D1607" s="5" t="n">
        <x:f>$F$1589</x:f>
        <x:v>42.64541122999999</x:v>
      </x:c>
      <x:c r="E1607" s="5" t="n">
        <x:f>(ABS('03_Sensibilidades'!$C$30)*IF('03_Sensibilidades'!$C$30&lt;0,100-$K$716,$K$716)+ABS('03_Sensibilidades'!$C$31)*IF('03_Sensibilidades'!$C$31&lt;0,100-$K$714,$K$714)+ABS('03_Sensibilidades'!$C$32)*IF('03_Sensibilidades'!$C$32&lt;0,100-$K$722,$K$722)+ABS('03_Sensibilidades'!$C$33)*IF('03_Sensibilidades'!$C$33&lt;0,100-$K$725,$K$725))/(ABS('03_Sensibilidades'!$C$30)+ABS('03_Sensibilidades'!$C$31)+ABS('03_Sensibilidades'!$C$32)+ABS('03_Sensibilidades'!$C$33))</x:f>
        <x:v>42.437973097148145</x:v>
      </x:c>
      <x:c r="F1607" s="5" t="n">
        <x:f>(1-'00_Arquitectura'!$B$95)*D1607+'00_Arquitectura'!$B$95*E1607</x:f>
        <x:v>42.572807883501845</x:v>
      </x:c>
      <x:c r="G1607" s="5" t="n">
        <x:f>'02_Actores'!$I$12</x:f>
        <x:v>45</x:v>
      </x:c>
      <x:c r="H1607" s="5" t="n">
        <x:f>IF(OR(AND(F1607&lt;'00_Arquitectura'!$B$118,G1607&lt;'00_Arquitectura'!$B$119),F1607&lt;'00_Arquitectura'!$B$120),1,0)</x:f>
        <x:v>0</x:v>
      </x:c>
      <x:c r="I1607" s="5" t="n">
        <x:f>IF($I$1589=1,IF(OR(AND(F1607&lt;'00_Arquitectura'!$B$121,G1607&lt;'00_Arquitectura'!$B$122),F1607&lt;'00_Arquitectura'!$B$123),1,0),IF(AND(H1607=1,$H$1589=1),1,0))</x:f>
        <x:v>0</x:v>
      </x:c>
      <x:c r="J1607" s="5" t="n">
        <x:f>-I1607*1.5*'02_Actores'!$E$12/10</x:f>
        <x:v>0</x:v>
      </x:c>
      <x:c r="K1607" s="5" t="n">
        <x:f>$K$1601</x:f>
        <x:v>43.939072787080704</x:v>
      </x:c>
      <x:c r="L1607" s="5" t="str">
        <x:v>J programa offset para t+1; efecto sustituible y acotado, sin voto adicional.</x:v>
      </x:c>
    </x:row>
    <x:row r="1608" ht="42" customHeight="1">
      <x:c r="A1608" s="10" t="str">
        <x:v>S5_SEGURIDAD</x:v>
      </x:c>
      <x:c r="B1608" s="10" t="n">
        <x:v>7</x:v>
      </x:c>
      <x:c r="C1608" s="10" t="str">
        <x:v>estudiantes</x:v>
      </x:c>
      <x:c r="D1608" s="10" t="n">
        <x:f>$F$1590</x:f>
        <x:v>39.513439742500005</x:v>
      </x:c>
      <x:c r="E1608" s="10" t="n">
        <x:f>(ABS('03_Sensibilidades'!$C$34)*IF('03_Sensibilidades'!$C$34&lt;0,100-$K$720,$K$720)+ABS('03_Sensibilidades'!$C$35)*IF('03_Sensibilidades'!$C$35&lt;0,100-$K$715,$K$715)+ABS('03_Sensibilidades'!$C$36)*IF('03_Sensibilidades'!$C$36&lt;0,100-$K$725,$K$725)+ABS('03_Sensibilidades'!$C$37)*IF('03_Sensibilidades'!$C$37&lt;0,100-$K$724,$K$724))/(ABS('03_Sensibilidades'!$C$34)+ABS('03_Sensibilidades'!$C$35)+ABS('03_Sensibilidades'!$C$36)+ABS('03_Sensibilidades'!$C$37))</x:f>
        <x:v>39.11970588</x:v>
      </x:c>
      <x:c r="F1608" s="10" t="n">
        <x:f>(1-'00_Arquitectura'!$B$95)*D1608+'00_Arquitectura'!$B$95*E1608</x:f>
        <x:v>39.375632890625</x:v>
      </x:c>
      <x:c r="G1608" s="10" t="n">
        <x:f>'02_Actores'!$I$13</x:f>
        <x:v>45</x:v>
      </x:c>
      <x:c r="H1608" s="10" t="n">
        <x:f>IF(OR(AND(F1608&lt;'00_Arquitectura'!$B$118,G1608&lt;'00_Arquitectura'!$B$119),F1608&lt;'00_Arquitectura'!$B$120),1,0)</x:f>
        <x:v>0</x:v>
      </x:c>
      <x:c r="I1608" s="10" t="n">
        <x:f>IF($I$1590=1,IF(OR(AND(F1608&lt;'00_Arquitectura'!$B$121,G1608&lt;'00_Arquitectura'!$B$122),F1608&lt;'00_Arquitectura'!$B$123),1,0),IF(AND(H1608=1,$H$1590=1),1,0))</x:f>
        <x:v>0</x:v>
      </x:c>
      <x:c r="J1608" s="10" t="n">
        <x:f>0</x:f>
        <x:v>0</x:v>
      </x:c>
      <x:c r="K1608" s="10" t="n">
        <x:f>$K$1601</x:f>
        <x:v>43.939072787080704</x:v>
      </x:c>
      <x:c r="L1608" s="10" t="str">
        <x:v>Conflicto activo captura menor eficacia en políticas ejecutadas en t+1. Magnitud0 en J: no es un offset directo de indicador.</x:v>
      </x:c>
    </x:row>
    <x:row r="1609" ht="34" customHeight="1">
      <x:c r="A1609" s="5" t="str">
        <x:v>S5_SEGURIDAD</x:v>
      </x:c>
      <x:c r="B1609" s="5" t="n">
        <x:v>7</x:v>
      </x:c>
      <x:c r="C1609" s="5" t="str">
        <x:v>docentes</x:v>
      </x:c>
      <x:c r="D1609" s="5" t="n">
        <x:f>$F$1591</x:f>
        <x:v>42.89639162391304</x:v>
      </x:c>
      <x:c r="E1609" s="5" t="n">
        <x:f>(ABS('03_Sensibilidades'!$C$38)*IF('03_Sensibilidades'!$C$38&lt;0,100-$K$720,$K$720)+ABS('03_Sensibilidades'!$C$39)*IF('03_Sensibilidades'!$C$39&lt;0,100-$K$715,$K$715)+ABS('03_Sensibilidades'!$C$40)*IF('03_Sensibilidades'!$C$40&lt;0,100-$K$725,$K$725))/(ABS('03_Sensibilidades'!$C$38)+ABS('03_Sensibilidades'!$C$39)+ABS('03_Sensibilidades'!$C$40))</x:f>
        <x:v>42.651598460869565</x:v>
      </x:c>
      <x:c r="F1609" s="5" t="n">
        <x:f>(1-'00_Arquitectura'!$B$95)*D1609+'00_Arquitectura'!$B$95*E1609</x:f>
        <x:v>42.810714016847825</x:v>
      </x:c>
      <x:c r="G1609" s="5" t="n">
        <x:f>'02_Actores'!$I$14</x:f>
        <x:v>45</x:v>
      </x:c>
      <x:c r="H1609" s="5" t="n">
        <x:f>IF(OR(AND(F1609&lt;'00_Arquitectura'!$B$118,G1609&lt;'00_Arquitectura'!$B$119),F1609&lt;'00_Arquitectura'!$B$120),1,0)</x:f>
        <x:v>0</x:v>
      </x:c>
      <x:c r="I1609" s="5" t="n">
        <x:f>IF($I$1591=1,IF(OR(AND(F1609&lt;'00_Arquitectura'!$B$121,G1609&lt;'00_Arquitectura'!$B$122),F1609&lt;'00_Arquitectura'!$B$123),1,0),IF(AND(H1609=1,$H$1591=1),1,0))</x:f>
        <x:v>0</x:v>
      </x:c>
      <x:c r="J1609" s="5" t="n">
        <x:f>-I1609*1.5*'02_Actores'!$E$14/10</x:f>
        <x:v>0</x:v>
      </x:c>
      <x:c r="K1609" s="5" t="n">
        <x:f>$K$1601</x:f>
        <x:v>43.939072787080704</x:v>
      </x:c>
      <x:c r="L1609" s="5" t="str">
        <x:v>J programa offset para t+1; efecto sustituible y acotado, sin voto adicional.</x:v>
      </x:c>
    </x:row>
    <x:row r="1610" ht="34" customHeight="1">
      <x:c r="A1610" s="10" t="str">
        <x:v>S5_SEGURIDAD</x:v>
      </x:c>
      <x:c r="B1610" s="10" t="n">
        <x:v>7</x:v>
      </x:c>
      <x:c r="C1610" s="10" t="str">
        <x:v>cientificos</x:v>
      </x:c>
      <x:c r="D1610" s="10" t="n">
        <x:f>$F$1592</x:f>
        <x:v>38.728535440340906</x:v>
      </x:c>
      <x:c r="E1610" s="10" t="n">
        <x:f>(ABS('03_Sensibilidades'!$C$41)*IF('03_Sensibilidades'!$C$41&lt;0,100-$K$724,$K$724)+ABS('03_Sensibilidades'!$C$42)*IF('03_Sensibilidades'!$C$42&lt;0,100-$K$720,$K$720)+ABS('03_Sensibilidades'!$C$43)*IF('03_Sensibilidades'!$C$43&lt;0,100-$K$725,$K$725))/(ABS('03_Sensibilidades'!$C$41)+ABS('03_Sensibilidades'!$C$42)+ABS('03_Sensibilidades'!$C$43))</x:f>
        <x:v>38.40909090909091</x:v>
      </x:c>
      <x:c r="F1610" s="10" t="n">
        <x:f>(1-'00_Arquitectura'!$B$95)*D1610+'00_Arquitectura'!$B$95*E1610</x:f>
        <x:v>38.6167298544034</x:v>
      </x:c>
      <x:c r="G1610" s="10" t="n">
        <x:f>'02_Actores'!$I$15</x:f>
        <x:v>45</x:v>
      </x:c>
      <x:c r="H1610" s="10" t="n">
        <x:f>IF(OR(AND(F1610&lt;'00_Arquitectura'!$B$118,G1610&lt;'00_Arquitectura'!$B$119),F1610&lt;'00_Arquitectura'!$B$120),1,0)</x:f>
        <x:v>0</x:v>
      </x:c>
      <x:c r="I1610" s="10" t="n">
        <x:f>IF($I$1592=1,IF(OR(AND(F1610&lt;'00_Arquitectura'!$B$121,G1610&lt;'00_Arquitectura'!$B$122),F1610&lt;'00_Arquitectura'!$B$123),1,0),IF(AND(H1610=1,$H$1592=1),1,0))</x:f>
        <x:v>0</x:v>
      </x:c>
      <x:c r="J1610" s="10" t="n">
        <x:f>-I1610*1.5*'02_Actores'!$E$15/10</x:f>
        <x:v>0</x:v>
      </x:c>
      <x:c r="K1610" s="10" t="n">
        <x:f>$K$1601</x:f>
        <x:v>43.939072787080704</x:v>
      </x:c>
      <x:c r="L1610" s="10" t="str">
        <x:v>J programa offset para t+1; efecto sustituible y acotado, sin voto adicional.</x:v>
      </x:c>
    </x:row>
    <x:row r="1611" ht="34" customHeight="1">
      <x:c r="A1611" s="5" t="str">
        <x:v>S5_SEGURIDAD</x:v>
      </x:c>
      <x:c r="B1611" s="5" t="n">
        <x:v>7</x:v>
      </x:c>
      <x:c r="C1611" s="5" t="str">
        <x:v>organizaciones</x:v>
      </x:c>
      <x:c r="D1611" s="5" t="n">
        <x:f>$F$1593</x:f>
        <x:v>42.928290060267855</x:v>
      </x:c>
      <x:c r="E1611" s="5" t="n">
        <x:f>(ABS('03_Sensibilidades'!$C$44)*IF('03_Sensibilidades'!$C$44&lt;0,100-$K$722,$K$722)+ABS('03_Sensibilidades'!$C$45)*IF('03_Sensibilidades'!$C$45&lt;0,100-$K$721,$K$721)+ABS('03_Sensibilidades'!$C$46)*IF('03_Sensibilidades'!$C$46&lt;0,100-$K$714,$K$714)+ABS('03_Sensibilidades'!$C$47)*IF('03_Sensibilidades'!$C$47&lt;0,100-$K$725,$K$725))/(ABS('03_Sensibilidades'!$C$44)+ABS('03_Sensibilidades'!$C$45)+ABS('03_Sensibilidades'!$C$46)+ABS('03_Sensibilidades'!$C$47))</x:f>
        <x:v>42.67694445657143</x:v>
      </x:c>
      <x:c r="F1611" s="5" t="n">
        <x:f>(1-'00_Arquitectura'!$B$95)*D1611+'00_Arquitectura'!$B$95*E1611</x:f>
        <x:v>42.840319098974106</x:v>
      </x:c>
      <x:c r="G1611" s="5" t="n">
        <x:f>'02_Actores'!$I$16</x:f>
        <x:v>45</x:v>
      </x:c>
      <x:c r="H1611" s="5" t="n">
        <x:f>IF(OR(AND(F1611&lt;'00_Arquitectura'!$B$118,G1611&lt;'00_Arquitectura'!$B$119),F1611&lt;'00_Arquitectura'!$B$120),1,0)</x:f>
        <x:v>0</x:v>
      </x:c>
      <x:c r="I1611" s="5" t="n">
        <x:f>IF($I$1593=1,IF(OR(AND(F1611&lt;'00_Arquitectura'!$B$121,G1611&lt;'00_Arquitectura'!$B$122),F1611&lt;'00_Arquitectura'!$B$123),1,0),IF(AND(H1611=1,$H$1593=1),1,0))</x:f>
        <x:v>0</x:v>
      </x:c>
      <x:c r="J1611" s="5" t="n">
        <x:f>-I1611*1.5*'02_Actores'!$E$16/10</x:f>
        <x:v>0</x:v>
      </x:c>
      <x:c r="K1611" s="5" t="n">
        <x:f>$K$1601</x:f>
        <x:v>43.939072787080704</x:v>
      </x:c>
      <x:c r="L1611" s="5" t="str">
        <x:v>J programa offset para t+1; efecto sustituible y acotado, sin voto adicional.</x:v>
      </x:c>
    </x:row>
    <x:row r="1612" ht="42" customHeight="1">
      <x:c r="A1612" s="10" t="str">
        <x:v>S5_SEGURIDAD</x:v>
      </x:c>
      <x:c r="B1612" s="10" t="n">
        <x:v>7</x:v>
      </x:c>
      <x:c r="C1612" s="10" t="str">
        <x:v>ddhh</x:v>
      </x:c>
      <x:c r="D1612" s="10" t="n">
        <x:f>$F$1594</x:f>
        <x:v>31.05676439797794</x:v>
      </x:c>
      <x:c r="E1612" s="10" t="n">
        <x:f>(ABS('03_Sensibilidades'!$C$48)*IF('03_Sensibilidades'!$C$48&lt;0,100-$K$725,$K$725)+ABS('03_Sensibilidades'!$C$49)*IF('03_Sensibilidades'!$C$49&lt;0,100-$K$723,$K$723)+ABS('03_Sensibilidades'!$C$50)*IF('03_Sensibilidades'!$C$50&lt;0,100-$K$722,$K$722))/(ABS('03_Sensibilidades'!$C$48)+ABS('03_Sensibilidades'!$C$49)+ABS('03_Sensibilidades'!$C$50))</x:f>
        <x:v>29.705882352941178</x:v>
      </x:c>
      <x:c r="F1612" s="10" t="n">
        <x:f>(1-'00_Arquitectura'!$B$95)*D1612+'00_Arquitectura'!$B$95*E1612</x:f>
        <x:v>30.58395568221507</x:v>
      </x:c>
      <x:c r="G1612" s="10" t="n">
        <x:f>30</x:f>
        <x:v>30</x:v>
      </x:c>
      <x:c r="H1612" s="10" t="n">
        <x:f>IF(OR(AND(F1612&lt;'00_Arquitectura'!$B$118,G1612&lt;'00_Arquitectura'!$B$119),F1612&lt;'00_Arquitectura'!$B$120),1,0)</x:f>
        <x:v>1</x:v>
      </x:c>
      <x:c r="I1612" s="10" t="n">
        <x:f>IF($I$1594=1,IF(OR(AND(F1612&lt;'00_Arquitectura'!$B$121,G1612&lt;'00_Arquitectura'!$B$122),F1612&lt;'00_Arquitectura'!$B$123),1,0),IF(AND(H1612=1,$H$1594=1),1,0))</x:f>
        <x:v>1</x:v>
      </x:c>
      <x:c r="J1612" s="10" t="n">
        <x:f>0</x:f>
        <x:v>0</x:v>
      </x:c>
      <x:c r="K1612" s="10" t="n">
        <x:f>$K$1601</x:f>
        <x:v>43.939072787080704</x:v>
      </x:c>
      <x:c r="L1612" s="10" t="str">
        <x:v>Conflicto activo captura menor eficacia en políticas ejecutadas en t+1. Magnitud0 en J: no es un offset directo de indicador.</x:v>
      </x:c>
    </x:row>
    <x:row r="1613" ht="42" customHeight="1">
      <x:c r="A1613" s="5" t="str">
        <x:v>S5_SEGURIDAD</x:v>
      </x:c>
      <x:c r="B1613" s="5" t="n">
        <x:v>7</x:v>
      </x:c>
      <x:c r="C1613" s="5" t="str">
        <x:v>ambientalistas</x:v>
      </x:c>
      <x:c r="D1613" s="5" t="n">
        <x:f>$F$1595</x:f>
        <x:v>41.77932109374999</x:v>
      </x:c>
      <x:c r="E1613" s="5" t="n">
        <x:f>(ABS('03_Sensibilidades'!$C$51)*IF('03_Sensibilidades'!$C$51&lt;0,100-$K$726,$K$726)+ABS('03_Sensibilidades'!$C$52)*IF('03_Sensibilidades'!$C$52&lt;0,100-$K$725,$K$725)+ABS('03_Sensibilidades'!$C$53)*IF('03_Sensibilidades'!$C$53&lt;0,100-$K$721,$K$721))/(ABS('03_Sensibilidades'!$C$51)+ABS('03_Sensibilidades'!$C$52)+ABS('03_Sensibilidades'!$C$53))</x:f>
        <x:v>41.388888888888886</x:v>
      </x:c>
      <x:c r="F1613" s="5" t="n">
        <x:f>(1-'00_Arquitectura'!$B$95)*D1613+'00_Arquitectura'!$B$95*E1613</x:f>
        <x:v>41.6426698220486</x:v>
      </x:c>
      <x:c r="G1613" s="5" t="n">
        <x:f>'02_Actores'!$I$18</x:f>
        <x:v>45</x:v>
      </x:c>
      <x:c r="H1613" s="5" t="n">
        <x:f>IF(OR(AND(F1613&lt;'00_Arquitectura'!$B$118,G1613&lt;'00_Arquitectura'!$B$119),F1613&lt;'00_Arquitectura'!$B$120),1,0)</x:f>
        <x:v>0</x:v>
      </x:c>
      <x:c r="I1613" s="5" t="n">
        <x:f>IF($I$1595=1,IF(OR(AND(F1613&lt;'00_Arquitectura'!$B$121,G1613&lt;'00_Arquitectura'!$B$122),F1613&lt;'00_Arquitectura'!$B$123),1,0),IF(AND(H1613=1,$H$1595=1),1,0))</x:f>
        <x:v>0</x:v>
      </x:c>
      <x:c r="J1613" s="5" t="n">
        <x:f>0</x:f>
        <x:v>0</x:v>
      </x:c>
      <x:c r="K1613" s="5" t="n">
        <x:f>$K$1601</x:f>
        <x:v>43.939072787080704</x:v>
      </x:c>
      <x:c r="L1613" s="5" t="str">
        <x:v>Conflicto activo captura menor eficacia en políticas ejecutadas en t+1. Magnitud0 en J: no es un offset directo de indicador.</x:v>
      </x:c>
    </x:row>
    <x:row r="1614" ht="34" customHeight="1">
      <x:c r="A1614" s="10" t="str">
        <x:v>S5_SEGURIDAD</x:v>
      </x:c>
      <x:c r="B1614" s="10" t="n">
        <x:v>7</x:v>
      </x:c>
      <x:c r="C1614" s="10" t="str">
        <x:v>cultura</x:v>
      </x:c>
      <x:c r="D1614" s="10" t="n">
        <x:f>$F$1596</x:f>
        <x:v>36.22323944736843</x:v>
      </x:c>
      <x:c r="E1614" s="10" t="n">
        <x:f>(ABS('03_Sensibilidades'!$C$54)*IF('03_Sensibilidades'!$C$54&lt;0,100-$K$725,$K$725)+ABS('03_Sensibilidades'!$C$55)*IF('03_Sensibilidades'!$C$55&lt;0,100-$K$720,$K$720)+ABS('03_Sensibilidades'!$C$56)*IF('03_Sensibilidades'!$C$56&lt;0,100-$K$715,$K$715))/(ABS('03_Sensibilidades'!$C$54)+ABS('03_Sensibilidades'!$C$55)+ABS('03_Sensibilidades'!$C$56))</x:f>
        <x:v>35.63119194736842</x:v>
      </x:c>
      <x:c r="F1614" s="10" t="n">
        <x:f>(1-'00_Arquitectura'!$B$95)*D1614+'00_Arquitectura'!$B$95*E1614</x:f>
        <x:v>36.01602282236843</x:v>
      </x:c>
      <x:c r="G1614" s="10" t="n">
        <x:f>'02_Actores'!$I$19</x:f>
        <x:v>45</x:v>
      </x:c>
      <x:c r="H1614" s="10" t="n">
        <x:f>IF(OR(AND(F1614&lt;'00_Arquitectura'!$B$118,G1614&lt;'00_Arquitectura'!$B$119),F1614&lt;'00_Arquitectura'!$B$120),1,0)</x:f>
        <x:v>0</x:v>
      </x:c>
      <x:c r="I1614" s="10" t="n">
        <x:f>IF($I$1596=1,IF(OR(AND(F1614&lt;'00_Arquitectura'!$B$121,G1614&lt;'00_Arquitectura'!$B$122),F1614&lt;'00_Arquitectura'!$B$123),1,0),IF(AND(H1614=1,$H$1596=1),1,0))</x:f>
        <x:v>0</x:v>
      </x:c>
      <x:c r="J1614" s="10" t="n">
        <x:f>0</x:f>
        <x:v>0</x:v>
      </x:c>
      <x:c r="K1614" s="10" t="n">
        <x:f>$K$1601</x:f>
        <x:v>43.939072787080704</x:v>
      </x:c>
      <x:c r="L1614" s="10" t="str">
        <x:v>Conflicto activo encarece agenda del turno siguiente; sin castigo electoral adicional.</x:v>
      </x:c>
    </x:row>
    <x:row r="1615" ht="34" customHeight="1">
      <x:c r="A1615" s="5" t="str">
        <x:v>S5_SEGURIDAD</x:v>
      </x:c>
      <x:c r="B1615" s="5" t="n">
        <x:v>7</x:v>
      </x:c>
      <x:c r="C1615" s="5" t="str">
        <x:v>oficialismo</x:v>
      </x:c>
      <x:c r="D1615" s="5" t="n">
        <x:f>$F$1597</x:f>
        <x:v>43.795462618</x:v>
      </x:c>
      <x:c r="E1615" s="5" t="n">
        <x:f>(ABS('03_Sensibilidades'!$C$57)*IF('03_Sensibilidades'!$C$57&lt;0,100-$K$725,$K$725)+ABS('03_Sensibilidades'!$C$58)*IF('03_Sensibilidades'!$C$58&lt;0,100-$K$714,$K$714)+ABS('03_Sensibilidades'!$C$59)*IF('03_Sensibilidades'!$C$59&lt;0,100-$K$717,$K$717)+ABS('03_Sensibilidades'!$C$60)*IF('03_Sensibilidades'!$C$60&lt;0,100-$K$722,$K$722))/(ABS('03_Sensibilidades'!$C$57)+ABS('03_Sensibilidades'!$C$58)+ABS('03_Sensibilidades'!$C$59)+ABS('03_Sensibilidades'!$C$60))</x:f>
        <x:v>43.957099796479994</x:v>
      </x:c>
      <x:c r="F1615" s="5" t="n">
        <x:f>(1-'00_Arquitectura'!$B$95)*D1615+'00_Arquitectura'!$B$95*E1615</x:f>
        <x:v>43.852035630468</x:v>
      </x:c>
      <x:c r="G1615" s="5" t="n">
        <x:f>'02_Actores'!$I$20</x:f>
        <x:v>60</x:v>
      </x:c>
      <x:c r="H1615" s="5" t="n">
        <x:f>IF(OR(AND(F1615&lt;'00_Arquitectura'!$B$118,G1615&lt;'00_Arquitectura'!$B$119),F1615&lt;'00_Arquitectura'!$B$120),1,0)</x:f>
        <x:v>0</x:v>
      </x:c>
      <x:c r="I1615" s="5" t="n">
        <x:f>IF($I$1597=1,IF(OR(AND(F1615&lt;'00_Arquitectura'!$B$121,G1615&lt;'00_Arquitectura'!$B$122),F1615&lt;'00_Arquitectura'!$B$123),1,0),IF(AND(H1615=1,$H$1597=1),1,0))</x:f>
        <x:v>0</x:v>
      </x:c>
      <x:c r="J1615" s="5" t="n">
        <x:f>0</x:f>
        <x:v>0</x:v>
      </x:c>
      <x:c r="K1615" s="5" t="n">
        <x:f>$K$1601</x:f>
        <x:v>43.939072787080704</x:v>
      </x:c>
      <x:c r="L1615" s="5" t="str">
        <x:v>No aporta E_social; S y R alimentan disposición a leyes según07.</x:v>
      </x:c>
    </x:row>
    <x:row r="1616" ht="34" customHeight="1">
      <x:c r="A1616" s="10" t="str">
        <x:v>S5_SEGURIDAD</x:v>
      </x:c>
      <x:c r="B1616" s="10" t="n">
        <x:v>7</x:v>
      </x:c>
      <x:c r="C1616" s="10" t="str">
        <x:v>aliados</x:v>
      </x:c>
      <x:c r="D1616" s="10" t="n">
        <x:f>$F$1598</x:f>
        <x:v>39.936286522023806</x:v>
      </x:c>
      <x:c r="E1616" s="10" t="n">
        <x:f>(ABS('03_Sensibilidades'!$C$61)*IF('03_Sensibilidades'!$C$61&lt;0,100-$K$725,$K$725)+ABS('03_Sensibilidades'!$C$62)*IF('03_Sensibilidades'!$C$62&lt;0,100-$K$717,$K$717)+ABS('03_Sensibilidades'!$C$63)*IF('03_Sensibilidades'!$C$63&lt;0,100-$K$719,$K$719))/(ABS('03_Sensibilidades'!$C$61)+ABS('03_Sensibilidades'!$C$62)+ABS('03_Sensibilidades'!$C$63))</x:f>
        <x:v>40.094584495238095</x:v>
      </x:c>
      <x:c r="F1616" s="10" t="n">
        <x:f>(1-'00_Arquitectura'!$B$95)*D1616+'00_Arquitectura'!$B$95*E1616</x:f>
        <x:v>39.99169081264881</x:v>
      </x:c>
      <x:c r="G1616" s="10" t="n">
        <x:f>'02_Actores'!$I$21</x:f>
        <x:v>45</x:v>
      </x:c>
      <x:c r="H1616" s="10" t="n">
        <x:f>IF(OR(AND(F1616&lt;'00_Arquitectura'!$B$118,G1616&lt;'00_Arquitectura'!$B$119),F1616&lt;'00_Arquitectura'!$B$120),1,0)</x:f>
        <x:v>0</x:v>
      </x:c>
      <x:c r="I1616" s="10" t="n">
        <x:f>IF($I$1598=1,IF(OR(AND(F1616&lt;'00_Arquitectura'!$B$121,G1616&lt;'00_Arquitectura'!$B$122),F1616&lt;'00_Arquitectura'!$B$123),1,0),IF(AND(H1616=1,$H$1598=1),1,0))</x:f>
        <x:v>0</x:v>
      </x:c>
      <x:c r="J1616" s="10" t="n">
        <x:f>0</x:f>
        <x:v>0</x:v>
      </x:c>
      <x:c r="K1616" s="10" t="n">
        <x:f>$K$1601</x:f>
        <x:v>43.939072787080704</x:v>
      </x:c>
      <x:c r="L1616" s="10" t="str">
        <x:v>No aporta E_social; S y R alimentan disposición a leyes según07.</x:v>
      </x:c>
    </x:row>
    <x:row r="1617" ht="34" customHeight="1">
      <x:c r="A1617" s="5" t="str">
        <x:v>S5_SEGURIDAD</x:v>
      </x:c>
      <x:c r="B1617" s="5" t="n">
        <x:v>7</x:v>
      </x:c>
      <x:c r="C1617" s="5" t="str">
        <x:v>oposicion</x:v>
      </x:c>
      <x:c r="D1617" s="5" t="n">
        <x:f>$F$1599</x:f>
        <x:v>37.171779019375</x:v>
      </x:c>
      <x:c r="E1617" s="5" t="n">
        <x:f>(ABS('03_Sensibilidades'!$C$64)*IF('03_Sensibilidades'!$C$64&lt;0,100-$K$725,$K$725)+ABS('03_Sensibilidades'!$C$65)*IF('03_Sensibilidades'!$C$65&lt;0,100-$K$717,$K$717)+ABS('03_Sensibilidades'!$C$66)*IF('03_Sensibilidades'!$C$66&lt;0,100-$K$723,$K$723))/(ABS('03_Sensibilidades'!$C$64)+ABS('03_Sensibilidades'!$C$65)+ABS('03_Sensibilidades'!$C$66))</x:f>
        <x:v>36.49941176</x:v>
      </x:c>
      <x:c r="F1617" s="5" t="n">
        <x:f>(1-'00_Arquitectura'!$B$95)*D1617+'00_Arquitectura'!$B$95*E1617</x:f>
        <x:v>36.936450478593756</x:v>
      </x:c>
      <x:c r="G1617" s="5" t="n">
        <x:f>'02_Actores'!$I$22</x:f>
        <x:v>30</x:v>
      </x:c>
      <x:c r="H1617" s="5" t="n">
        <x:f>IF(OR(AND(F1617&lt;'00_Arquitectura'!$B$118,G1617&lt;'00_Arquitectura'!$B$119),F1617&lt;'00_Arquitectura'!$B$120),1,0)</x:f>
        <x:v>0</x:v>
      </x:c>
      <x:c r="I1617" s="5" t="n">
        <x:f>IF($I$1599=1,IF(OR(AND(F1617&lt;'00_Arquitectura'!$B$121,G1617&lt;'00_Arquitectura'!$B$122),F1617&lt;'00_Arquitectura'!$B$123),1,0),IF(AND(H1617=1,$H$1599=1),1,0))</x:f>
        <x:v>0</x:v>
      </x:c>
      <x:c r="J1617" s="5" t="n">
        <x:f>0</x:f>
        <x:v>0</x:v>
      </x:c>
      <x:c r="K1617" s="5" t="n">
        <x:f>$K$1601</x:f>
        <x:v>43.939072787080704</x:v>
      </x:c>
      <x:c r="L1617" s="5" t="str">
        <x:v>No aporta E_social; S y R alimentan disposición a leyes según07.</x:v>
      </x:c>
    </x:row>
    <x:row r="1618" ht="42" customHeight="1">
      <x:c r="A1618" s="10" t="str">
        <x:v>S5_SEGURIDAD</x:v>
      </x:c>
      <x:c r="B1618" s="10" t="n">
        <x:v>7</x:v>
      </x:c>
      <x:c r="C1618" s="10" t="str">
        <x:v>gobernadores</x:v>
      </x:c>
      <x:c r="D1618" s="10" t="n">
        <x:f>$F$1600</x:f>
        <x:v>50.08623358017242</x:v>
      </x:c>
      <x:c r="E1618" s="10" t="n">
        <x:f>(ABS('03_Sensibilidades'!$C$67)*IF('03_Sensibilidades'!$C$67&lt;0,100-$K$719,$K$719)+ABS('03_Sensibilidades'!$C$68)*IF('03_Sensibilidades'!$C$68&lt;0,100-$K$721,$K$721)+ABS('03_Sensibilidades'!$C$69)*IF('03_Sensibilidades'!$C$69&lt;0,100-$K$720,$K$720)+ABS('03_Sensibilidades'!$C$70)*IF('03_Sensibilidades'!$C$70&lt;0,100-$K$717,$K$717))/(ABS('03_Sensibilidades'!$C$67)+ABS('03_Sensibilidades'!$C$68)+ABS('03_Sensibilidades'!$C$69)+ABS('03_Sensibilidades'!$C$70))</x:f>
        <x:v>50.51683569655172</x:v>
      </x:c>
      <x:c r="F1618" s="10" t="n">
        <x:f>(1-'00_Arquitectura'!$B$95)*D1618+'00_Arquitectura'!$B$95*E1618</x:f>
        <x:v>50.236944320905174</x:v>
      </x:c>
      <x:c r="G1618" s="10" t="n">
        <x:f>'02_Actores'!$I$23</x:f>
        <x:v>45</x:v>
      </x:c>
      <x:c r="H1618" s="10" t="n">
        <x:f>IF(OR(AND(F1618&lt;'00_Arquitectura'!$B$118,G1618&lt;'00_Arquitectura'!$B$119),F1618&lt;'00_Arquitectura'!$B$120),1,0)</x:f>
        <x:v>0</x:v>
      </x:c>
      <x:c r="I1618" s="10" t="n">
        <x:f>IF($I$1600=1,IF(OR(AND(F1618&lt;'00_Arquitectura'!$B$121,G1618&lt;'00_Arquitectura'!$B$122),F1618&lt;'00_Arquitectura'!$B$123),1,0),IF(AND(H1618=1,$H$1600=1),1,0))</x:f>
        <x:v>0</x:v>
      </x:c>
      <x:c r="J1618" s="10" t="n">
        <x:f>0</x:f>
        <x:v>0</x:v>
      </x:c>
      <x:c r="K1618" s="10" t="n">
        <x:f>$K$1601</x:f>
        <x:v>43.939072787080704</x:v>
      </x:c>
      <x:c r="L1618" s="10" t="str">
        <x:v>Conflicto activo captura menor eficacia en políticas ejecutadas en t+1. Magnitud0 en J: no es un offset directo de indicador.</x:v>
      </x:c>
    </x:row>
    <x:row r="1619" ht="34" customHeight="1">
      <x:c r="A1619" s="5" t="str">
        <x:v>S5_SEGURIDAD</x:v>
      </x:c>
      <x:c r="B1619" s="5" t="n">
        <x:v>8</x:v>
      </x:c>
      <x:c r="C1619" s="5" t="str">
        <x:v>industria</x:v>
      </x:c>
      <x:c r="D1619" s="5" t="n">
        <x:f>$F$1601</x:f>
        <x:v>46.47349703352593</x:v>
      </x:c>
      <x:c r="E1619" s="5" t="n">
        <x:f>(ABS('03_Sensibilidades'!$C$6)*IF('03_Sensibilidades'!$C$6&lt;0,100-$K$730,$K$730)+ABS('03_Sensibilidades'!$C$7)*IF('03_Sensibilidades'!$C$7&lt;0,100-$K$728,$K$728)+ABS('03_Sensibilidades'!$C$8)*IF('03_Sensibilidades'!$C$8&lt;0,100-$K$733,$K$733)+ABS('03_Sensibilidades'!$C$9)*IF('03_Sensibilidades'!$C$9&lt;0,100-$K$732,$K$732))/(ABS('03_Sensibilidades'!$C$6)+ABS('03_Sensibilidades'!$C$7)+ABS('03_Sensibilidades'!$C$8)+ABS('03_Sensibilidades'!$C$9))</x:f>
        <x:v>46.486736049318516</x:v>
      </x:c>
      <x:c r="F1619" s="5" t="n">
        <x:f>(1-'00_Arquitectura'!$B$95)*D1619+'00_Arquitectura'!$B$95*E1619</x:f>
        <x:v>46.47813068905333</x:v>
      </x:c>
      <x:c r="G1619" s="5" t="n">
        <x:f>'02_Actores'!$I$6</x:f>
        <x:v>45</x:v>
      </x:c>
      <x:c r="H1619" s="5" t="n">
        <x:f>IF(OR(AND(F1619&lt;'00_Arquitectura'!$B$118,G1619&lt;'00_Arquitectura'!$B$119),F1619&lt;'00_Arquitectura'!$B$120),1,0)</x:f>
        <x:v>0</x:v>
      </x:c>
      <x:c r="I1619" s="5" t="n">
        <x:f>IF($I$1601=1,IF(OR(AND(F1619&lt;'00_Arquitectura'!$B$121,G1619&lt;'00_Arquitectura'!$B$122),F1619&lt;'00_Arquitectura'!$B$123),1,0),IF(AND(H1619=1,$H$1601=1),1,0))</x:f>
        <x:v>0</x:v>
      </x:c>
      <x:c r="J1619" s="5" t="n">
        <x:f>-I1619*2*'02_Actores'!$E$6/10</x:f>
        <x:v>0</x:v>
      </x:c>
      <x:c r="K1619" s="5" t="n">
        <x:f>($F$1619*'02_Actores'!$F$6+$F$1620*'02_Actores'!$F$7+$F$1621*'02_Actores'!$F$8+$F$1622*'02_Actores'!$F$9+$F$1623*'02_Actores'!$F$10+$F$1624*'02_Actores'!$F$11+$F$1625*'02_Actores'!$F$12+$F$1626*'02_Actores'!$F$13+$F$1627*'02_Actores'!$F$14+$F$1628*'02_Actores'!$F$15+$F$1629*'02_Actores'!$F$16+$F$1630*'02_Actores'!$F$17+$F$1631*'02_Actores'!$F$18+$F$1632*'02_Actores'!$F$19)/('02_Actores'!$F$6+'02_Actores'!$F$7+'02_Actores'!$F$8+'02_Actores'!$F$9+'02_Actores'!$F$10+'02_Actores'!$F$11+'02_Actores'!$F$12+'02_Actores'!$F$13+'02_Actores'!$F$14+'02_Actores'!$F$15+'02_Actores'!$F$16+'02_Actores'!$F$17+'02_Actores'!$F$18+'02_Actores'!$F$19)</x:f>
        <x:v>43.872644181588946</x:v>
      </x:c>
      <x:c r="L1619" s="5" t="str">
        <x:v>J programa offset para t+1; efecto sustituible y acotado, sin voto adicional.</x:v>
      </x:c>
    </x:row>
    <x:row r="1620" ht="34" customHeight="1">
      <x:c r="A1620" s="10" t="str">
        <x:v>S5_SEGURIDAD</x:v>
      </x:c>
      <x:c r="B1620" s="10" t="n">
        <x:v>8</x:v>
      </x:c>
      <x:c r="C1620" s="10" t="str">
        <x:v>agro</x:v>
      </x:c>
      <x:c r="D1620" s="10" t="n">
        <x:f>$F$1602</x:f>
        <x:v>45.88920943316964</x:v>
      </x:c>
      <x:c r="E1620" s="10" t="n">
        <x:f>(ABS('03_Sensibilidades'!$C$10)*IF('03_Sensibilidades'!$C$10&lt;0,100-$K$732,$K$732)+ABS('03_Sensibilidades'!$C$11)*IF('03_Sensibilidades'!$C$11&lt;0,100-$K$733,$K$733)+ABS('03_Sensibilidades'!$C$12)*IF('03_Sensibilidades'!$C$12&lt;0,100-$K$740,$K$740)+ABS('03_Sensibilidades'!$C$13)*IF('03_Sensibilidades'!$C$13&lt;0,100-$K$730,$K$730))/(ABS('03_Sensibilidades'!$C$10)+ABS('03_Sensibilidades'!$C$11)+ABS('03_Sensibilidades'!$C$12)+ABS('03_Sensibilidades'!$C$13))</x:f>
        <x:v>45.897356725937506</x:v>
      </x:c>
      <x:c r="F1620" s="10" t="n">
        <x:f>(1-'00_Arquitectura'!$B$95)*D1620+'00_Arquitectura'!$B$95*E1620</x:f>
        <x:v>45.892060985638395</x:v>
      </x:c>
      <x:c r="G1620" s="10" t="n">
        <x:f>'02_Actores'!$I$7</x:f>
        <x:v>45</x:v>
      </x:c>
      <x:c r="H1620" s="10" t="n">
        <x:f>IF(OR(AND(F1620&lt;'00_Arquitectura'!$B$118,G1620&lt;'00_Arquitectura'!$B$119),F1620&lt;'00_Arquitectura'!$B$120),1,0)</x:f>
        <x:v>0</x:v>
      </x:c>
      <x:c r="I1620" s="10" t="n">
        <x:f>IF($I$1602=1,IF(OR(AND(F1620&lt;'00_Arquitectura'!$B$121,G1620&lt;'00_Arquitectura'!$B$122),F1620&lt;'00_Arquitectura'!$B$123),1,0),IF(AND(H1620=1,$H$1602=1),1,0))</x:f>
        <x:v>0</x:v>
      </x:c>
      <x:c r="J1620" s="10" t="n">
        <x:f>-I1620*2*'02_Actores'!$E$7/10</x:f>
        <x:v>0</x:v>
      </x:c>
      <x:c r="K1620" s="10" t="n">
        <x:f>$K$1619</x:f>
        <x:v>43.872644181588946</x:v>
      </x:c>
      <x:c r="L1620" s="10" t="str">
        <x:v>J programa offset para t+1; efecto sustituible y acotado, sin voto adicional.</x:v>
      </x:c>
    </x:row>
    <x:row r="1621" ht="34" customHeight="1">
      <x:c r="A1621" s="5" t="str">
        <x:v>S5_SEGURIDAD</x:v>
      </x:c>
      <x:c r="B1621" s="5" t="n">
        <x:v>8</x:v>
      </x:c>
      <x:c r="C1621" s="5" t="str">
        <x:v>financiero</x:v>
      </x:c>
      <x:c r="D1621" s="5" t="n">
        <x:f>$F$1603</x:f>
        <x:v>50.3780608297069</x:v>
      </x:c>
      <x:c r="E1621" s="5" t="n">
        <x:f>(ABS('03_Sensibilidades'!$C$14)*IF('03_Sensibilidades'!$C$14&lt;0,100-$K$731,$K$731)+ABS('03_Sensibilidades'!$C$15)*IF('03_Sensibilidades'!$C$15&lt;0,100-$K$727,$K$727)+ABS('03_Sensibilidades'!$C$16)*IF('03_Sensibilidades'!$C$16&lt;0,100-$K$730,$K$730)+ABS('03_Sensibilidades'!$C$17)*IF('03_Sensibilidades'!$C$17&lt;0,100-$K$739,$K$739))/(ABS('03_Sensibilidades'!$C$14)+ABS('03_Sensibilidades'!$C$15)+ABS('03_Sensibilidades'!$C$16)+ABS('03_Sensibilidades'!$C$17))</x:f>
        <x:v>50.729696502922415</x:v>
      </x:c>
      <x:c r="F1621" s="5" t="n">
        <x:f>(1-'00_Arquitectura'!$B$95)*D1621+'00_Arquitectura'!$B$95*E1621</x:f>
        <x:v>50.501133315332325</x:v>
      </x:c>
      <x:c r="G1621" s="5" t="n">
        <x:f>'02_Actores'!$I$8</x:f>
        <x:v>45</x:v>
      </x:c>
      <x:c r="H1621" s="5" t="n">
        <x:f>IF(OR(AND(F1621&lt;'00_Arquitectura'!$B$118,G1621&lt;'00_Arquitectura'!$B$119),F1621&lt;'00_Arquitectura'!$B$120),1,0)</x:f>
        <x:v>0</x:v>
      </x:c>
      <x:c r="I1621" s="5" t="n">
        <x:f>IF($I$1603=1,IF(OR(AND(F1621&lt;'00_Arquitectura'!$B$121,G1621&lt;'00_Arquitectura'!$B$122),F1621&lt;'00_Arquitectura'!$B$123),1,0),IF(AND(H1621=1,$H$1603=1),1,0))</x:f>
        <x:v>0</x:v>
      </x:c>
      <x:c r="J1621" s="5" t="n">
        <x:f>-I1621*2*'02_Actores'!$E$8/10</x:f>
        <x:v>0</x:v>
      </x:c>
      <x:c r="K1621" s="5" t="n">
        <x:f>$K$1619</x:f>
        <x:v>43.872644181588946</x:v>
      </x:c>
      <x:c r="L1621" s="5" t="str">
        <x:v>J programa offset para t+1; efecto sustituible y acotado, sin voto adicional.</x:v>
      </x:c>
    </x:row>
    <x:row r="1622" ht="34" customHeight="1">
      <x:c r="A1622" s="10" t="str">
        <x:v>S5_SEGURIDAD</x:v>
      </x:c>
      <x:c r="B1622" s="10" t="n">
        <x:v>8</x:v>
      </x:c>
      <x:c r="C1622" s="10" t="str">
        <x:v>sindicatos</x:v>
      </x:c>
      <x:c r="D1622" s="10" t="n">
        <x:f>$F$1604</x:f>
        <x:v>43.0892016516931</x:v>
      </x:c>
      <x:c r="E1622" s="10" t="n">
        <x:f>(ABS('03_Sensibilidades'!$C$18)*IF('03_Sensibilidades'!$C$18&lt;0,100-$K$729,$K$729)+ABS('03_Sensibilidades'!$C$19)*IF('03_Sensibilidades'!$C$19&lt;0,100-$K$728,$K$728)+ABS('03_Sensibilidades'!$C$20)*IF('03_Sensibilidades'!$C$20&lt;0,100-$K$736,$K$736)+ABS('03_Sensibilidades'!$C$21)*IF('03_Sensibilidades'!$C$21&lt;0,100-$K$739,$K$739))/(ABS('03_Sensibilidades'!$C$18)+ABS('03_Sensibilidades'!$C$19)+ABS('03_Sensibilidades'!$C$20)+ABS('03_Sensibilidades'!$C$21))</x:f>
        <x:v>42.96280826575172</x:v>
      </x:c>
      <x:c r="F1622" s="10" t="n">
        <x:f>(1-'00_Arquitectura'!$B$95)*D1622+'00_Arquitectura'!$B$95*E1622</x:f>
        <x:v>43.04496396661362</x:v>
      </x:c>
      <x:c r="G1622" s="10" t="n">
        <x:f>'02_Actores'!$I$9</x:f>
        <x:v>45</x:v>
      </x:c>
      <x:c r="H1622" s="10" t="n">
        <x:f>IF(OR(AND(F1622&lt;'00_Arquitectura'!$B$118,G1622&lt;'00_Arquitectura'!$B$119),F1622&lt;'00_Arquitectura'!$B$120),1,0)</x:f>
        <x:v>0</x:v>
      </x:c>
      <x:c r="I1622" s="10" t="n">
        <x:f>IF($I$1604=1,IF(OR(AND(F1622&lt;'00_Arquitectura'!$B$121,G1622&lt;'00_Arquitectura'!$B$122),F1622&lt;'00_Arquitectura'!$B$123),1,0),IF(AND(H1622=1,$H$1604=1),1,0))</x:f>
        <x:v>0</x:v>
      </x:c>
      <x:c r="J1622" s="10" t="n">
        <x:f>-I1622*2*'02_Actores'!$E$9/10</x:f>
        <x:v>0</x:v>
      </x:c>
      <x:c r="K1622" s="10" t="n">
        <x:f>$K$1619</x:f>
        <x:v>43.872644181588946</x:v>
      </x:c>
      <x:c r="L1622" s="10" t="str">
        <x:v>J programa offset para t+1; efecto sustituible y acotado, sin voto adicional.</x:v>
      </x:c>
    </x:row>
    <x:row r="1623" ht="34" customHeight="1">
      <x:c r="A1623" s="5" t="str">
        <x:v>S5_SEGURIDAD</x:v>
      </x:c>
      <x:c r="B1623" s="5" t="n">
        <x:v>8</x:v>
      </x:c>
      <x:c r="C1623" s="5" t="str">
        <x:v>pymes</x:v>
      </x:c>
      <x:c r="D1623" s="5" t="n">
        <x:f>$F$1605</x:f>
        <x:v>49.12886362824483</x:v>
      </x:c>
      <x:c r="E1623" s="5" t="n">
        <x:f>(ABS('03_Sensibilidades'!$C$22)*IF('03_Sensibilidades'!$C$22&lt;0,100-$K$730,$K$730)+ABS('03_Sensibilidades'!$C$23)*IF('03_Sensibilidades'!$C$23&lt;0,100-$K$728,$K$728)+ABS('03_Sensibilidades'!$C$24)*IF('03_Sensibilidades'!$C$24&lt;0,100-$K$733,$K$733)+ABS('03_Sensibilidades'!$C$25)*IF('03_Sensibilidades'!$C$25&lt;0,100-$K$727,$K$727))/(ABS('03_Sensibilidades'!$C$22)+ABS('03_Sensibilidades'!$C$23)+ABS('03_Sensibilidades'!$C$24)+ABS('03_Sensibilidades'!$C$25))</x:f>
        <x:v>49.144303626320685</x:v>
      </x:c>
      <x:c r="F1623" s="5" t="n">
        <x:f>(1-'00_Arquitectura'!$B$95)*D1623+'00_Arquitectura'!$B$95*E1623</x:f>
        <x:v>49.134267627571376</x:v>
      </x:c>
      <x:c r="G1623" s="5" t="n">
        <x:f>'02_Actores'!$I$10</x:f>
        <x:v>45</x:v>
      </x:c>
      <x:c r="H1623" s="5" t="n">
        <x:f>IF(OR(AND(F1623&lt;'00_Arquitectura'!$B$118,G1623&lt;'00_Arquitectura'!$B$119),F1623&lt;'00_Arquitectura'!$B$120),1,0)</x:f>
        <x:v>0</x:v>
      </x:c>
      <x:c r="I1623" s="5" t="n">
        <x:f>IF($I$1605=1,IF(OR(AND(F1623&lt;'00_Arquitectura'!$B$121,G1623&lt;'00_Arquitectura'!$B$122),F1623&lt;'00_Arquitectura'!$B$123),1,0),IF(AND(H1623=1,$H$1605=1),1,0))</x:f>
        <x:v>0</x:v>
      </x:c>
      <x:c r="J1623" s="5" t="n">
        <x:f>-I1623*2*'02_Actores'!$E$10/10</x:f>
        <x:v>0</x:v>
      </x:c>
      <x:c r="K1623" s="5" t="n">
        <x:f>$K$1619</x:f>
        <x:v>43.872644181588946</x:v>
      </x:c>
      <x:c r="L1623" s="5" t="str">
        <x:v>J programa offset para t+1; efecto sustituible y acotado, sin voto adicional.</x:v>
      </x:c>
    </x:row>
    <x:row r="1624" ht="34" customHeight="1">
      <x:c r="A1624" s="10" t="str">
        <x:v>S5_SEGURIDAD</x:v>
      </x:c>
      <x:c r="B1624" s="10" t="n">
        <x:v>8</x:v>
      </x:c>
      <x:c r="C1624" s="10" t="str">
        <x:v>clase_media</x:v>
      </x:c>
      <x:c r="D1624" s="10" t="n">
        <x:f>$F$1606</x:f>
        <x:v>48.83347145095486</x:v>
      </x:c>
      <x:c r="E1624" s="10" t="n">
        <x:f>(ABS('03_Sensibilidades'!$C$26)*IF('03_Sensibilidades'!$C$26&lt;0,100-$K$729,$K$729)+ABS('03_Sensibilidades'!$C$27)*IF('03_Sensibilidades'!$C$27&lt;0,100-$K$737,$K$737)+ABS('03_Sensibilidades'!$C$28)*IF('03_Sensibilidades'!$C$28&lt;0,100-$K$734,$K$734)+ABS('03_Sensibilidades'!$C$29)*IF('03_Sensibilidades'!$C$29&lt;0,100-$K$727,$K$727))/(ABS('03_Sensibilidades'!$C$26)+ABS('03_Sensibilidades'!$C$27)+ABS('03_Sensibilidades'!$C$28)+ABS('03_Sensibilidades'!$C$29))</x:f>
        <x:v>48.332911525777774</x:v>
      </x:c>
      <x:c r="F1624" s="10" t="n">
        <x:f>(1-'00_Arquitectura'!$B$95)*D1624+'00_Arquitectura'!$B$95*E1624</x:f>
        <x:v>48.65827547714288</x:v>
      </x:c>
      <x:c r="G1624" s="10" t="n">
        <x:f>'02_Actores'!$I$11</x:f>
        <x:v>45</x:v>
      </x:c>
      <x:c r="H1624" s="10" t="n">
        <x:f>IF(OR(AND(F1624&lt;'00_Arquitectura'!$B$118,G1624&lt;'00_Arquitectura'!$B$119),F1624&lt;'00_Arquitectura'!$B$120),1,0)</x:f>
        <x:v>0</x:v>
      </x:c>
      <x:c r="I1624" s="10" t="n">
        <x:f>IF($I$1606=1,IF(OR(AND(F1624&lt;'00_Arquitectura'!$B$121,G1624&lt;'00_Arquitectura'!$B$122),F1624&lt;'00_Arquitectura'!$B$123),1,0),IF(AND(H1624=1,$H$1606=1),1,0))</x:f>
        <x:v>0</x:v>
      </x:c>
      <x:c r="J1624" s="10" t="n">
        <x:f>0</x:f>
        <x:v>0</x:v>
      </x:c>
      <x:c r="K1624" s="10" t="n">
        <x:f>$K$1619</x:f>
        <x:v>43.872644181588946</x:v>
      </x:c>
      <x:c r="L1624" s="10" t="str">
        <x:v>Canal directo sólo al índice social; sin bono de popularidad.</x:v>
      </x:c>
    </x:row>
    <x:row r="1625" ht="34" customHeight="1">
      <x:c r="A1625" s="5" t="str">
        <x:v>S5_SEGURIDAD</x:v>
      </x:c>
      <x:c r="B1625" s="5" t="n">
        <x:v>8</x:v>
      </x:c>
      <x:c r="C1625" s="5" t="str">
        <x:v>cooperativas</x:v>
      </x:c>
      <x:c r="D1625" s="5" t="n">
        <x:f>$F$1607</x:f>
        <x:v>42.572807883501845</x:v>
      </x:c>
      <x:c r="E1625" s="5" t="n">
        <x:f>(ABS('03_Sensibilidades'!$C$30)*IF('03_Sensibilidades'!$C$30&lt;0,100-$K$730,$K$730)+ABS('03_Sensibilidades'!$C$31)*IF('03_Sensibilidades'!$C$31&lt;0,100-$K$728,$K$728)+ABS('03_Sensibilidades'!$C$32)*IF('03_Sensibilidades'!$C$32&lt;0,100-$K$736,$K$736)+ABS('03_Sensibilidades'!$C$33)*IF('03_Sensibilidades'!$C$33&lt;0,100-$K$739,$K$739))/(ABS('03_Sensibilidades'!$C$30)+ABS('03_Sensibilidades'!$C$31)+ABS('03_Sensibilidades'!$C$32)+ABS('03_Sensibilidades'!$C$33))</x:f>
        <x:v>42.44904219130185</x:v>
      </x:c>
      <x:c r="F1625" s="5" t="n">
        <x:f>(1-'00_Arquitectura'!$B$95)*D1625+'00_Arquitectura'!$B$95*E1625</x:f>
        <x:v>42.52948989123185</x:v>
      </x:c>
      <x:c r="G1625" s="5" t="n">
        <x:f>'02_Actores'!$I$12</x:f>
        <x:v>45</x:v>
      </x:c>
      <x:c r="H1625" s="5" t="n">
        <x:f>IF(OR(AND(F1625&lt;'00_Arquitectura'!$B$118,G1625&lt;'00_Arquitectura'!$B$119),F1625&lt;'00_Arquitectura'!$B$120),1,0)</x:f>
        <x:v>0</x:v>
      </x:c>
      <x:c r="I1625" s="5" t="n">
        <x:f>IF($I$1607=1,IF(OR(AND(F1625&lt;'00_Arquitectura'!$B$121,G1625&lt;'00_Arquitectura'!$B$122),F1625&lt;'00_Arquitectura'!$B$123),1,0),IF(AND(H1625=1,$H$1607=1),1,0))</x:f>
        <x:v>0</x:v>
      </x:c>
      <x:c r="J1625" s="5" t="n">
        <x:f>-I1625*1.5*'02_Actores'!$E$12/10</x:f>
        <x:v>0</x:v>
      </x:c>
      <x:c r="K1625" s="5" t="n">
        <x:f>$K$1619</x:f>
        <x:v>43.872644181588946</x:v>
      </x:c>
      <x:c r="L1625" s="5" t="str">
        <x:v>J programa offset para t+1; efecto sustituible y acotado, sin voto adicional.</x:v>
      </x:c>
    </x:row>
    <x:row r="1626" ht="42" customHeight="1">
      <x:c r="A1626" s="10" t="str">
        <x:v>S5_SEGURIDAD</x:v>
      </x:c>
      <x:c r="B1626" s="10" t="n">
        <x:v>8</x:v>
      </x:c>
      <x:c r="C1626" s="10" t="str">
        <x:v>estudiantes</x:v>
      </x:c>
      <x:c r="D1626" s="10" t="n">
        <x:f>$F$1608</x:f>
        <x:v>39.375632890625</x:v>
      </x:c>
      <x:c r="E1626" s="10" t="n">
        <x:f>(ABS('03_Sensibilidades'!$C$34)*IF('03_Sensibilidades'!$C$34&lt;0,100-$K$734,$K$734)+ABS('03_Sensibilidades'!$C$35)*IF('03_Sensibilidades'!$C$35&lt;0,100-$K$729,$K$729)+ABS('03_Sensibilidades'!$C$36)*IF('03_Sensibilidades'!$C$36&lt;0,100-$K$739,$K$739)+ABS('03_Sensibilidades'!$C$37)*IF('03_Sensibilidades'!$C$37&lt;0,100-$K$738,$K$738))/(ABS('03_Sensibilidades'!$C$34)+ABS('03_Sensibilidades'!$C$35)+ABS('03_Sensibilidades'!$C$36)+ABS('03_Sensibilidades'!$C$37))</x:f>
        <x:v>39.11977222392</x:v>
      </x:c>
      <x:c r="F1626" s="10" t="n">
        <x:f>(1-'00_Arquitectura'!$B$95)*D1626+'00_Arquitectura'!$B$95*E1626</x:f>
        <x:v>39.28608165727825</x:v>
      </x:c>
      <x:c r="G1626" s="10" t="n">
        <x:f>'02_Actores'!$I$13</x:f>
        <x:v>45</x:v>
      </x:c>
      <x:c r="H1626" s="10" t="n">
        <x:f>IF(OR(AND(F1626&lt;'00_Arquitectura'!$B$118,G1626&lt;'00_Arquitectura'!$B$119),F1626&lt;'00_Arquitectura'!$B$120),1,0)</x:f>
        <x:v>0</x:v>
      </x:c>
      <x:c r="I1626" s="10" t="n">
        <x:f>IF($I$1608=1,IF(OR(AND(F1626&lt;'00_Arquitectura'!$B$121,G1626&lt;'00_Arquitectura'!$B$122),F1626&lt;'00_Arquitectura'!$B$123),1,0),IF(AND(H1626=1,$H$1608=1),1,0))</x:f>
        <x:v>0</x:v>
      </x:c>
      <x:c r="J1626" s="10" t="n">
        <x:f>0</x:f>
        <x:v>0</x:v>
      </x:c>
      <x:c r="K1626" s="10" t="n">
        <x:f>$K$1619</x:f>
        <x:v>43.872644181588946</x:v>
      </x:c>
      <x:c r="L1626" s="10" t="str">
        <x:v>Conflicto activo captura menor eficacia en políticas ejecutadas en t+1. Magnitud0 en J: no es un offset directo de indicador.</x:v>
      </x:c>
    </x:row>
    <x:row r="1627" ht="34" customHeight="1">
      <x:c r="A1627" s="5" t="str">
        <x:v>S5_SEGURIDAD</x:v>
      </x:c>
      <x:c r="B1627" s="5" t="n">
        <x:v>8</x:v>
      </x:c>
      <x:c r="C1627" s="5" t="str">
        <x:v>docentes</x:v>
      </x:c>
      <x:c r="D1627" s="5" t="n">
        <x:f>$F$1609</x:f>
        <x:v>42.810714016847825</x:v>
      </x:c>
      <x:c r="E1627" s="5" t="n">
        <x:f>(ABS('03_Sensibilidades'!$C$38)*IF('03_Sensibilidades'!$C$38&lt;0,100-$K$734,$K$734)+ABS('03_Sensibilidades'!$C$39)*IF('03_Sensibilidades'!$C$39&lt;0,100-$K$729,$K$729)+ABS('03_Sensibilidades'!$C$40)*IF('03_Sensibilidades'!$C$40&lt;0,100-$K$739,$K$739))/(ABS('03_Sensibilidades'!$C$38)+ABS('03_Sensibilidades'!$C$39)+ABS('03_Sensibilidades'!$C$40))</x:f>
        <x:v>42.651728264191306</x:v>
      </x:c>
      <x:c r="F1627" s="5" t="n">
        <x:f>(1-'00_Arquitectura'!$B$95)*D1627+'00_Arquitectura'!$B$95*E1627</x:f>
        <x:v>42.75506900341804</x:v>
      </x:c>
      <x:c r="G1627" s="5" t="n">
        <x:f>'02_Actores'!$I$14</x:f>
        <x:v>45</x:v>
      </x:c>
      <x:c r="H1627" s="5" t="n">
        <x:f>IF(OR(AND(F1627&lt;'00_Arquitectura'!$B$118,G1627&lt;'00_Arquitectura'!$B$119),F1627&lt;'00_Arquitectura'!$B$120),1,0)</x:f>
        <x:v>0</x:v>
      </x:c>
      <x:c r="I1627" s="5" t="n">
        <x:f>IF($I$1609=1,IF(OR(AND(F1627&lt;'00_Arquitectura'!$B$121,G1627&lt;'00_Arquitectura'!$B$122),F1627&lt;'00_Arquitectura'!$B$123),1,0),IF(AND(H1627=1,$H$1609=1),1,0))</x:f>
        <x:v>0</x:v>
      </x:c>
      <x:c r="J1627" s="5" t="n">
        <x:f>-I1627*1.5*'02_Actores'!$E$14/10</x:f>
        <x:v>0</x:v>
      </x:c>
      <x:c r="K1627" s="5" t="n">
        <x:f>$K$1619</x:f>
        <x:v>43.872644181588946</x:v>
      </x:c>
      <x:c r="L1627" s="5" t="str">
        <x:v>J programa offset para t+1; efecto sustituible y acotado, sin voto adicional.</x:v>
      </x:c>
    </x:row>
    <x:row r="1628" ht="34" customHeight="1">
      <x:c r="A1628" s="10" t="str">
        <x:v>S5_SEGURIDAD</x:v>
      </x:c>
      <x:c r="B1628" s="10" t="n">
        <x:v>8</x:v>
      </x:c>
      <x:c r="C1628" s="10" t="str">
        <x:v>cientificos</x:v>
      </x:c>
      <x:c r="D1628" s="10" t="n">
        <x:f>$F$1610</x:f>
        <x:v>38.6167298544034</x:v>
      </x:c>
      <x:c r="E1628" s="10" t="n">
        <x:f>(ABS('03_Sensibilidades'!$C$41)*IF('03_Sensibilidades'!$C$41&lt;0,100-$K$738,$K$738)+ABS('03_Sensibilidades'!$C$42)*IF('03_Sensibilidades'!$C$42&lt;0,100-$K$734,$K$734)+ABS('03_Sensibilidades'!$C$43)*IF('03_Sensibilidades'!$C$43&lt;0,100-$K$739,$K$739))/(ABS('03_Sensibilidades'!$C$41)+ABS('03_Sensibilidades'!$C$42)+ABS('03_Sensibilidades'!$C$43))</x:f>
        <x:v>38.40909090909091</x:v>
      </x:c>
      <x:c r="F1628" s="10" t="n">
        <x:f>(1-'00_Arquitectura'!$B$95)*D1628+'00_Arquitectura'!$B$95*E1628</x:f>
        <x:v>38.54405622354403</x:v>
      </x:c>
      <x:c r="G1628" s="10" t="n">
        <x:f>'02_Actores'!$I$15</x:f>
        <x:v>45</x:v>
      </x:c>
      <x:c r="H1628" s="10" t="n">
        <x:f>IF(OR(AND(F1628&lt;'00_Arquitectura'!$B$118,G1628&lt;'00_Arquitectura'!$B$119),F1628&lt;'00_Arquitectura'!$B$120),1,0)</x:f>
        <x:v>0</x:v>
      </x:c>
      <x:c r="I1628" s="10" t="n">
        <x:f>IF($I$1610=1,IF(OR(AND(F1628&lt;'00_Arquitectura'!$B$121,G1628&lt;'00_Arquitectura'!$B$122),F1628&lt;'00_Arquitectura'!$B$123),1,0),IF(AND(H1628=1,$H$1610=1),1,0))</x:f>
        <x:v>0</x:v>
      </x:c>
      <x:c r="J1628" s="10" t="n">
        <x:f>-I1628*1.5*'02_Actores'!$E$15/10</x:f>
        <x:v>0</x:v>
      </x:c>
      <x:c r="K1628" s="10" t="n">
        <x:f>$K$1619</x:f>
        <x:v>43.872644181588946</x:v>
      </x:c>
      <x:c r="L1628" s="10" t="str">
        <x:v>J programa offset para t+1; efecto sustituible y acotado, sin voto adicional.</x:v>
      </x:c>
    </x:row>
    <x:row r="1629" ht="34" customHeight="1">
      <x:c r="A1629" s="5" t="str">
        <x:v>S5_SEGURIDAD</x:v>
      </x:c>
      <x:c r="B1629" s="5" t="n">
        <x:v>8</x:v>
      </x:c>
      <x:c r="C1629" s="5" t="str">
        <x:v>organizaciones</x:v>
      </x:c>
      <x:c r="D1629" s="5" t="n">
        <x:f>$F$1611</x:f>
        <x:v>42.840319098974106</x:v>
      </x:c>
      <x:c r="E1629" s="5" t="n">
        <x:f>(ABS('03_Sensibilidades'!$C$44)*IF('03_Sensibilidades'!$C$44&lt;0,100-$K$736,$K$736)+ABS('03_Sensibilidades'!$C$45)*IF('03_Sensibilidades'!$C$45&lt;0,100-$K$735,$K$735)+ABS('03_Sensibilidades'!$C$46)*IF('03_Sensibilidades'!$C$46&lt;0,100-$K$728,$K$728)+ABS('03_Sensibilidades'!$C$47)*IF('03_Sensibilidades'!$C$47&lt;0,100-$K$739,$K$739))/(ABS('03_Sensibilidades'!$C$44)+ABS('03_Sensibilidades'!$C$45)+ABS('03_Sensibilidades'!$C$46)+ABS('03_Sensibilidades'!$C$47))</x:f>
        <x:v>42.6769721074</x:v>
      </x:c>
      <x:c r="F1629" s="5" t="n">
        <x:f>(1-'00_Arquitectura'!$B$95)*D1629+'00_Arquitectura'!$B$95*E1629</x:f>
        <x:v>42.783147651923166</x:v>
      </x:c>
      <x:c r="G1629" s="5" t="n">
        <x:f>'02_Actores'!$I$16</x:f>
        <x:v>45</x:v>
      </x:c>
      <x:c r="H1629" s="5" t="n">
        <x:f>IF(OR(AND(F1629&lt;'00_Arquitectura'!$B$118,G1629&lt;'00_Arquitectura'!$B$119),F1629&lt;'00_Arquitectura'!$B$120),1,0)</x:f>
        <x:v>0</x:v>
      </x:c>
      <x:c r="I1629" s="5" t="n">
        <x:f>IF($I$1611=1,IF(OR(AND(F1629&lt;'00_Arquitectura'!$B$121,G1629&lt;'00_Arquitectura'!$B$122),F1629&lt;'00_Arquitectura'!$B$123),1,0),IF(AND(H1629=1,$H$1611=1),1,0))</x:f>
        <x:v>0</x:v>
      </x:c>
      <x:c r="J1629" s="5" t="n">
        <x:f>-I1629*1.5*'02_Actores'!$E$16/10</x:f>
        <x:v>0</x:v>
      </x:c>
      <x:c r="K1629" s="5" t="n">
        <x:f>$K$1619</x:f>
        <x:v>43.872644181588946</x:v>
      </x:c>
      <x:c r="L1629" s="5" t="str">
        <x:v>J programa offset para t+1; efecto sustituible y acotado, sin voto adicional.</x:v>
      </x:c>
    </x:row>
    <x:row r="1630" ht="42" customHeight="1">
      <x:c r="A1630" s="10" t="str">
        <x:v>S5_SEGURIDAD</x:v>
      </x:c>
      <x:c r="B1630" s="10" t="n">
        <x:v>8</x:v>
      </x:c>
      <x:c r="C1630" s="10" t="str">
        <x:v>ddhh</x:v>
      </x:c>
      <x:c r="D1630" s="10" t="n">
        <x:f>$F$1612</x:f>
        <x:v>30.58395568221507</x:v>
      </x:c>
      <x:c r="E1630" s="10" t="n">
        <x:f>(ABS('03_Sensibilidades'!$C$48)*IF('03_Sensibilidades'!$C$48&lt;0,100-$K$739,$K$739)+ABS('03_Sensibilidades'!$C$49)*IF('03_Sensibilidades'!$C$49&lt;0,100-$K$737,$K$737)+ABS('03_Sensibilidades'!$C$50)*IF('03_Sensibilidades'!$C$50&lt;0,100-$K$736,$K$736))/(ABS('03_Sensibilidades'!$C$48)+ABS('03_Sensibilidades'!$C$49)+ABS('03_Sensibilidades'!$C$50))</x:f>
        <x:v>29.705882352941178</x:v>
      </x:c>
      <x:c r="F1630" s="10" t="n">
        <x:f>(1-'00_Arquitectura'!$B$95)*D1630+'00_Arquitectura'!$B$95*E1630</x:f>
        <x:v>30.276630016969207</x:v>
      </x:c>
      <x:c r="G1630" s="10" t="n">
        <x:f>30</x:f>
        <x:v>30</x:v>
      </x:c>
      <x:c r="H1630" s="10" t="n">
        <x:f>IF(OR(AND(F1630&lt;'00_Arquitectura'!$B$118,G1630&lt;'00_Arquitectura'!$B$119),F1630&lt;'00_Arquitectura'!$B$120),1,0)</x:f>
        <x:v>1</x:v>
      </x:c>
      <x:c r="I1630" s="10" t="n">
        <x:f>IF($I$1612=1,IF(OR(AND(F1630&lt;'00_Arquitectura'!$B$121,G1630&lt;'00_Arquitectura'!$B$122),F1630&lt;'00_Arquitectura'!$B$123),1,0),IF(AND(H1630=1,$H$1612=1),1,0))</x:f>
        <x:v>1</x:v>
      </x:c>
      <x:c r="J1630" s="10" t="n">
        <x:f>0</x:f>
        <x:v>0</x:v>
      </x:c>
      <x:c r="K1630" s="10" t="n">
        <x:f>$K$1619</x:f>
        <x:v>43.872644181588946</x:v>
      </x:c>
      <x:c r="L1630" s="10" t="str">
        <x:v>Conflicto activo captura menor eficacia en políticas ejecutadas en t+1. Magnitud0 en J: no es un offset directo de indicador.</x:v>
      </x:c>
    </x:row>
    <x:row r="1631" ht="42" customHeight="1">
      <x:c r="A1631" s="5" t="str">
        <x:v>S5_SEGURIDAD</x:v>
      </x:c>
      <x:c r="B1631" s="5" t="n">
        <x:v>8</x:v>
      </x:c>
      <x:c r="C1631" s="5" t="str">
        <x:v>ambientalistas</x:v>
      </x:c>
      <x:c r="D1631" s="5" t="n">
        <x:f>$F$1613</x:f>
        <x:v>41.6426698220486</x:v>
      </x:c>
      <x:c r="E1631" s="5" t="n">
        <x:f>(ABS('03_Sensibilidades'!$C$51)*IF('03_Sensibilidades'!$C$51&lt;0,100-$K$740,$K$740)+ABS('03_Sensibilidades'!$C$52)*IF('03_Sensibilidades'!$C$52&lt;0,100-$K$739,$K$739)+ABS('03_Sensibilidades'!$C$53)*IF('03_Sensibilidades'!$C$53&lt;0,100-$K$735,$K$735))/(ABS('03_Sensibilidades'!$C$51)+ABS('03_Sensibilidades'!$C$52)+ABS('03_Sensibilidades'!$C$53))</x:f>
        <x:v>41.388888888888886</x:v>
      </x:c>
      <x:c r="F1631" s="5" t="n">
        <x:f>(1-'00_Arquitectura'!$B$95)*D1631+'00_Arquitectura'!$B$95*E1631</x:f>
        <x:v>41.5538464954427</x:v>
      </x:c>
      <x:c r="G1631" s="5" t="n">
        <x:f>'02_Actores'!$I$18</x:f>
        <x:v>45</x:v>
      </x:c>
      <x:c r="H1631" s="5" t="n">
        <x:f>IF(OR(AND(F1631&lt;'00_Arquitectura'!$B$118,G1631&lt;'00_Arquitectura'!$B$119),F1631&lt;'00_Arquitectura'!$B$120),1,0)</x:f>
        <x:v>0</x:v>
      </x:c>
      <x:c r="I1631" s="5" t="n">
        <x:f>IF($I$1613=1,IF(OR(AND(F1631&lt;'00_Arquitectura'!$B$121,G1631&lt;'00_Arquitectura'!$B$122),F1631&lt;'00_Arquitectura'!$B$123),1,0),IF(AND(H1631=1,$H$1613=1),1,0))</x:f>
        <x:v>0</x:v>
      </x:c>
      <x:c r="J1631" s="5" t="n">
        <x:f>0</x:f>
        <x:v>0</x:v>
      </x:c>
      <x:c r="K1631" s="5" t="n">
        <x:f>$K$1619</x:f>
        <x:v>43.872644181588946</x:v>
      </x:c>
      <x:c r="L1631" s="5" t="str">
        <x:v>Conflicto activo captura menor eficacia en políticas ejecutadas en t+1. Magnitud0 en J: no es un offset directo de indicador.</x:v>
      </x:c>
    </x:row>
    <x:row r="1632" ht="34" customHeight="1">
      <x:c r="A1632" s="10" t="str">
        <x:v>S5_SEGURIDAD</x:v>
      </x:c>
      <x:c r="B1632" s="10" t="n">
        <x:v>8</x:v>
      </x:c>
      <x:c r="C1632" s="10" t="str">
        <x:v>cultura</x:v>
      </x:c>
      <x:c r="D1632" s="10" t="n">
        <x:f>$F$1614</x:f>
        <x:v>36.01602282236843</x:v>
      </x:c>
      <x:c r="E1632" s="10" t="n">
        <x:f>(ABS('03_Sensibilidades'!$C$54)*IF('03_Sensibilidades'!$C$54&lt;0,100-$K$739,$K$739)+ABS('03_Sensibilidades'!$C$55)*IF('03_Sensibilidades'!$C$55&lt;0,100-$K$734,$K$734)+ABS('03_Sensibilidades'!$C$56)*IF('03_Sensibilidades'!$C$56&lt;0,100-$K$729,$K$729))/(ABS('03_Sensibilidades'!$C$54)+ABS('03_Sensibilidades'!$C$55)+ABS('03_Sensibilidades'!$C$56))</x:f>
        <x:v>35.631279242</x:v>
      </x:c>
      <x:c r="F1632" s="10" t="n">
        <x:f>(1-'00_Arquitectura'!$B$95)*D1632+'00_Arquitectura'!$B$95*E1632</x:f>
        <x:v>35.88136256923948</x:v>
      </x:c>
      <x:c r="G1632" s="10" t="n">
        <x:f>'02_Actores'!$I$19</x:f>
        <x:v>45</x:v>
      </x:c>
      <x:c r="H1632" s="10" t="n">
        <x:f>IF(OR(AND(F1632&lt;'00_Arquitectura'!$B$118,G1632&lt;'00_Arquitectura'!$B$119),F1632&lt;'00_Arquitectura'!$B$120),1,0)</x:f>
        <x:v>0</x:v>
      </x:c>
      <x:c r="I1632" s="10" t="n">
        <x:f>IF($I$1614=1,IF(OR(AND(F1632&lt;'00_Arquitectura'!$B$121,G1632&lt;'00_Arquitectura'!$B$122),F1632&lt;'00_Arquitectura'!$B$123),1,0),IF(AND(H1632=1,$H$1614=1),1,0))</x:f>
        <x:v>0</x:v>
      </x:c>
      <x:c r="J1632" s="10" t="n">
        <x:f>0</x:f>
        <x:v>0</x:v>
      </x:c>
      <x:c r="K1632" s="10" t="n">
        <x:f>$K$1619</x:f>
        <x:v>43.872644181588946</x:v>
      </x:c>
      <x:c r="L1632" s="10" t="str">
        <x:v>Conflicto activo encarece agenda del turno siguiente; sin castigo electoral adicional.</x:v>
      </x:c>
    </x:row>
    <x:row r="1633" ht="34" customHeight="1">
      <x:c r="A1633" s="5" t="str">
        <x:v>S5_SEGURIDAD</x:v>
      </x:c>
      <x:c r="B1633" s="5" t="n">
        <x:v>8</x:v>
      </x:c>
      <x:c r="C1633" s="5" t="str">
        <x:v>oficialismo</x:v>
      </x:c>
      <x:c r="D1633" s="5" t="n">
        <x:f>$F$1615</x:f>
        <x:v>43.852035630468</x:v>
      </x:c>
      <x:c r="E1633" s="5" t="n">
        <x:f>(ABS('03_Sensibilidades'!$C$57)*IF('03_Sensibilidades'!$C$57&lt;0,100-$K$739,$K$739)+ABS('03_Sensibilidades'!$C$58)*IF('03_Sensibilidades'!$C$58&lt;0,100-$K$728,$K$728)+ABS('03_Sensibilidades'!$C$59)*IF('03_Sensibilidades'!$C$59&lt;0,100-$K$731,$K$731)+ABS('03_Sensibilidades'!$C$60)*IF('03_Sensibilidades'!$C$60&lt;0,100-$K$736,$K$736))/(ABS('03_Sensibilidades'!$C$57)+ABS('03_Sensibilidades'!$C$58)+ABS('03_Sensibilidades'!$C$59)+ABS('03_Sensibilidades'!$C$60))</x:f>
        <x:v>43.957247238656</x:v>
      </x:c>
      <x:c r="F1633" s="5" t="n">
        <x:f>(1-'00_Arquitectura'!$B$95)*D1633+'00_Arquitectura'!$B$95*E1633</x:f>
        <x:v>43.8888596933338</x:v>
      </x:c>
      <x:c r="G1633" s="5" t="n">
        <x:f>'02_Actores'!$I$20</x:f>
        <x:v>60</x:v>
      </x:c>
      <x:c r="H1633" s="5" t="n">
        <x:f>IF(OR(AND(F1633&lt;'00_Arquitectura'!$B$118,G1633&lt;'00_Arquitectura'!$B$119),F1633&lt;'00_Arquitectura'!$B$120),1,0)</x:f>
        <x:v>0</x:v>
      </x:c>
      <x:c r="I1633" s="5" t="n">
        <x:f>IF($I$1615=1,IF(OR(AND(F1633&lt;'00_Arquitectura'!$B$121,G1633&lt;'00_Arquitectura'!$B$122),F1633&lt;'00_Arquitectura'!$B$123),1,0),IF(AND(H1633=1,$H$1615=1),1,0))</x:f>
        <x:v>0</x:v>
      </x:c>
      <x:c r="J1633" s="5" t="n">
        <x:f>0</x:f>
        <x:v>0</x:v>
      </x:c>
      <x:c r="K1633" s="5" t="n">
        <x:f>$K$1619</x:f>
        <x:v>43.872644181588946</x:v>
      </x:c>
      <x:c r="L1633" s="5" t="str">
        <x:v>No aporta E_social; S y R alimentan disposición a leyes según07.</x:v>
      </x:c>
    </x:row>
    <x:row r="1634" ht="34" customHeight="1">
      <x:c r="A1634" s="10" t="str">
        <x:v>S5_SEGURIDAD</x:v>
      </x:c>
      <x:c r="B1634" s="10" t="n">
        <x:v>8</x:v>
      </x:c>
      <x:c r="C1634" s="10" t="str">
        <x:v>aliados</x:v>
      </x:c>
      <x:c r="D1634" s="10" t="n">
        <x:f>$F$1616</x:f>
        <x:v>39.99169081264881</x:v>
      </x:c>
      <x:c r="E1634" s="10" t="n">
        <x:f>(ABS('03_Sensibilidades'!$C$61)*IF('03_Sensibilidades'!$C$61&lt;0,100-$K$739,$K$739)+ABS('03_Sensibilidades'!$C$62)*IF('03_Sensibilidades'!$C$62&lt;0,100-$K$731,$K$731)+ABS('03_Sensibilidades'!$C$63)*IF('03_Sensibilidades'!$C$63&lt;0,100-$K$733,$K$733))/(ABS('03_Sensibilidades'!$C$61)+ABS('03_Sensibilidades'!$C$62)+ABS('03_Sensibilidades'!$C$63))</x:f>
        <x:v>40.09473192617143</x:v>
      </x:c>
      <x:c r="F1634" s="10" t="n">
        <x:f>(1-'00_Arquitectura'!$B$95)*D1634+'00_Arquitectura'!$B$95*E1634</x:f>
        <x:v>40.02775520238173</x:v>
      </x:c>
      <x:c r="G1634" s="10" t="n">
        <x:f>'02_Actores'!$I$21</x:f>
        <x:v>45</x:v>
      </x:c>
      <x:c r="H1634" s="10" t="n">
        <x:f>IF(OR(AND(F1634&lt;'00_Arquitectura'!$B$118,G1634&lt;'00_Arquitectura'!$B$119),F1634&lt;'00_Arquitectura'!$B$120),1,0)</x:f>
        <x:v>0</x:v>
      </x:c>
      <x:c r="I1634" s="10" t="n">
        <x:f>IF($I$1616=1,IF(OR(AND(F1634&lt;'00_Arquitectura'!$B$121,G1634&lt;'00_Arquitectura'!$B$122),F1634&lt;'00_Arquitectura'!$B$123),1,0),IF(AND(H1634=1,$H$1616=1),1,0))</x:f>
        <x:v>0</x:v>
      </x:c>
      <x:c r="J1634" s="10" t="n">
        <x:f>0</x:f>
        <x:v>0</x:v>
      </x:c>
      <x:c r="K1634" s="10" t="n">
        <x:f>$K$1619</x:f>
        <x:v>43.872644181588946</x:v>
      </x:c>
      <x:c r="L1634" s="10" t="str">
        <x:v>No aporta E_social; S y R alimentan disposición a leyes según07.</x:v>
      </x:c>
    </x:row>
    <x:row r="1635" ht="34" customHeight="1">
      <x:c r="A1635" s="5" t="str">
        <x:v>S5_SEGURIDAD</x:v>
      </x:c>
      <x:c r="B1635" s="5" t="n">
        <x:v>8</x:v>
      </x:c>
      <x:c r="C1635" s="5" t="str">
        <x:v>oposicion</x:v>
      </x:c>
      <x:c r="D1635" s="5" t="n">
        <x:f>$F$1617</x:f>
        <x:v>36.936450478593756</x:v>
      </x:c>
      <x:c r="E1635" s="5" t="n">
        <x:f>(ABS('03_Sensibilidades'!$C$64)*IF('03_Sensibilidades'!$C$64&lt;0,100-$K$739,$K$739)+ABS('03_Sensibilidades'!$C$65)*IF('03_Sensibilidades'!$C$65&lt;0,100-$K$731,$K$731)+ABS('03_Sensibilidades'!$C$66)*IF('03_Sensibilidades'!$C$66&lt;0,100-$K$737,$K$737))/(ABS('03_Sensibilidades'!$C$64)+ABS('03_Sensibilidades'!$C$65)+ABS('03_Sensibilidades'!$C$66))</x:f>
        <x:v>36.499544447839995</x:v>
      </x:c>
      <x:c r="F1635" s="5" t="n">
        <x:f>(1-'00_Arquitectura'!$B$95)*D1635+'00_Arquitectura'!$B$95*E1635</x:f>
        <x:v>36.78353336782994</x:v>
      </x:c>
      <x:c r="G1635" s="5" t="n">
        <x:f>'02_Actores'!$I$22</x:f>
        <x:v>30</x:v>
      </x:c>
      <x:c r="H1635" s="5" t="n">
        <x:f>IF(OR(AND(F1635&lt;'00_Arquitectura'!$B$118,G1635&lt;'00_Arquitectura'!$B$119),F1635&lt;'00_Arquitectura'!$B$120),1,0)</x:f>
        <x:v>0</x:v>
      </x:c>
      <x:c r="I1635" s="5" t="n">
        <x:f>IF($I$1617=1,IF(OR(AND(F1635&lt;'00_Arquitectura'!$B$121,G1635&lt;'00_Arquitectura'!$B$122),F1635&lt;'00_Arquitectura'!$B$123),1,0),IF(AND(H1635=1,$H$1617=1),1,0))</x:f>
        <x:v>0</x:v>
      </x:c>
      <x:c r="J1635" s="5" t="n">
        <x:f>0</x:f>
        <x:v>0</x:v>
      </x:c>
      <x:c r="K1635" s="5" t="n">
        <x:f>$K$1619</x:f>
        <x:v>43.872644181588946</x:v>
      </x:c>
      <x:c r="L1635" s="5" t="str">
        <x:v>No aporta E_social; S y R alimentan disposición a leyes según07.</x:v>
      </x:c>
    </x:row>
    <x:row r="1636" ht="42" customHeight="1">
      <x:c r="A1636" s="10" t="str">
        <x:v>S5_SEGURIDAD</x:v>
      </x:c>
      <x:c r="B1636" s="10" t="n">
        <x:v>8</x:v>
      </x:c>
      <x:c r="C1636" s="10" t="str">
        <x:v>gobernadores</x:v>
      </x:c>
      <x:c r="D1636" s="10" t="n">
        <x:f>$F$1618</x:f>
        <x:v>50.236944320905174</x:v>
      </x:c>
      <x:c r="E1636" s="10" t="n">
        <x:f>(ABS('03_Sensibilidades'!$C$67)*IF('03_Sensibilidades'!$C$67&lt;0,100-$K$733,$K$733)+ABS('03_Sensibilidades'!$C$68)*IF('03_Sensibilidades'!$C$68&lt;0,100-$K$735,$K$735)+ABS('03_Sensibilidades'!$C$69)*IF('03_Sensibilidades'!$C$69&lt;0,100-$K$734,$K$734)+ABS('03_Sensibilidades'!$C$70)*IF('03_Sensibilidades'!$C$70&lt;0,100-$K$731,$K$731))/(ABS('03_Sensibilidades'!$C$67)+ABS('03_Sensibilidades'!$C$68)+ABS('03_Sensibilidades'!$C$69)+ABS('03_Sensibilidades'!$C$70))</x:f>
        <x:v>50.5169272054069</x:v>
      </x:c>
      <x:c r="F1636" s="10" t="n">
        <x:f>(1-'00_Arquitectura'!$B$95)*D1636+'00_Arquitectura'!$B$95*E1636</x:f>
        <x:v>50.33493833048078</x:v>
      </x:c>
      <x:c r="G1636" s="10" t="n">
        <x:f>'02_Actores'!$I$23</x:f>
        <x:v>45</x:v>
      </x:c>
      <x:c r="H1636" s="10" t="n">
        <x:f>IF(OR(AND(F1636&lt;'00_Arquitectura'!$B$118,G1636&lt;'00_Arquitectura'!$B$119),F1636&lt;'00_Arquitectura'!$B$120),1,0)</x:f>
        <x:v>0</x:v>
      </x:c>
      <x:c r="I1636" s="10" t="n">
        <x:f>IF($I$1618=1,IF(OR(AND(F1636&lt;'00_Arquitectura'!$B$121,G1636&lt;'00_Arquitectura'!$B$122),F1636&lt;'00_Arquitectura'!$B$123),1,0),IF(AND(H1636=1,$H$1618=1),1,0))</x:f>
        <x:v>0</x:v>
      </x:c>
      <x:c r="J1636" s="10" t="n">
        <x:f>0</x:f>
        <x:v>0</x:v>
      </x:c>
      <x:c r="K1636" s="10" t="n">
        <x:f>$K$1619</x:f>
        <x:v>43.872644181588946</x:v>
      </x:c>
      <x:c r="L1636" s="10" t="str">
        <x:v>Conflicto activo captura menor eficacia en políticas ejecutadas en t+1. Magnitud0 en J: no es un offset directo de indicador.</x:v>
      </x:c>
    </x:row>
    <x:row r="1637" ht="34" customHeight="1">
      <x:c r="A1637" s="5" t="str">
        <x:v>S5_SEGURIDAD</x:v>
      </x:c>
      <x:c r="B1637" s="5" t="n">
        <x:v>9</x:v>
      </x:c>
      <x:c r="C1637" s="5" t="str">
        <x:v>industria</x:v>
      </x:c>
      <x:c r="D1637" s="5" t="n">
        <x:f>$F$1619</x:f>
        <x:v>46.47813068905333</x:v>
      </x:c>
      <x:c r="E1637" s="5" t="n">
        <x:f>(ABS('03_Sensibilidades'!$C$6)*IF('03_Sensibilidades'!$C$6&lt;0,100-$K$744,$K$744)+ABS('03_Sensibilidades'!$C$7)*IF('03_Sensibilidades'!$C$7&lt;0,100-$K$742,$K$742)+ABS('03_Sensibilidades'!$C$8)*IF('03_Sensibilidades'!$C$8&lt;0,100-$K$747,$K$747)+ABS('03_Sensibilidades'!$C$9)*IF('03_Sensibilidades'!$C$9&lt;0,100-$K$746,$K$746))/(ABS('03_Sensibilidades'!$C$6)+ABS('03_Sensibilidades'!$C$7)+ABS('03_Sensibilidades'!$C$8)+ABS('03_Sensibilidades'!$C$9))</x:f>
        <x:v>46.49849856577733</x:v>
      </x:c>
      <x:c r="F1637" s="5" t="n">
        <x:f>(1-'00_Arquitectura'!$B$95)*D1637+'00_Arquitectura'!$B$95*E1637</x:f>
        <x:v>46.485259445906735</x:v>
      </x:c>
      <x:c r="G1637" s="5" t="n">
        <x:f>'02_Actores'!$I$6</x:f>
        <x:v>45</x:v>
      </x:c>
      <x:c r="H1637" s="5" t="n">
        <x:f>IF(OR(AND(F1637&lt;'00_Arquitectura'!$B$118,G1637&lt;'00_Arquitectura'!$B$119),F1637&lt;'00_Arquitectura'!$B$120),1,0)</x:f>
        <x:v>0</x:v>
      </x:c>
      <x:c r="I1637" s="5" t="n">
        <x:f>IF($I$1619=1,IF(OR(AND(F1637&lt;'00_Arquitectura'!$B$121,G1637&lt;'00_Arquitectura'!$B$122),F1637&lt;'00_Arquitectura'!$B$123),1,0),IF(AND(H1637=1,$H$1619=1),1,0))</x:f>
        <x:v>0</x:v>
      </x:c>
      <x:c r="J1637" s="5" t="n">
        <x:f>-I1637*2*'02_Actores'!$E$6/10</x:f>
        <x:v>0</x:v>
      </x:c>
      <x:c r="K1637" s="5" t="n">
        <x:f>($F$1637*'02_Actores'!$F$6+$F$1638*'02_Actores'!$F$7+$F$1639*'02_Actores'!$F$8+$F$1640*'02_Actores'!$F$9+$F$1641*'02_Actores'!$F$10+$F$1642*'02_Actores'!$F$11+$F$1643*'02_Actores'!$F$12+$F$1644*'02_Actores'!$F$13+$F$1645*'02_Actores'!$F$14+$F$1646*'02_Actores'!$F$15+$F$1647*'02_Actores'!$F$16+$F$1648*'02_Actores'!$F$17+$F$1649*'02_Actores'!$F$18+$F$1650*'02_Actores'!$F$19)/('02_Actores'!$F$6+'02_Actores'!$F$7+'02_Actores'!$F$8+'02_Actores'!$F$9+'02_Actores'!$F$10+'02_Actores'!$F$11+'02_Actores'!$F$12+'02_Actores'!$F$13+'02_Actores'!$F$14+'02_Actores'!$F$15+'02_Actores'!$F$16+'02_Actores'!$F$17+'02_Actores'!$F$18+'02_Actores'!$F$19)</x:f>
        <x:v>43.83082707824064</x:v>
      </x:c>
      <x:c r="L1637" s="5" t="str">
        <x:v>J programa offset para t+1; efecto sustituible y acotado, sin voto adicional.</x:v>
      </x:c>
    </x:row>
    <x:row r="1638" ht="34" customHeight="1">
      <x:c r="A1638" s="10" t="str">
        <x:v>S5_SEGURIDAD</x:v>
      </x:c>
      <x:c r="B1638" s="10" t="n">
        <x:v>9</x:v>
      </x:c>
      <x:c r="C1638" s="10" t="str">
        <x:v>agro</x:v>
      </x:c>
      <x:c r="D1638" s="10" t="n">
        <x:f>$F$1620</x:f>
        <x:v>45.892060985638395</x:v>
      </x:c>
      <x:c r="E1638" s="10" t="n">
        <x:f>(ABS('03_Sensibilidades'!$C$10)*IF('03_Sensibilidades'!$C$10&lt;0,100-$K$746,$K$746)+ABS('03_Sensibilidades'!$C$11)*IF('03_Sensibilidades'!$C$11&lt;0,100-$K$747,$K$747)+ABS('03_Sensibilidades'!$C$12)*IF('03_Sensibilidades'!$C$12&lt;0,100-$K$754,$K$754)+ABS('03_Sensibilidades'!$C$13)*IF('03_Sensibilidades'!$C$13&lt;0,100-$K$744,$K$744))/(ABS('03_Sensibilidades'!$C$10)+ABS('03_Sensibilidades'!$C$11)+ABS('03_Sensibilidades'!$C$12)+ABS('03_Sensibilidades'!$C$13))</x:f>
        <x:v>45.90381922237831</x:v>
      </x:c>
      <x:c r="F1638" s="10" t="n">
        <x:f>(1-'00_Arquitectura'!$B$95)*D1638+'00_Arquitectura'!$B$95*E1638</x:f>
        <x:v>45.896176368497365</x:v>
      </x:c>
      <x:c r="G1638" s="10" t="n">
        <x:f>'02_Actores'!$I$7</x:f>
        <x:v>45</x:v>
      </x:c>
      <x:c r="H1638" s="10" t="n">
        <x:f>IF(OR(AND(F1638&lt;'00_Arquitectura'!$B$118,G1638&lt;'00_Arquitectura'!$B$119),F1638&lt;'00_Arquitectura'!$B$120),1,0)</x:f>
        <x:v>0</x:v>
      </x:c>
      <x:c r="I1638" s="10" t="n">
        <x:f>IF($I$1620=1,IF(OR(AND(F1638&lt;'00_Arquitectura'!$B$121,G1638&lt;'00_Arquitectura'!$B$122),F1638&lt;'00_Arquitectura'!$B$123),1,0),IF(AND(H1638=1,$H$1620=1),1,0))</x:f>
        <x:v>0</x:v>
      </x:c>
      <x:c r="J1638" s="10" t="n">
        <x:f>-I1638*2*'02_Actores'!$E$7/10</x:f>
        <x:v>0</x:v>
      </x:c>
      <x:c r="K1638" s="10" t="n">
        <x:f>$K$1637</x:f>
        <x:v>43.83082707824064</x:v>
      </x:c>
      <x:c r="L1638" s="10" t="str">
        <x:v>J programa offset para t+1; efecto sustituible y acotado, sin voto adicional.</x:v>
      </x:c>
    </x:row>
    <x:row r="1639" ht="34" customHeight="1">
      <x:c r="A1639" s="5" t="str">
        <x:v>S5_SEGURIDAD</x:v>
      </x:c>
      <x:c r="B1639" s="5" t="n">
        <x:v>9</x:v>
      </x:c>
      <x:c r="C1639" s="5" t="str">
        <x:v>financiero</x:v>
      </x:c>
      <x:c r="D1639" s="5" t="n">
        <x:f>$F$1621</x:f>
        <x:v>50.501133315332325</x:v>
      </x:c>
      <x:c r="E1639" s="5" t="n">
        <x:f>(ABS('03_Sensibilidades'!$C$14)*IF('03_Sensibilidades'!$C$14&lt;0,100-$K$745,$K$745)+ABS('03_Sensibilidades'!$C$15)*IF('03_Sensibilidades'!$C$15&lt;0,100-$K$741,$K$741)+ABS('03_Sensibilidades'!$C$16)*IF('03_Sensibilidades'!$C$16&lt;0,100-$K$744,$K$744)+ABS('03_Sensibilidades'!$C$17)*IF('03_Sensibilidades'!$C$17&lt;0,100-$K$753,$K$753))/(ABS('03_Sensibilidades'!$C$14)+ABS('03_Sensibilidades'!$C$15)+ABS('03_Sensibilidades'!$C$16)+ABS('03_Sensibilidades'!$C$17))</x:f>
        <x:v>50.738440914469976</x:v>
      </x:c>
      <x:c r="F1639" s="5" t="n">
        <x:f>(1-'00_Arquitectura'!$B$95)*D1639+'00_Arquitectura'!$B$95*E1639</x:f>
        <x:v>50.58419097503051</x:v>
      </x:c>
      <x:c r="G1639" s="5" t="n">
        <x:f>'02_Actores'!$I$8</x:f>
        <x:v>45</x:v>
      </x:c>
      <x:c r="H1639" s="5" t="n">
        <x:f>IF(OR(AND(F1639&lt;'00_Arquitectura'!$B$118,G1639&lt;'00_Arquitectura'!$B$119),F1639&lt;'00_Arquitectura'!$B$120),1,0)</x:f>
        <x:v>0</x:v>
      </x:c>
      <x:c r="I1639" s="5" t="n">
        <x:f>IF($I$1621=1,IF(OR(AND(F1639&lt;'00_Arquitectura'!$B$121,G1639&lt;'00_Arquitectura'!$B$122),F1639&lt;'00_Arquitectura'!$B$123),1,0),IF(AND(H1639=1,$H$1621=1),1,0))</x:f>
        <x:v>0</x:v>
      </x:c>
      <x:c r="J1639" s="5" t="n">
        <x:f>-I1639*2*'02_Actores'!$E$8/10</x:f>
        <x:v>0</x:v>
      </x:c>
      <x:c r="K1639" s="5" t="n">
        <x:f>$K$1637</x:f>
        <x:v>43.83082707824064</x:v>
      </x:c>
      <x:c r="L1639" s="5" t="str">
        <x:v>J programa offset para t+1; efecto sustituible y acotado, sin voto adicional.</x:v>
      </x:c>
    </x:row>
    <x:row r="1640" ht="34" customHeight="1">
      <x:c r="A1640" s="10" t="str">
        <x:v>S5_SEGURIDAD</x:v>
      </x:c>
      <x:c r="B1640" s="10" t="n">
        <x:v>9</x:v>
      </x:c>
      <x:c r="C1640" s="10" t="str">
        <x:v>sindicatos</x:v>
      </x:c>
      <x:c r="D1640" s="10" t="n">
        <x:f>$F$1622</x:f>
        <x:v>43.04496396661362</x:v>
      </x:c>
      <x:c r="E1640" s="10" t="n">
        <x:f>(ABS('03_Sensibilidades'!$C$18)*IF('03_Sensibilidades'!$C$18&lt;0,100-$K$743,$K$743)+ABS('03_Sensibilidades'!$C$19)*IF('03_Sensibilidades'!$C$19&lt;0,100-$K$742,$K$742)+ABS('03_Sensibilidades'!$C$20)*IF('03_Sensibilidades'!$C$20&lt;0,100-$K$750,$K$750)+ABS('03_Sensibilidades'!$C$21)*IF('03_Sensibilidades'!$C$21&lt;0,100-$K$753,$K$753))/(ABS('03_Sensibilidades'!$C$18)+ABS('03_Sensibilidades'!$C$19)+ABS('03_Sensibilidades'!$C$20)+ABS('03_Sensibilidades'!$C$21))</x:f>
        <x:v>42.96390378894551</x:v>
      </x:c>
      <x:c r="F1640" s="10" t="n">
        <x:f>(1-'00_Arquitectura'!$B$95)*D1640+'00_Arquitectura'!$B$95*E1640</x:f>
        <x:v>43.016592904429785</x:v>
      </x:c>
      <x:c r="G1640" s="10" t="n">
        <x:f>'02_Actores'!$I$9</x:f>
        <x:v>45</x:v>
      </x:c>
      <x:c r="H1640" s="10" t="n">
        <x:f>IF(OR(AND(F1640&lt;'00_Arquitectura'!$B$118,G1640&lt;'00_Arquitectura'!$B$119),F1640&lt;'00_Arquitectura'!$B$120),1,0)</x:f>
        <x:v>0</x:v>
      </x:c>
      <x:c r="I1640" s="10" t="n">
        <x:f>IF($I$1622=1,IF(OR(AND(F1640&lt;'00_Arquitectura'!$B$121,G1640&lt;'00_Arquitectura'!$B$122),F1640&lt;'00_Arquitectura'!$B$123),1,0),IF(AND(H1640=1,$H$1622=1),1,0))</x:f>
        <x:v>0</x:v>
      </x:c>
      <x:c r="J1640" s="10" t="n">
        <x:f>-I1640*2*'02_Actores'!$E$9/10</x:f>
        <x:v>0</x:v>
      </x:c>
      <x:c r="K1640" s="10" t="n">
        <x:f>$K$1637</x:f>
        <x:v>43.83082707824064</x:v>
      </x:c>
      <x:c r="L1640" s="10" t="str">
        <x:v>J programa offset para t+1; efecto sustituible y acotado, sin voto adicional.</x:v>
      </x:c>
    </x:row>
    <x:row r="1641" ht="34" customHeight="1">
      <x:c r="A1641" s="5" t="str">
        <x:v>S5_SEGURIDAD</x:v>
      </x:c>
      <x:c r="B1641" s="5" t="n">
        <x:v>9</x:v>
      </x:c>
      <x:c r="C1641" s="5" t="str">
        <x:v>pymes</x:v>
      </x:c>
      <x:c r="D1641" s="5" t="n">
        <x:f>$F$1623</x:f>
        <x:v>49.134267627571376</x:v>
      </x:c>
      <x:c r="E1641" s="5" t="n">
        <x:f>(ABS('03_Sensibilidades'!$C$22)*IF('03_Sensibilidades'!$C$22&lt;0,100-$K$744,$K$744)+ABS('03_Sensibilidades'!$C$23)*IF('03_Sensibilidades'!$C$23&lt;0,100-$K$742,$K$742)+ABS('03_Sensibilidades'!$C$24)*IF('03_Sensibilidades'!$C$24&lt;0,100-$K$747,$K$747)+ABS('03_Sensibilidades'!$C$25)*IF('03_Sensibilidades'!$C$25&lt;0,100-$K$741,$K$741))/(ABS('03_Sensibilidades'!$C$22)+ABS('03_Sensibilidades'!$C$23)+ABS('03_Sensibilidades'!$C$24)+ABS('03_Sensibilidades'!$C$25))</x:f>
        <x:v>49.15787177864844</x:v>
      </x:c>
      <x:c r="F1641" s="5" t="n">
        <x:f>(1-'00_Arquitectura'!$B$95)*D1641+'00_Arquitectura'!$B$95*E1641</x:f>
        <x:v>49.14252908044835</x:v>
      </x:c>
      <x:c r="G1641" s="5" t="n">
        <x:f>'02_Actores'!$I$10</x:f>
        <x:v>45</x:v>
      </x:c>
      <x:c r="H1641" s="5" t="n">
        <x:f>IF(OR(AND(F1641&lt;'00_Arquitectura'!$B$118,G1641&lt;'00_Arquitectura'!$B$119),F1641&lt;'00_Arquitectura'!$B$120),1,0)</x:f>
        <x:v>0</x:v>
      </x:c>
      <x:c r="I1641" s="5" t="n">
        <x:f>IF($I$1623=1,IF(OR(AND(F1641&lt;'00_Arquitectura'!$B$121,G1641&lt;'00_Arquitectura'!$B$122),F1641&lt;'00_Arquitectura'!$B$123),1,0),IF(AND(H1641=1,$H$1623=1),1,0))</x:f>
        <x:v>0</x:v>
      </x:c>
      <x:c r="J1641" s="5" t="n">
        <x:f>-I1641*2*'02_Actores'!$E$10/10</x:f>
        <x:v>0</x:v>
      </x:c>
      <x:c r="K1641" s="5" t="n">
        <x:f>$K$1637</x:f>
        <x:v>43.83082707824064</x:v>
      </x:c>
      <x:c r="L1641" s="5" t="str">
        <x:v>J programa offset para t+1; efecto sustituible y acotado, sin voto adicional.</x:v>
      </x:c>
    </x:row>
    <x:row r="1642" ht="34" customHeight="1">
      <x:c r="A1642" s="10" t="str">
        <x:v>S5_SEGURIDAD</x:v>
      </x:c>
      <x:c r="B1642" s="10" t="n">
        <x:v>9</x:v>
      </x:c>
      <x:c r="C1642" s="10" t="str">
        <x:v>clase_media</x:v>
      </x:c>
      <x:c r="D1642" s="10" t="n">
        <x:f>$F$1624</x:f>
        <x:v>48.65827547714288</x:v>
      </x:c>
      <x:c r="E1642" s="10" t="n">
        <x:f>(ABS('03_Sensibilidades'!$C$26)*IF('03_Sensibilidades'!$C$26&lt;0,100-$K$743,$K$743)+ABS('03_Sensibilidades'!$C$27)*IF('03_Sensibilidades'!$C$27&lt;0,100-$K$751,$K$751)+ABS('03_Sensibilidades'!$C$28)*IF('03_Sensibilidades'!$C$28&lt;0,100-$K$748,$K$748)+ABS('03_Sensibilidades'!$C$29)*IF('03_Sensibilidades'!$C$29&lt;0,100-$K$741,$K$741))/(ABS('03_Sensibilidades'!$C$26)+ABS('03_Sensibilidades'!$C$27)+ABS('03_Sensibilidades'!$C$28)+ABS('03_Sensibilidades'!$C$29))</x:f>
        <x:v>48.33291869451111</x:v>
      </x:c>
      <x:c r="F1642" s="10" t="n">
        <x:f>(1-'00_Arquitectura'!$B$95)*D1642+'00_Arquitectura'!$B$95*E1642</x:f>
        <x:v>48.54440060322176</x:v>
      </x:c>
      <x:c r="G1642" s="10" t="n">
        <x:f>'02_Actores'!$I$11</x:f>
        <x:v>45</x:v>
      </x:c>
      <x:c r="H1642" s="10" t="n">
        <x:f>IF(OR(AND(F1642&lt;'00_Arquitectura'!$B$118,G1642&lt;'00_Arquitectura'!$B$119),F1642&lt;'00_Arquitectura'!$B$120),1,0)</x:f>
        <x:v>0</x:v>
      </x:c>
      <x:c r="I1642" s="10" t="n">
        <x:f>IF($I$1624=1,IF(OR(AND(F1642&lt;'00_Arquitectura'!$B$121,G1642&lt;'00_Arquitectura'!$B$122),F1642&lt;'00_Arquitectura'!$B$123),1,0),IF(AND(H1642=1,$H$1624=1),1,0))</x:f>
        <x:v>0</x:v>
      </x:c>
      <x:c r="J1642" s="10" t="n">
        <x:f>0</x:f>
        <x:v>0</x:v>
      </x:c>
      <x:c r="K1642" s="10" t="n">
        <x:f>$K$1637</x:f>
        <x:v>43.83082707824064</x:v>
      </x:c>
      <x:c r="L1642" s="10" t="str">
        <x:v>Canal directo sólo al índice social; sin bono de popularidad.</x:v>
      </x:c>
    </x:row>
    <x:row r="1643" ht="34" customHeight="1">
      <x:c r="A1643" s="5" t="str">
        <x:v>S5_SEGURIDAD</x:v>
      </x:c>
      <x:c r="B1643" s="5" t="n">
        <x:v>9</x:v>
      </x:c>
      <x:c r="C1643" s="5" t="str">
        <x:v>cooperativas</x:v>
      </x:c>
      <x:c r="D1643" s="5" t="n">
        <x:f>$F$1625</x:f>
        <x:v>42.52948989123185</x:v>
      </x:c>
      <x:c r="E1643" s="5" t="n">
        <x:f>(ABS('03_Sensibilidades'!$C$30)*IF('03_Sensibilidades'!$C$30&lt;0,100-$K$744,$K$744)+ABS('03_Sensibilidades'!$C$31)*IF('03_Sensibilidades'!$C$31&lt;0,100-$K$742,$K$742)+ABS('03_Sensibilidades'!$C$32)*IF('03_Sensibilidades'!$C$32&lt;0,100-$K$750,$K$750)+ABS('03_Sensibilidades'!$C$33)*IF('03_Sensibilidades'!$C$33&lt;0,100-$K$753,$K$753))/(ABS('03_Sensibilidades'!$C$30)+ABS('03_Sensibilidades'!$C$31)+ABS('03_Sensibilidades'!$C$32)+ABS('03_Sensibilidades'!$C$33))</x:f>
        <x:v>42.45933439320331</x:v>
      </x:c>
      <x:c r="F1643" s="5" t="n">
        <x:f>(1-'00_Arquitectura'!$B$95)*D1643+'00_Arquitectura'!$B$95*E1643</x:f>
        <x:v>42.50493546692186</x:v>
      </x:c>
      <x:c r="G1643" s="5" t="n">
        <x:f>'02_Actores'!$I$12</x:f>
        <x:v>45</x:v>
      </x:c>
      <x:c r="H1643" s="5" t="n">
        <x:f>IF(OR(AND(F1643&lt;'00_Arquitectura'!$B$118,G1643&lt;'00_Arquitectura'!$B$119),F1643&lt;'00_Arquitectura'!$B$120),1,0)</x:f>
        <x:v>0</x:v>
      </x:c>
      <x:c r="I1643" s="5" t="n">
        <x:f>IF($I$1625=1,IF(OR(AND(F1643&lt;'00_Arquitectura'!$B$121,G1643&lt;'00_Arquitectura'!$B$122),F1643&lt;'00_Arquitectura'!$B$123),1,0),IF(AND(H1643=1,$H$1625=1),1,0))</x:f>
        <x:v>0</x:v>
      </x:c>
      <x:c r="J1643" s="5" t="n">
        <x:f>-I1643*1.5*'02_Actores'!$E$12/10</x:f>
        <x:v>0</x:v>
      </x:c>
      <x:c r="K1643" s="5" t="n">
        <x:f>$K$1637</x:f>
        <x:v>43.83082707824064</x:v>
      </x:c>
      <x:c r="L1643" s="5" t="str">
        <x:v>J programa offset para t+1; efecto sustituible y acotado, sin voto adicional.</x:v>
      </x:c>
    </x:row>
    <x:row r="1644" ht="42" customHeight="1">
      <x:c r="A1644" s="10" t="str">
        <x:v>S5_SEGURIDAD</x:v>
      </x:c>
      <x:c r="B1644" s="10" t="n">
        <x:v>9</x:v>
      </x:c>
      <x:c r="C1644" s="10" t="str">
        <x:v>estudiantes</x:v>
      </x:c>
      <x:c r="D1644" s="10" t="n">
        <x:f>$F$1626</x:f>
        <x:v>39.28608165727825</x:v>
      </x:c>
      <x:c r="E1644" s="10" t="n">
        <x:f>(ABS('03_Sensibilidades'!$C$34)*IF('03_Sensibilidades'!$C$34&lt;0,100-$K$748,$K$748)+ABS('03_Sensibilidades'!$C$35)*IF('03_Sensibilidades'!$C$35&lt;0,100-$K$743,$K$743)+ABS('03_Sensibilidades'!$C$36)*IF('03_Sensibilidades'!$C$36&lt;0,100-$K$753,$K$753)+ABS('03_Sensibilidades'!$C$37)*IF('03_Sensibilidades'!$C$37&lt;0,100-$K$752,$K$752))/(ABS('03_Sensibilidades'!$C$34)+ABS('03_Sensibilidades'!$C$35)+ABS('03_Sensibilidades'!$C$36)+ABS('03_Sensibilidades'!$C$37))</x:f>
        <x:v>39.119776095036</x:v>
      </x:c>
      <x:c r="F1644" s="10" t="n">
        <x:f>(1-'00_Arquitectura'!$B$95)*D1644+'00_Arquitectura'!$B$95*E1644</x:f>
        <x:v>39.22787471049347</x:v>
      </x:c>
      <x:c r="G1644" s="10" t="n">
        <x:f>'02_Actores'!$I$13</x:f>
        <x:v>45</x:v>
      </x:c>
      <x:c r="H1644" s="10" t="n">
        <x:f>IF(OR(AND(F1644&lt;'00_Arquitectura'!$B$118,G1644&lt;'00_Arquitectura'!$B$119),F1644&lt;'00_Arquitectura'!$B$120),1,0)</x:f>
        <x:v>0</x:v>
      </x:c>
      <x:c r="I1644" s="10" t="n">
        <x:f>IF($I$1626=1,IF(OR(AND(F1644&lt;'00_Arquitectura'!$B$121,G1644&lt;'00_Arquitectura'!$B$122),F1644&lt;'00_Arquitectura'!$B$123),1,0),IF(AND(H1644=1,$H$1626=1),1,0))</x:f>
        <x:v>0</x:v>
      </x:c>
      <x:c r="J1644" s="10" t="n">
        <x:f>0</x:f>
        <x:v>0</x:v>
      </x:c>
      <x:c r="K1644" s="10" t="n">
        <x:f>$K$1637</x:f>
        <x:v>43.83082707824064</x:v>
      </x:c>
      <x:c r="L1644" s="10" t="str">
        <x:v>Conflicto activo captura menor eficacia en políticas ejecutadas en t+1. Magnitud0 en J: no es un offset directo de indicador.</x:v>
      </x:c>
    </x:row>
    <x:row r="1645" ht="34" customHeight="1">
      <x:c r="A1645" s="5" t="str">
        <x:v>S5_SEGURIDAD</x:v>
      </x:c>
      <x:c r="B1645" s="5" t="n">
        <x:v>9</x:v>
      </x:c>
      <x:c r="C1645" s="5" t="str">
        <x:v>docentes</x:v>
      </x:c>
      <x:c r="D1645" s="5" t="n">
        <x:f>$F$1627</x:f>
        <x:v>42.75506900341804</x:v>
      </x:c>
      <x:c r="E1645" s="5" t="n">
        <x:f>(ABS('03_Sensibilidades'!$C$38)*IF('03_Sensibilidades'!$C$38&lt;0,100-$K$748,$K$748)+ABS('03_Sensibilidades'!$C$39)*IF('03_Sensibilidades'!$C$39&lt;0,100-$K$743,$K$743)+ABS('03_Sensibilidades'!$C$40)*IF('03_Sensibilidades'!$C$40&lt;0,100-$K$753,$K$753))/(ABS('03_Sensibilidades'!$C$38)+ABS('03_Sensibilidades'!$C$39)+ABS('03_Sensibilidades'!$C$40))</x:f>
        <x:v>42.651735838113915</x:v>
      </x:c>
      <x:c r="F1645" s="5" t="n">
        <x:f>(1-'00_Arquitectura'!$B$95)*D1645+'00_Arquitectura'!$B$95*E1645</x:f>
        <x:v>42.7189023955616</x:v>
      </x:c>
      <x:c r="G1645" s="5" t="n">
        <x:f>'02_Actores'!$I$14</x:f>
        <x:v>45</x:v>
      </x:c>
      <x:c r="H1645" s="5" t="n">
        <x:f>IF(OR(AND(F1645&lt;'00_Arquitectura'!$B$118,G1645&lt;'00_Arquitectura'!$B$119),F1645&lt;'00_Arquitectura'!$B$120),1,0)</x:f>
        <x:v>0</x:v>
      </x:c>
      <x:c r="I1645" s="5" t="n">
        <x:f>IF($I$1627=1,IF(OR(AND(F1645&lt;'00_Arquitectura'!$B$121,G1645&lt;'00_Arquitectura'!$B$122),F1645&lt;'00_Arquitectura'!$B$123),1,0),IF(AND(H1645=1,$H$1627=1),1,0))</x:f>
        <x:v>0</x:v>
      </x:c>
      <x:c r="J1645" s="5" t="n">
        <x:f>-I1645*1.5*'02_Actores'!$E$14/10</x:f>
        <x:v>0</x:v>
      </x:c>
      <x:c r="K1645" s="5" t="n">
        <x:f>$K$1637</x:f>
        <x:v>43.83082707824064</x:v>
      </x:c>
      <x:c r="L1645" s="5" t="str">
        <x:v>J programa offset para t+1; efecto sustituible y acotado, sin voto adicional.</x:v>
      </x:c>
    </x:row>
    <x:row r="1646" ht="34" customHeight="1">
      <x:c r="A1646" s="10" t="str">
        <x:v>S5_SEGURIDAD</x:v>
      </x:c>
      <x:c r="B1646" s="10" t="n">
        <x:v>9</x:v>
      </x:c>
      <x:c r="C1646" s="10" t="str">
        <x:v>cientificos</x:v>
      </x:c>
      <x:c r="D1646" s="10" t="n">
        <x:f>$F$1628</x:f>
        <x:v>38.54405622354403</x:v>
      </x:c>
      <x:c r="E1646" s="10" t="n">
        <x:f>(ABS('03_Sensibilidades'!$C$41)*IF('03_Sensibilidades'!$C$41&lt;0,100-$K$752,$K$752)+ABS('03_Sensibilidades'!$C$42)*IF('03_Sensibilidades'!$C$42&lt;0,100-$K$748,$K$748)+ABS('03_Sensibilidades'!$C$43)*IF('03_Sensibilidades'!$C$43&lt;0,100-$K$753,$K$753))/(ABS('03_Sensibilidades'!$C$41)+ABS('03_Sensibilidades'!$C$42)+ABS('03_Sensibilidades'!$C$43))</x:f>
        <x:v>38.40909090909091</x:v>
      </x:c>
      <x:c r="F1646" s="10" t="n">
        <x:f>(1-'00_Arquitectura'!$B$95)*D1646+'00_Arquitectura'!$B$95*E1646</x:f>
        <x:v>38.49681836348544</x:v>
      </x:c>
      <x:c r="G1646" s="10" t="n">
        <x:f>'02_Actores'!$I$15</x:f>
        <x:v>45</x:v>
      </x:c>
      <x:c r="H1646" s="10" t="n">
        <x:f>IF(OR(AND(F1646&lt;'00_Arquitectura'!$B$118,G1646&lt;'00_Arquitectura'!$B$119),F1646&lt;'00_Arquitectura'!$B$120),1,0)</x:f>
        <x:v>0</x:v>
      </x:c>
      <x:c r="I1646" s="10" t="n">
        <x:f>IF($I$1628=1,IF(OR(AND(F1646&lt;'00_Arquitectura'!$B$121,G1646&lt;'00_Arquitectura'!$B$122),F1646&lt;'00_Arquitectura'!$B$123),1,0),IF(AND(H1646=1,$H$1628=1),1,0))</x:f>
        <x:v>0</x:v>
      </x:c>
      <x:c r="J1646" s="10" t="n">
        <x:f>-I1646*1.5*'02_Actores'!$E$15/10</x:f>
        <x:v>0</x:v>
      </x:c>
      <x:c r="K1646" s="10" t="n">
        <x:f>$K$1637</x:f>
        <x:v>43.83082707824064</x:v>
      </x:c>
      <x:c r="L1646" s="10" t="str">
        <x:v>J programa offset para t+1; efecto sustituible y acotado, sin voto adicional.</x:v>
      </x:c>
    </x:row>
    <x:row r="1647" ht="34" customHeight="1">
      <x:c r="A1647" s="5" t="str">
        <x:v>S5_SEGURIDAD</x:v>
      </x:c>
      <x:c r="B1647" s="5" t="n">
        <x:v>9</x:v>
      </x:c>
      <x:c r="C1647" s="5" t="str">
        <x:v>organizaciones</x:v>
      </x:c>
      <x:c r="D1647" s="5" t="n">
        <x:f>$F$1629</x:f>
        <x:v>42.783147651923166</x:v>
      </x:c>
      <x:c r="E1647" s="5" t="n">
        <x:f>(ABS('03_Sensibilidades'!$C$44)*IF('03_Sensibilidades'!$C$44&lt;0,100-$K$750,$K$750)+ABS('03_Sensibilidades'!$C$45)*IF('03_Sensibilidades'!$C$45&lt;0,100-$K$749,$K$749)+ABS('03_Sensibilidades'!$C$46)*IF('03_Sensibilidades'!$C$46&lt;0,100-$K$742,$K$742)+ABS('03_Sensibilidades'!$C$47)*IF('03_Sensibilidades'!$C$47&lt;0,100-$K$753,$K$753))/(ABS('03_Sensibilidades'!$C$44)+ABS('03_Sensibilidades'!$C$45)+ABS('03_Sensibilidades'!$C$46)+ABS('03_Sensibilidades'!$C$47))</x:f>
        <x:v>42.67772393161</x:v>
      </x:c>
      <x:c r="F1647" s="5" t="n">
        <x:f>(1-'00_Arquitectura'!$B$95)*D1647+'00_Arquitectura'!$B$95*E1647</x:f>
        <x:v>42.74624934981355</x:v>
      </x:c>
      <x:c r="G1647" s="5" t="n">
        <x:f>'02_Actores'!$I$16</x:f>
        <x:v>45</x:v>
      </x:c>
      <x:c r="H1647" s="5" t="n">
        <x:f>IF(OR(AND(F1647&lt;'00_Arquitectura'!$B$118,G1647&lt;'00_Arquitectura'!$B$119),F1647&lt;'00_Arquitectura'!$B$120),1,0)</x:f>
        <x:v>0</x:v>
      </x:c>
      <x:c r="I1647" s="5" t="n">
        <x:f>IF($I$1629=1,IF(OR(AND(F1647&lt;'00_Arquitectura'!$B$121,G1647&lt;'00_Arquitectura'!$B$122),F1647&lt;'00_Arquitectura'!$B$123),1,0),IF(AND(H1647=1,$H$1629=1),1,0))</x:f>
        <x:v>0</x:v>
      </x:c>
      <x:c r="J1647" s="5" t="n">
        <x:f>-I1647*1.5*'02_Actores'!$E$16/10</x:f>
        <x:v>0</x:v>
      </x:c>
      <x:c r="K1647" s="5" t="n">
        <x:f>$K$1637</x:f>
        <x:v>43.83082707824064</x:v>
      </x:c>
      <x:c r="L1647" s="5" t="str">
        <x:v>J programa offset para t+1; efecto sustituible y acotado, sin voto adicional.</x:v>
      </x:c>
    </x:row>
    <x:row r="1648" ht="42" customHeight="1">
      <x:c r="A1648" s="10" t="str">
        <x:v>S5_SEGURIDAD</x:v>
      </x:c>
      <x:c r="B1648" s="10" t="n">
        <x:v>9</x:v>
      </x:c>
      <x:c r="C1648" s="10" t="str">
        <x:v>ddhh</x:v>
      </x:c>
      <x:c r="D1648" s="10" t="n">
        <x:f>$F$1630</x:f>
        <x:v>30.276630016969207</x:v>
      </x:c>
      <x:c r="E1648" s="10" t="n">
        <x:f>(ABS('03_Sensibilidades'!$C$48)*IF('03_Sensibilidades'!$C$48&lt;0,100-$K$753,$K$753)+ABS('03_Sensibilidades'!$C$49)*IF('03_Sensibilidades'!$C$49&lt;0,100-$K$751,$K$751)+ABS('03_Sensibilidades'!$C$50)*IF('03_Sensibilidades'!$C$50&lt;0,100-$K$750,$K$750))/(ABS('03_Sensibilidades'!$C$48)+ABS('03_Sensibilidades'!$C$49)+ABS('03_Sensibilidades'!$C$50))</x:f>
        <x:v>29.705882352941178</x:v>
      </x:c>
      <x:c r="F1648" s="10" t="n">
        <x:f>(1-'00_Arquitectura'!$B$95)*D1648+'00_Arquitectura'!$B$95*E1648</x:f>
        <x:v>30.0768683345594</x:v>
      </x:c>
      <x:c r="G1648" s="10" t="n">
        <x:f>30</x:f>
        <x:v>30</x:v>
      </x:c>
      <x:c r="H1648" s="10" t="n">
        <x:f>IF(OR(AND(F1648&lt;'00_Arquitectura'!$B$118,G1648&lt;'00_Arquitectura'!$B$119),F1648&lt;'00_Arquitectura'!$B$120),1,0)</x:f>
        <x:v>1</x:v>
      </x:c>
      <x:c r="I1648" s="10" t="n">
        <x:f>IF($I$1630=1,IF(OR(AND(F1648&lt;'00_Arquitectura'!$B$121,G1648&lt;'00_Arquitectura'!$B$122),F1648&lt;'00_Arquitectura'!$B$123),1,0),IF(AND(H1648=1,$H$1630=1),1,0))</x:f>
        <x:v>1</x:v>
      </x:c>
      <x:c r="J1648" s="10" t="n">
        <x:f>0</x:f>
        <x:v>0</x:v>
      </x:c>
      <x:c r="K1648" s="10" t="n">
        <x:f>$K$1637</x:f>
        <x:v>43.83082707824064</x:v>
      </x:c>
      <x:c r="L1648" s="10" t="str">
        <x:v>Conflicto activo captura menor eficacia en políticas ejecutadas en t+1. Magnitud0 en J: no es un offset directo de indicador.</x:v>
      </x:c>
    </x:row>
    <x:row r="1649" ht="42" customHeight="1">
      <x:c r="A1649" s="5" t="str">
        <x:v>S5_SEGURIDAD</x:v>
      </x:c>
      <x:c r="B1649" s="5" t="n">
        <x:v>9</x:v>
      </x:c>
      <x:c r="C1649" s="5" t="str">
        <x:v>ambientalistas</x:v>
      </x:c>
      <x:c r="D1649" s="5" t="n">
        <x:f>$F$1631</x:f>
        <x:v>41.5538464954427</x:v>
      </x:c>
      <x:c r="E1649" s="5" t="n">
        <x:f>(ABS('03_Sensibilidades'!$C$51)*IF('03_Sensibilidades'!$C$51&lt;0,100-$K$754,$K$754)+ABS('03_Sensibilidades'!$C$52)*IF('03_Sensibilidades'!$C$52&lt;0,100-$K$753,$K$753)+ABS('03_Sensibilidades'!$C$53)*IF('03_Sensibilidades'!$C$53&lt;0,100-$K$749,$K$749))/(ABS('03_Sensibilidades'!$C$51)+ABS('03_Sensibilidades'!$C$52)+ABS('03_Sensibilidades'!$C$53))</x:f>
        <x:v>41.388888888888886</x:v>
      </x:c>
      <x:c r="F1649" s="5" t="n">
        <x:f>(1-'00_Arquitectura'!$B$95)*D1649+'00_Arquitectura'!$B$95*E1649</x:f>
        <x:v>41.49611133314886</x:v>
      </x:c>
      <x:c r="G1649" s="5" t="n">
        <x:f>'02_Actores'!$I$18</x:f>
        <x:v>45</x:v>
      </x:c>
      <x:c r="H1649" s="5" t="n">
        <x:f>IF(OR(AND(F1649&lt;'00_Arquitectura'!$B$118,G1649&lt;'00_Arquitectura'!$B$119),F1649&lt;'00_Arquitectura'!$B$120),1,0)</x:f>
        <x:v>0</x:v>
      </x:c>
      <x:c r="I1649" s="5" t="n">
        <x:f>IF($I$1631=1,IF(OR(AND(F1649&lt;'00_Arquitectura'!$B$121,G1649&lt;'00_Arquitectura'!$B$122),F1649&lt;'00_Arquitectura'!$B$123),1,0),IF(AND(H1649=1,$H$1631=1),1,0))</x:f>
        <x:v>0</x:v>
      </x:c>
      <x:c r="J1649" s="5" t="n">
        <x:f>0</x:f>
        <x:v>0</x:v>
      </x:c>
      <x:c r="K1649" s="5" t="n">
        <x:f>$K$1637</x:f>
        <x:v>43.83082707824064</x:v>
      </x:c>
      <x:c r="L1649" s="5" t="str">
        <x:v>Conflicto activo captura menor eficacia en políticas ejecutadas en t+1. Magnitud0 en J: no es un offset directo de indicador.</x:v>
      </x:c>
    </x:row>
    <x:row r="1650" ht="34" customHeight="1">
      <x:c r="A1650" s="10" t="str">
        <x:v>S5_SEGURIDAD</x:v>
      </x:c>
      <x:c r="B1650" s="10" t="n">
        <x:v>9</x:v>
      </x:c>
      <x:c r="C1650" s="10" t="str">
        <x:v>cultura</x:v>
      </x:c>
      <x:c r="D1650" s="10" t="n">
        <x:f>$F$1632</x:f>
        <x:v>35.88136256923948</x:v>
      </x:c>
      <x:c r="E1650" s="10" t="n">
        <x:f>(ABS('03_Sensibilidades'!$C$54)*IF('03_Sensibilidades'!$C$54&lt;0,100-$K$753,$K$753)+ABS('03_Sensibilidades'!$C$55)*IF('03_Sensibilidades'!$C$55&lt;0,100-$K$748,$K$748)+ABS('03_Sensibilidades'!$C$56)*IF('03_Sensibilidades'!$C$56&lt;0,100-$K$743,$K$743))/(ABS('03_Sensibilidades'!$C$54)+ABS('03_Sensibilidades'!$C$55)+ABS('03_Sensibilidades'!$C$56))</x:f>
        <x:v>35.63128433557368</x:v>
      </x:c>
      <x:c r="F1650" s="10" t="n">
        <x:f>(1-'00_Arquitectura'!$B$95)*D1650+'00_Arquitectura'!$B$95*E1650</x:f>
        <x:v>35.79383518745645</x:v>
      </x:c>
      <x:c r="G1650" s="10" t="n">
        <x:f>'02_Actores'!$I$19</x:f>
        <x:v>45</x:v>
      </x:c>
      <x:c r="H1650" s="10" t="n">
        <x:f>IF(OR(AND(F1650&lt;'00_Arquitectura'!$B$118,G1650&lt;'00_Arquitectura'!$B$119),F1650&lt;'00_Arquitectura'!$B$120),1,0)</x:f>
        <x:v>0</x:v>
      </x:c>
      <x:c r="I1650" s="10" t="n">
        <x:f>IF($I$1632=1,IF(OR(AND(F1650&lt;'00_Arquitectura'!$B$121,G1650&lt;'00_Arquitectura'!$B$122),F1650&lt;'00_Arquitectura'!$B$123),1,0),IF(AND(H1650=1,$H$1632=1),1,0))</x:f>
        <x:v>0</x:v>
      </x:c>
      <x:c r="J1650" s="10" t="n">
        <x:f>0</x:f>
        <x:v>0</x:v>
      </x:c>
      <x:c r="K1650" s="10" t="n">
        <x:f>$K$1637</x:f>
        <x:v>43.83082707824064</x:v>
      </x:c>
      <x:c r="L1650" s="10" t="str">
        <x:v>Conflicto activo encarece agenda del turno siguiente; sin castigo electoral adicional.</x:v>
      </x:c>
    </x:row>
    <x:row r="1651" ht="34" customHeight="1">
      <x:c r="A1651" s="5" t="str">
        <x:v>S5_SEGURIDAD</x:v>
      </x:c>
      <x:c r="B1651" s="5" t="n">
        <x:v>9</x:v>
      </x:c>
      <x:c r="C1651" s="5" t="str">
        <x:v>oficialismo</x:v>
      </x:c>
      <x:c r="D1651" s="5" t="n">
        <x:f>$F$1633</x:f>
        <x:v>43.8888596933338</x:v>
      </x:c>
      <x:c r="E1651" s="5" t="n">
        <x:f>(ABS('03_Sensibilidades'!$C$57)*IF('03_Sensibilidades'!$C$57&lt;0,100-$K$753,$K$753)+ABS('03_Sensibilidades'!$C$58)*IF('03_Sensibilidades'!$C$58&lt;0,100-$K$742,$K$742)+ABS('03_Sensibilidades'!$C$59)*IF('03_Sensibilidades'!$C$59&lt;0,100-$K$745,$K$745)+ABS('03_Sensibilidades'!$C$60)*IF('03_Sensibilidades'!$C$60&lt;0,100-$K$750,$K$750))/(ABS('03_Sensibilidades'!$C$57)+ABS('03_Sensibilidades'!$C$58)+ABS('03_Sensibilidades'!$C$59)+ABS('03_Sensibilidades'!$C$60))</x:f>
        <x:v>43.95837615659521</x:v>
      </x:c>
      <x:c r="F1651" s="5" t="n">
        <x:f>(1-'00_Arquitectura'!$B$95)*D1651+'00_Arquitectura'!$B$95*E1651</x:f>
        <x:v>43.91319045547529</x:v>
      </x:c>
      <x:c r="G1651" s="5" t="n">
        <x:f>'02_Actores'!$I$20</x:f>
        <x:v>60</x:v>
      </x:c>
      <x:c r="H1651" s="5" t="n">
        <x:f>IF(OR(AND(F1651&lt;'00_Arquitectura'!$B$118,G1651&lt;'00_Arquitectura'!$B$119),F1651&lt;'00_Arquitectura'!$B$120),1,0)</x:f>
        <x:v>0</x:v>
      </x:c>
      <x:c r="I1651" s="5" t="n">
        <x:f>IF($I$1633=1,IF(OR(AND(F1651&lt;'00_Arquitectura'!$B$121,G1651&lt;'00_Arquitectura'!$B$122),F1651&lt;'00_Arquitectura'!$B$123),1,0),IF(AND(H1651=1,$H$1633=1),1,0))</x:f>
        <x:v>0</x:v>
      </x:c>
      <x:c r="J1651" s="5" t="n">
        <x:f>0</x:f>
        <x:v>0</x:v>
      </x:c>
      <x:c r="K1651" s="5" t="n">
        <x:f>$K$1637</x:f>
        <x:v>43.83082707824064</x:v>
      </x:c>
      <x:c r="L1651" s="5" t="str">
        <x:v>No aporta E_social; S y R alimentan disposición a leyes según07.</x:v>
      </x:c>
    </x:row>
    <x:row r="1652" ht="34" customHeight="1">
      <x:c r="A1652" s="10" t="str">
        <x:v>S5_SEGURIDAD</x:v>
      </x:c>
      <x:c r="B1652" s="10" t="n">
        <x:v>9</x:v>
      </x:c>
      <x:c r="C1652" s="10" t="str">
        <x:v>aliados</x:v>
      </x:c>
      <x:c r="D1652" s="10" t="n">
        <x:f>$F$1634</x:f>
        <x:v>40.02775520238173</x:v>
      </x:c>
      <x:c r="E1652" s="10" t="n">
        <x:f>(ABS('03_Sensibilidades'!$C$61)*IF('03_Sensibilidades'!$C$61&lt;0,100-$K$753,$K$753)+ABS('03_Sensibilidades'!$C$62)*IF('03_Sensibilidades'!$C$62&lt;0,100-$K$745,$K$745)+ABS('03_Sensibilidades'!$C$63)*IF('03_Sensibilidades'!$C$63&lt;0,100-$K$747,$K$747))/(ABS('03_Sensibilidades'!$C$61)+ABS('03_Sensibilidades'!$C$62)+ABS('03_Sensibilidades'!$C$63))</x:f>
        <x:v>40.09474052865143</x:v>
      </x:c>
      <x:c r="F1652" s="10" t="n">
        <x:f>(1-'00_Arquitectura'!$B$95)*D1652+'00_Arquitectura'!$B$95*E1652</x:f>
        <x:v>40.05120006657612</x:v>
      </x:c>
      <x:c r="G1652" s="10" t="n">
        <x:f>'02_Actores'!$I$21</x:f>
        <x:v>45</x:v>
      </x:c>
      <x:c r="H1652" s="10" t="n">
        <x:f>IF(OR(AND(F1652&lt;'00_Arquitectura'!$B$118,G1652&lt;'00_Arquitectura'!$B$119),F1652&lt;'00_Arquitectura'!$B$120),1,0)</x:f>
        <x:v>0</x:v>
      </x:c>
      <x:c r="I1652" s="10" t="n">
        <x:f>IF($I$1634=1,IF(OR(AND(F1652&lt;'00_Arquitectura'!$B$121,G1652&lt;'00_Arquitectura'!$B$122),F1652&lt;'00_Arquitectura'!$B$123),1,0),IF(AND(H1652=1,$H$1634=1),1,0))</x:f>
        <x:v>0</x:v>
      </x:c>
      <x:c r="J1652" s="10" t="n">
        <x:f>0</x:f>
        <x:v>0</x:v>
      </x:c>
      <x:c r="K1652" s="10" t="n">
        <x:f>$K$1637</x:f>
        <x:v>43.83082707824064</x:v>
      </x:c>
      <x:c r="L1652" s="10" t="str">
        <x:v>No aporta E_social; S y R alimentan disposición a leyes según07.</x:v>
      </x:c>
    </x:row>
    <x:row r="1653" ht="34" customHeight="1">
      <x:c r="A1653" s="5" t="str">
        <x:v>S5_SEGURIDAD</x:v>
      </x:c>
      <x:c r="B1653" s="5" t="n">
        <x:v>9</x:v>
      </x:c>
      <x:c r="C1653" s="5" t="str">
        <x:v>oposicion</x:v>
      </x:c>
      <x:c r="D1653" s="5" t="n">
        <x:f>$F$1635</x:f>
        <x:v>36.78353336782994</x:v>
      </x:c>
      <x:c r="E1653" s="5" t="n">
        <x:f>(ABS('03_Sensibilidades'!$C$64)*IF('03_Sensibilidades'!$C$64&lt;0,100-$K$753,$K$753)+ABS('03_Sensibilidades'!$C$65)*IF('03_Sensibilidades'!$C$65&lt;0,100-$K$745,$K$745)+ABS('03_Sensibilidades'!$C$66)*IF('03_Sensibilidades'!$C$66&lt;0,100-$K$751,$K$751))/(ABS('03_Sensibilidades'!$C$64)+ABS('03_Sensibilidades'!$C$65)+ABS('03_Sensibilidades'!$C$66))</x:f>
        <x:v>36.499552190072</x:v>
      </x:c>
      <x:c r="F1653" s="5" t="n">
        <x:f>(1-'00_Arquitectura'!$B$95)*D1653+'00_Arquitectura'!$B$95*E1653</x:f>
        <x:v>36.68413995561466</x:v>
      </x:c>
      <x:c r="G1653" s="5" t="n">
        <x:f>'02_Actores'!$I$22</x:f>
        <x:v>30</x:v>
      </x:c>
      <x:c r="H1653" s="5" t="n">
        <x:f>IF(OR(AND(F1653&lt;'00_Arquitectura'!$B$118,G1653&lt;'00_Arquitectura'!$B$119),F1653&lt;'00_Arquitectura'!$B$120),1,0)</x:f>
        <x:v>0</x:v>
      </x:c>
      <x:c r="I1653" s="5" t="n">
        <x:f>IF($I$1635=1,IF(OR(AND(F1653&lt;'00_Arquitectura'!$B$121,G1653&lt;'00_Arquitectura'!$B$122),F1653&lt;'00_Arquitectura'!$B$123),1,0),IF(AND(H1653=1,$H$1635=1),1,0))</x:f>
        <x:v>0</x:v>
      </x:c>
      <x:c r="J1653" s="5" t="n">
        <x:f>0</x:f>
        <x:v>0</x:v>
      </x:c>
      <x:c r="K1653" s="5" t="n">
        <x:f>$K$1637</x:f>
        <x:v>43.83082707824064</x:v>
      </x:c>
      <x:c r="L1653" s="5" t="str">
        <x:v>No aporta E_social; S y R alimentan disposición a leyes según07.</x:v>
      </x:c>
    </x:row>
    <x:row r="1654" ht="42" customHeight="1">
      <x:c r="A1654" s="10" t="str">
        <x:v>S5_SEGURIDAD</x:v>
      </x:c>
      <x:c r="B1654" s="10" t="n">
        <x:v>9</x:v>
      </x:c>
      <x:c r="C1654" s="10" t="str">
        <x:v>gobernadores</x:v>
      </x:c>
      <x:c r="D1654" s="10" t="n">
        <x:f>$F$1636</x:f>
        <x:v>50.33493833048078</x:v>
      </x:c>
      <x:c r="E1654" s="10" t="n">
        <x:f>(ABS('03_Sensibilidades'!$C$67)*IF('03_Sensibilidades'!$C$67&lt;0,100-$K$747,$K$747)+ABS('03_Sensibilidades'!$C$68)*IF('03_Sensibilidades'!$C$68&lt;0,100-$K$749,$K$749)+ABS('03_Sensibilidades'!$C$69)*IF('03_Sensibilidades'!$C$69&lt;0,100-$K$748,$K$748)+ABS('03_Sensibilidades'!$C$70)*IF('03_Sensibilidades'!$C$70&lt;0,100-$K$745,$K$745))/(ABS('03_Sensibilidades'!$C$67)+ABS('03_Sensibilidades'!$C$68)+ABS('03_Sensibilidades'!$C$69)+ABS('03_Sensibilidades'!$C$70))</x:f>
        <x:v>50.516932544877236</x:v>
      </x:c>
      <x:c r="F1654" s="10" t="n">
        <x:f>(1-'00_Arquitectura'!$B$95)*D1654+'00_Arquitectura'!$B$95*E1654</x:f>
        <x:v>50.398636305519545</x:v>
      </x:c>
      <x:c r="G1654" s="10" t="n">
        <x:f>'02_Actores'!$I$23</x:f>
        <x:v>45</x:v>
      </x:c>
      <x:c r="H1654" s="10" t="n">
        <x:f>IF(OR(AND(F1654&lt;'00_Arquitectura'!$B$118,G1654&lt;'00_Arquitectura'!$B$119),F1654&lt;'00_Arquitectura'!$B$120),1,0)</x:f>
        <x:v>0</x:v>
      </x:c>
      <x:c r="I1654" s="10" t="n">
        <x:f>IF($I$1636=1,IF(OR(AND(F1654&lt;'00_Arquitectura'!$B$121,G1654&lt;'00_Arquitectura'!$B$122),F1654&lt;'00_Arquitectura'!$B$123),1,0),IF(AND(H1654=1,$H$1636=1),1,0))</x:f>
        <x:v>0</x:v>
      </x:c>
      <x:c r="J1654" s="10" t="n">
        <x:f>0</x:f>
        <x:v>0</x:v>
      </x:c>
      <x:c r="K1654" s="10" t="n">
        <x:f>$K$1637</x:f>
        <x:v>43.83082707824064</x:v>
      </x:c>
      <x:c r="L1654" s="10" t="str">
        <x:v>Conflicto activo captura menor eficacia en políticas ejecutadas en t+1. Magnitud0 en J: no es un offset directo de indicador.</x:v>
      </x:c>
    </x:row>
    <x:row r="1655" ht="34" customHeight="1">
      <x:c r="A1655" s="5" t="str">
        <x:v>S5_SEGURIDAD</x:v>
      </x:c>
      <x:c r="B1655" s="5" t="n">
        <x:v>10</x:v>
      </x:c>
      <x:c r="C1655" s="5" t="str">
        <x:v>industria</x:v>
      </x:c>
      <x:c r="D1655" s="5" t="n">
        <x:f>$F$1637</x:f>
        <x:v>46.485259445906735</x:v>
      </x:c>
      <x:c r="E1655" s="5" t="n">
        <x:f>(ABS('03_Sensibilidades'!$C$6)*IF('03_Sensibilidades'!$C$6&lt;0,100-$K$758,$K$758)+ABS('03_Sensibilidades'!$C$7)*IF('03_Sensibilidades'!$C$7&lt;0,100-$K$756,$K$756)+ABS('03_Sensibilidades'!$C$8)*IF('03_Sensibilidades'!$C$8&lt;0,100-$K$761,$K$761)+ABS('03_Sensibilidades'!$C$9)*IF('03_Sensibilidades'!$C$9&lt;0,100-$K$760,$K$760))/(ABS('03_Sensibilidades'!$C$6)+ABS('03_Sensibilidades'!$C$7)+ABS('03_Sensibilidades'!$C$8)+ABS('03_Sensibilidades'!$C$9))</x:f>
        <x:v>46.50930271629481</x:v>
      </x:c>
      <x:c r="F1655" s="5" t="n">
        <x:f>(1-'00_Arquitectura'!$B$95)*D1655+'00_Arquitectura'!$B$95*E1655</x:f>
        <x:v>46.49367459054256</x:v>
      </x:c>
      <x:c r="G1655" s="5" t="n">
        <x:f>'02_Actores'!$I$6</x:f>
        <x:v>45</x:v>
      </x:c>
      <x:c r="H1655" s="5" t="n">
        <x:f>IF(OR(AND(F1655&lt;'00_Arquitectura'!$B$118,G1655&lt;'00_Arquitectura'!$B$119),F1655&lt;'00_Arquitectura'!$B$120),1,0)</x:f>
        <x:v>0</x:v>
      </x:c>
      <x:c r="I1655" s="5" t="n">
        <x:f>IF($I$1637=1,IF(OR(AND(F1655&lt;'00_Arquitectura'!$B$121,G1655&lt;'00_Arquitectura'!$B$122),F1655&lt;'00_Arquitectura'!$B$123),1,0),IF(AND(H1655=1,$H$1637=1),1,0))</x:f>
        <x:v>0</x:v>
      </x:c>
      <x:c r="J1655" s="5" t="n">
        <x:f>-I1655*2*'02_Actores'!$E$6/10</x:f>
        <x:v>0</x:v>
      </x:c>
      <x:c r="K1655" s="5" t="n">
        <x:f>($F$1655*'02_Actores'!$F$6+$F$1656*'02_Actores'!$F$7+$F$1657*'02_Actores'!$F$8+$F$1658*'02_Actores'!$F$9+$F$1659*'02_Actores'!$F$10+$F$1660*'02_Actores'!$F$11+$F$1661*'02_Actores'!$F$12+$F$1662*'02_Actores'!$F$13+$F$1663*'02_Actores'!$F$14+$F$1664*'02_Actores'!$F$15+$F$1665*'02_Actores'!$F$16+$F$1666*'02_Actores'!$F$17+$F$1667*'02_Actores'!$F$18+$F$1668*'02_Actores'!$F$19)/('02_Actores'!$F$6+'02_Actores'!$F$7+'02_Actores'!$F$8+'02_Actores'!$F$9+'02_Actores'!$F$10+'02_Actores'!$F$11+'02_Actores'!$F$12+'02_Actores'!$F$13+'02_Actores'!$F$14+'02_Actores'!$F$15+'02_Actores'!$F$16+'02_Actores'!$F$17+'02_Actores'!$F$18+'02_Actores'!$F$19)</x:f>
        <x:v>43.804943719853114</x:v>
      </x:c>
      <x:c r="L1655" s="5" t="str">
        <x:v>J programa offset para t+1; efecto sustituible y acotado, sin voto adicional.</x:v>
      </x:c>
    </x:row>
    <x:row r="1656" ht="34" customHeight="1">
      <x:c r="A1656" s="10" t="str">
        <x:v>S5_SEGURIDAD</x:v>
      </x:c>
      <x:c r="B1656" s="10" t="n">
        <x:v>10</x:v>
      </x:c>
      <x:c r="C1656" s="10" t="str">
        <x:v>agro</x:v>
      </x:c>
      <x:c r="D1656" s="10" t="n">
        <x:f>$F$1638</x:f>
        <x:v>45.896176368497365</x:v>
      </x:c>
      <x:c r="E1656" s="10" t="n">
        <x:f>(ABS('03_Sensibilidades'!$C$10)*IF('03_Sensibilidades'!$C$10&lt;0,100-$K$760,$K$760)+ABS('03_Sensibilidades'!$C$11)*IF('03_Sensibilidades'!$C$11&lt;0,100-$K$761,$K$761)+ABS('03_Sensibilidades'!$C$12)*IF('03_Sensibilidades'!$C$12&lt;0,100-$K$768,$K$768)+ABS('03_Sensibilidades'!$C$13)*IF('03_Sensibilidades'!$C$13&lt;0,100-$K$758,$K$758))/(ABS('03_Sensibilidades'!$C$10)+ABS('03_Sensibilidades'!$C$11)+ABS('03_Sensibilidades'!$C$12)+ABS('03_Sensibilidades'!$C$13))</x:f>
        <x:v>45.90931243652242</x:v>
      </x:c>
      <x:c r="F1656" s="10" t="n">
        <x:f>(1-'00_Arquitectura'!$B$95)*D1656+'00_Arquitectura'!$B$95*E1656</x:f>
        <x:v>45.900773992306135</x:v>
      </x:c>
      <x:c r="G1656" s="10" t="n">
        <x:f>'02_Actores'!$I$7</x:f>
        <x:v>45</x:v>
      </x:c>
      <x:c r="H1656" s="10" t="n">
        <x:f>IF(OR(AND(F1656&lt;'00_Arquitectura'!$B$118,G1656&lt;'00_Arquitectura'!$B$119),F1656&lt;'00_Arquitectura'!$B$120),1,0)</x:f>
        <x:v>0</x:v>
      </x:c>
      <x:c r="I1656" s="10" t="n">
        <x:f>IF($I$1638=1,IF(OR(AND(F1656&lt;'00_Arquitectura'!$B$121,G1656&lt;'00_Arquitectura'!$B$122),F1656&lt;'00_Arquitectura'!$B$123),1,0),IF(AND(H1656=1,$H$1638=1),1,0))</x:f>
        <x:v>0</x:v>
      </x:c>
      <x:c r="J1656" s="10" t="n">
        <x:f>-I1656*2*'02_Actores'!$E$7/10</x:f>
        <x:v>0</x:v>
      </x:c>
      <x:c r="K1656" s="10" t="n">
        <x:f>$K$1655</x:f>
        <x:v>43.804943719853114</x:v>
      </x:c>
      <x:c r="L1656" s="10" t="str">
        <x:v>J programa offset para t+1; efecto sustituible y acotado, sin voto adicional.</x:v>
      </x:c>
    </x:row>
    <x:row r="1657" ht="34" customHeight="1">
      <x:c r="A1657" s="5" t="str">
        <x:v>S5_SEGURIDAD</x:v>
      </x:c>
      <x:c r="B1657" s="5" t="n">
        <x:v>10</x:v>
      </x:c>
      <x:c r="C1657" s="5" t="str">
        <x:v>financiero</x:v>
      </x:c>
      <x:c r="D1657" s="5" t="n">
        <x:f>$F$1639</x:f>
        <x:v>50.58419097503051</x:v>
      </x:c>
      <x:c r="E1657" s="5" t="n">
        <x:f>(ABS('03_Sensibilidades'!$C$14)*IF('03_Sensibilidades'!$C$14&lt;0,100-$K$759,$K$759)+ABS('03_Sensibilidades'!$C$15)*IF('03_Sensibilidades'!$C$15&lt;0,100-$K$755,$K$755)+ABS('03_Sensibilidades'!$C$16)*IF('03_Sensibilidades'!$C$16&lt;0,100-$K$758,$K$758)+ABS('03_Sensibilidades'!$C$17)*IF('03_Sensibilidades'!$C$17&lt;0,100-$K$767,$K$767))/(ABS('03_Sensibilidades'!$C$14)+ABS('03_Sensibilidades'!$C$15)+ABS('03_Sensibilidades'!$C$16)+ABS('03_Sensibilidades'!$C$17))</x:f>
        <x:v>50.746108191035816</x:v>
      </x:c>
      <x:c r="F1657" s="5" t="n">
        <x:f>(1-'00_Arquitectura'!$B$95)*D1657+'00_Arquitectura'!$B$95*E1657</x:f>
        <x:v>50.64086200063237</x:v>
      </x:c>
      <x:c r="G1657" s="5" t="n">
        <x:f>'02_Actores'!$I$8</x:f>
        <x:v>45</x:v>
      </x:c>
      <x:c r="H1657" s="5" t="n">
        <x:f>IF(OR(AND(F1657&lt;'00_Arquitectura'!$B$118,G1657&lt;'00_Arquitectura'!$B$119),F1657&lt;'00_Arquitectura'!$B$120),1,0)</x:f>
        <x:v>0</x:v>
      </x:c>
      <x:c r="I1657" s="5" t="n">
        <x:f>IF($I$1639=1,IF(OR(AND(F1657&lt;'00_Arquitectura'!$B$121,G1657&lt;'00_Arquitectura'!$B$122),F1657&lt;'00_Arquitectura'!$B$123),1,0),IF(AND(H1657=1,$H$1639=1),1,0))</x:f>
        <x:v>0</x:v>
      </x:c>
      <x:c r="J1657" s="5" t="n">
        <x:f>-I1657*2*'02_Actores'!$E$8/10</x:f>
        <x:v>0</x:v>
      </x:c>
      <x:c r="K1657" s="5" t="n">
        <x:f>$K$1655</x:f>
        <x:v>43.804943719853114</x:v>
      </x:c>
      <x:c r="L1657" s="5" t="str">
        <x:v>J programa offset para t+1; efecto sustituible y acotado, sin voto adicional.</x:v>
      </x:c>
    </x:row>
    <x:row r="1658" ht="34" customHeight="1">
      <x:c r="A1658" s="10" t="str">
        <x:v>S5_SEGURIDAD</x:v>
      </x:c>
      <x:c r="B1658" s="10" t="n">
        <x:v>10</x:v>
      </x:c>
      <x:c r="C1658" s="10" t="str">
        <x:v>sindicatos</x:v>
      </x:c>
      <x:c r="D1658" s="10" t="n">
        <x:f>$F$1640</x:f>
        <x:v>43.016592904429785</x:v>
      </x:c>
      <x:c r="E1658" s="10" t="n">
        <x:f>(ABS('03_Sensibilidades'!$C$18)*IF('03_Sensibilidades'!$C$18&lt;0,100-$K$757,$K$757)+ABS('03_Sensibilidades'!$C$19)*IF('03_Sensibilidades'!$C$19&lt;0,100-$K$756,$K$756)+ABS('03_Sensibilidades'!$C$20)*IF('03_Sensibilidades'!$C$20&lt;0,100-$K$764,$K$764)+ABS('03_Sensibilidades'!$C$21)*IF('03_Sensibilidades'!$C$21&lt;0,100-$K$767,$K$767))/(ABS('03_Sensibilidades'!$C$18)+ABS('03_Sensibilidades'!$C$19)+ABS('03_Sensibilidades'!$C$20)+ABS('03_Sensibilidades'!$C$21))</x:f>
        <x:v>42.965854852689496</x:v>
      </x:c>
      <x:c r="F1658" s="10" t="n">
        <x:f>(1-'00_Arquitectura'!$B$95)*D1658+'00_Arquitectura'!$B$95*E1658</x:f>
        <x:v>42.99883458632068</x:v>
      </x:c>
      <x:c r="G1658" s="10" t="n">
        <x:f>'02_Actores'!$I$9</x:f>
        <x:v>45</x:v>
      </x:c>
      <x:c r="H1658" s="10" t="n">
        <x:f>IF(OR(AND(F1658&lt;'00_Arquitectura'!$B$118,G1658&lt;'00_Arquitectura'!$B$119),F1658&lt;'00_Arquitectura'!$B$120),1,0)</x:f>
        <x:v>0</x:v>
      </x:c>
      <x:c r="I1658" s="10" t="n">
        <x:f>IF($I$1640=1,IF(OR(AND(F1658&lt;'00_Arquitectura'!$B$121,G1658&lt;'00_Arquitectura'!$B$122),F1658&lt;'00_Arquitectura'!$B$123),1,0),IF(AND(H1658=1,$H$1640=1),1,0))</x:f>
        <x:v>0</x:v>
      </x:c>
      <x:c r="J1658" s="10" t="n">
        <x:f>-I1658*2*'02_Actores'!$E$9/10</x:f>
        <x:v>0</x:v>
      </x:c>
      <x:c r="K1658" s="10" t="n">
        <x:f>$K$1655</x:f>
        <x:v>43.804943719853114</x:v>
      </x:c>
      <x:c r="L1658" s="10" t="str">
        <x:v>J programa offset para t+1; efecto sustituible y acotado, sin voto adicional.</x:v>
      </x:c>
    </x:row>
    <x:row r="1659" ht="34" customHeight="1">
      <x:c r="A1659" s="5" t="str">
        <x:v>S5_SEGURIDAD</x:v>
      </x:c>
      <x:c r="B1659" s="5" t="n">
        <x:v>10</x:v>
      </x:c>
      <x:c r="C1659" s="5" t="str">
        <x:v>pymes</x:v>
      </x:c>
      <x:c r="D1659" s="5" t="n">
        <x:f>$F$1641</x:f>
        <x:v>49.14252908044835</x:v>
      </x:c>
      <x:c r="E1659" s="5" t="n">
        <x:f>(ABS('03_Sensibilidades'!$C$22)*IF('03_Sensibilidades'!$C$22&lt;0,100-$K$758,$K$758)+ABS('03_Sensibilidades'!$C$23)*IF('03_Sensibilidades'!$C$23&lt;0,100-$K$756,$K$756)+ABS('03_Sensibilidades'!$C$24)*IF('03_Sensibilidades'!$C$24&lt;0,100-$K$761,$K$761)+ABS('03_Sensibilidades'!$C$25)*IF('03_Sensibilidades'!$C$25&lt;0,100-$K$755,$K$755))/(ABS('03_Sensibilidades'!$C$22)+ABS('03_Sensibilidades'!$C$23)+ABS('03_Sensibilidades'!$C$24)+ABS('03_Sensibilidades'!$C$25))</x:f>
        <x:v>49.17024895351657</x:v>
      </x:c>
      <x:c r="F1659" s="5" t="n">
        <x:f>(1-'00_Arquitectura'!$B$95)*D1659+'00_Arquitectura'!$B$95*E1659</x:f>
        <x:v>49.15223103602223</x:v>
      </x:c>
      <x:c r="G1659" s="5" t="n">
        <x:f>'02_Actores'!$I$10</x:f>
        <x:v>45</x:v>
      </x:c>
      <x:c r="H1659" s="5" t="n">
        <x:f>IF(OR(AND(F1659&lt;'00_Arquitectura'!$B$118,G1659&lt;'00_Arquitectura'!$B$119),F1659&lt;'00_Arquitectura'!$B$120),1,0)</x:f>
        <x:v>0</x:v>
      </x:c>
      <x:c r="I1659" s="5" t="n">
        <x:f>IF($I$1641=1,IF(OR(AND(F1659&lt;'00_Arquitectura'!$B$121,G1659&lt;'00_Arquitectura'!$B$122),F1659&lt;'00_Arquitectura'!$B$123),1,0),IF(AND(H1659=1,$H$1641=1),1,0))</x:f>
        <x:v>0</x:v>
      </x:c>
      <x:c r="J1659" s="5" t="n">
        <x:f>-I1659*2*'02_Actores'!$E$10/10</x:f>
        <x:v>0</x:v>
      </x:c>
      <x:c r="K1659" s="5" t="n">
        <x:f>$K$1655</x:f>
        <x:v>43.804943719853114</x:v>
      </x:c>
      <x:c r="L1659" s="5" t="str">
        <x:v>J programa offset para t+1; efecto sustituible y acotado, sin voto adicional.</x:v>
      </x:c>
    </x:row>
    <x:row r="1660" ht="34" customHeight="1">
      <x:c r="A1660" s="10" t="str">
        <x:v>S5_SEGURIDAD</x:v>
      </x:c>
      <x:c r="B1660" s="10" t="n">
        <x:v>10</x:v>
      </x:c>
      <x:c r="C1660" s="10" t="str">
        <x:v>clase_media</x:v>
      </x:c>
      <x:c r="D1660" s="10" t="n">
        <x:f>$F$1642</x:f>
        <x:v>48.54440060322176</x:v>
      </x:c>
      <x:c r="E1660" s="10" t="n">
        <x:f>(ABS('03_Sensibilidades'!$C$26)*IF('03_Sensibilidades'!$C$26&lt;0,100-$K$757,$K$757)+ABS('03_Sensibilidades'!$C$27)*IF('03_Sensibilidades'!$C$27&lt;0,100-$K$765,$K$765)+ABS('03_Sensibilidades'!$C$28)*IF('03_Sensibilidades'!$C$28&lt;0,100-$K$762,$K$762)+ABS('03_Sensibilidades'!$C$29)*IF('03_Sensibilidades'!$C$29&lt;0,100-$K$755,$K$755))/(ABS('03_Sensibilidades'!$C$26)+ABS('03_Sensibilidades'!$C$27)+ABS('03_Sensibilidades'!$C$28)+ABS('03_Sensibilidades'!$C$29))</x:f>
        <x:v>48.333113611898895</x:v>
      </x:c>
      <x:c r="F1660" s="10" t="n">
        <x:f>(1-'00_Arquitectura'!$B$95)*D1660+'00_Arquitectura'!$B$95*E1660</x:f>
        <x:v>48.47045015625876</x:v>
      </x:c>
      <x:c r="G1660" s="10" t="n">
        <x:f>'02_Actores'!$I$11</x:f>
        <x:v>45</x:v>
      </x:c>
      <x:c r="H1660" s="10" t="n">
        <x:f>IF(OR(AND(F1660&lt;'00_Arquitectura'!$B$118,G1660&lt;'00_Arquitectura'!$B$119),F1660&lt;'00_Arquitectura'!$B$120),1,0)</x:f>
        <x:v>0</x:v>
      </x:c>
      <x:c r="I1660" s="10" t="n">
        <x:f>IF($I$1642=1,IF(OR(AND(F1660&lt;'00_Arquitectura'!$B$121,G1660&lt;'00_Arquitectura'!$B$122),F1660&lt;'00_Arquitectura'!$B$123),1,0),IF(AND(H1660=1,$H$1642=1),1,0))</x:f>
        <x:v>0</x:v>
      </x:c>
      <x:c r="J1660" s="10" t="n">
        <x:f>0</x:f>
        <x:v>0</x:v>
      </x:c>
      <x:c r="K1660" s="10" t="n">
        <x:f>$K$1655</x:f>
        <x:v>43.804943719853114</x:v>
      </x:c>
      <x:c r="L1660" s="10" t="str">
        <x:v>Canal directo sólo al índice social; sin bono de popularidad.</x:v>
      </x:c>
    </x:row>
    <x:row r="1661" ht="34" customHeight="1">
      <x:c r="A1661" s="5" t="str">
        <x:v>S5_SEGURIDAD</x:v>
      </x:c>
      <x:c r="B1661" s="5" t="n">
        <x:v>10</x:v>
      </x:c>
      <x:c r="C1661" s="5" t="str">
        <x:v>cooperativas</x:v>
      </x:c>
      <x:c r="D1661" s="5" t="n">
        <x:f>$F$1643</x:f>
        <x:v>42.50493546692186</x:v>
      </x:c>
      <x:c r="E1661" s="5" t="n">
        <x:f>(ABS('03_Sensibilidades'!$C$30)*IF('03_Sensibilidades'!$C$30&lt;0,100-$K$758,$K$758)+ABS('03_Sensibilidades'!$C$31)*IF('03_Sensibilidades'!$C$31&lt;0,100-$K$756,$K$756)+ABS('03_Sensibilidades'!$C$32)*IF('03_Sensibilidades'!$C$32&lt;0,100-$K$764,$K$764)+ABS('03_Sensibilidades'!$C$33)*IF('03_Sensibilidades'!$C$33&lt;0,100-$K$767,$K$767))/(ABS('03_Sensibilidades'!$C$30)+ABS('03_Sensibilidades'!$C$31)+ABS('03_Sensibilidades'!$C$32)+ABS('03_Sensibilidades'!$C$33))</x:f>
        <x:v>42.468788024906104</x:v>
      </x:c>
      <x:c r="F1661" s="5" t="n">
        <x:f>(1-'00_Arquitectura'!$B$95)*D1661+'00_Arquitectura'!$B$95*E1661</x:f>
        <x:v>42.49228386221634</x:v>
      </x:c>
      <x:c r="G1661" s="5" t="n">
        <x:f>'02_Actores'!$I$12</x:f>
        <x:v>45</x:v>
      </x:c>
      <x:c r="H1661" s="5" t="n">
        <x:f>IF(OR(AND(F1661&lt;'00_Arquitectura'!$B$118,G1661&lt;'00_Arquitectura'!$B$119),F1661&lt;'00_Arquitectura'!$B$120),1,0)</x:f>
        <x:v>0</x:v>
      </x:c>
      <x:c r="I1661" s="5" t="n">
        <x:f>IF($I$1643=1,IF(OR(AND(F1661&lt;'00_Arquitectura'!$B$121,G1661&lt;'00_Arquitectura'!$B$122),F1661&lt;'00_Arquitectura'!$B$123),1,0),IF(AND(H1661=1,$H$1643=1),1,0))</x:f>
        <x:v>0</x:v>
      </x:c>
      <x:c r="J1661" s="5" t="n">
        <x:f>-I1661*1.5*'02_Actores'!$E$12/10</x:f>
        <x:v>0</x:v>
      </x:c>
      <x:c r="K1661" s="5" t="n">
        <x:f>$K$1655</x:f>
        <x:v>43.804943719853114</x:v>
      </x:c>
      <x:c r="L1661" s="5" t="str">
        <x:v>J programa offset para t+1; efecto sustituible y acotado, sin voto adicional.</x:v>
      </x:c>
    </x:row>
    <x:row r="1662" ht="42" customHeight="1">
      <x:c r="A1662" s="10" t="str">
        <x:v>S5_SEGURIDAD</x:v>
      </x:c>
      <x:c r="B1662" s="10" t="n">
        <x:v>10</x:v>
      </x:c>
      <x:c r="C1662" s="10" t="str">
        <x:v>estudiantes</x:v>
      </x:c>
      <x:c r="D1662" s="10" t="n">
        <x:f>$F$1644</x:f>
        <x:v>39.22787471049347</x:v>
      </x:c>
      <x:c r="E1662" s="10" t="n">
        <x:f>(ABS('03_Sensibilidades'!$C$34)*IF('03_Sensibilidades'!$C$34&lt;0,100-$K$762,$K$762)+ABS('03_Sensibilidades'!$C$35)*IF('03_Sensibilidades'!$C$35&lt;0,100-$K$757,$K$757)+ABS('03_Sensibilidades'!$C$36)*IF('03_Sensibilidades'!$C$36&lt;0,100-$K$767,$K$767)+ABS('03_Sensibilidades'!$C$37)*IF('03_Sensibilidades'!$C$37&lt;0,100-$K$766,$K$766))/(ABS('03_Sensibilidades'!$C$34)+ABS('03_Sensibilidades'!$C$35)+ABS('03_Sensibilidades'!$C$36)+ABS('03_Sensibilidades'!$C$37))</x:f>
        <x:v>39.1198813504254</x:v>
      </x:c>
      <x:c r="F1662" s="10" t="n">
        <x:f>(1-'00_Arquitectura'!$B$95)*D1662+'00_Arquitectura'!$B$95*E1662</x:f>
        <x:v>39.190077034469645</x:v>
      </x:c>
      <x:c r="G1662" s="10" t="n">
        <x:f>'02_Actores'!$I$13</x:f>
        <x:v>45</x:v>
      </x:c>
      <x:c r="H1662" s="10" t="n">
        <x:f>IF(OR(AND(F1662&lt;'00_Arquitectura'!$B$118,G1662&lt;'00_Arquitectura'!$B$119),F1662&lt;'00_Arquitectura'!$B$120),1,0)</x:f>
        <x:v>0</x:v>
      </x:c>
      <x:c r="I1662" s="10" t="n">
        <x:f>IF($I$1644=1,IF(OR(AND(F1662&lt;'00_Arquitectura'!$B$121,G1662&lt;'00_Arquitectura'!$B$122),F1662&lt;'00_Arquitectura'!$B$123),1,0),IF(AND(H1662=1,$H$1644=1),1,0))</x:f>
        <x:v>0</x:v>
      </x:c>
      <x:c r="J1662" s="10" t="n">
        <x:f>0</x:f>
        <x:v>0</x:v>
      </x:c>
      <x:c r="K1662" s="10" t="n">
        <x:f>$K$1655</x:f>
        <x:v>43.804943719853114</x:v>
      </x:c>
      <x:c r="L1662" s="10" t="str">
        <x:v>Conflicto activo captura menor eficacia en políticas ejecutadas en t+1. Magnitud0 en J: no es un offset directo de indicador.</x:v>
      </x:c>
    </x:row>
    <x:row r="1663" ht="34" customHeight="1">
      <x:c r="A1663" s="5" t="str">
        <x:v>S5_SEGURIDAD</x:v>
      </x:c>
      <x:c r="B1663" s="5" t="n">
        <x:v>10</x:v>
      </x:c>
      <x:c r="C1663" s="5" t="str">
        <x:v>docentes</x:v>
      </x:c>
      <x:c r="D1663" s="5" t="n">
        <x:f>$F$1645</x:f>
        <x:v>42.7189023955616</x:v>
      </x:c>
      <x:c r="E1663" s="5" t="n">
        <x:f>(ABS('03_Sensibilidades'!$C$38)*IF('03_Sensibilidades'!$C$38&lt;0,100-$K$762,$K$762)+ABS('03_Sensibilidades'!$C$39)*IF('03_Sensibilidades'!$C$39&lt;0,100-$K$757,$K$757)+ABS('03_Sensibilidades'!$C$40)*IF('03_Sensibilidades'!$C$40&lt;0,100-$K$767,$K$767))/(ABS('03_Sensibilidades'!$C$38)+ABS('03_Sensibilidades'!$C$39)+ABS('03_Sensibilidades'!$C$40))</x:f>
        <x:v>42.65194177257143</x:v>
      </x:c>
      <x:c r="F1663" s="5" t="n">
        <x:f>(1-'00_Arquitectura'!$B$95)*D1663+'00_Arquitectura'!$B$95*E1663</x:f>
        <x:v>42.69546617751504</x:v>
      </x:c>
      <x:c r="G1663" s="5" t="n">
        <x:f>'02_Actores'!$I$14</x:f>
        <x:v>45</x:v>
      </x:c>
      <x:c r="H1663" s="5" t="n">
        <x:f>IF(OR(AND(F1663&lt;'00_Arquitectura'!$B$118,G1663&lt;'00_Arquitectura'!$B$119),F1663&lt;'00_Arquitectura'!$B$120),1,0)</x:f>
        <x:v>0</x:v>
      </x:c>
      <x:c r="I1663" s="5" t="n">
        <x:f>IF($I$1645=1,IF(OR(AND(F1663&lt;'00_Arquitectura'!$B$121,G1663&lt;'00_Arquitectura'!$B$122),F1663&lt;'00_Arquitectura'!$B$123),1,0),IF(AND(H1663=1,$H$1645=1),1,0))</x:f>
        <x:v>0</x:v>
      </x:c>
      <x:c r="J1663" s="5" t="n">
        <x:f>-I1663*1.5*'02_Actores'!$E$14/10</x:f>
        <x:v>0</x:v>
      </x:c>
      <x:c r="K1663" s="5" t="n">
        <x:f>$K$1655</x:f>
        <x:v>43.804943719853114</x:v>
      </x:c>
      <x:c r="L1663" s="5" t="str">
        <x:v>J programa offset para t+1; efecto sustituible y acotado, sin voto adicional.</x:v>
      </x:c>
    </x:row>
    <x:row r="1664" ht="34" customHeight="1">
      <x:c r="A1664" s="10" t="str">
        <x:v>S5_SEGURIDAD</x:v>
      </x:c>
      <x:c r="B1664" s="10" t="n">
        <x:v>10</x:v>
      </x:c>
      <x:c r="C1664" s="10" t="str">
        <x:v>cientificos</x:v>
      </x:c>
      <x:c r="D1664" s="10" t="n">
        <x:f>$F$1646</x:f>
        <x:v>38.49681836348544</x:v>
      </x:c>
      <x:c r="E1664" s="10" t="n">
        <x:f>(ABS('03_Sensibilidades'!$C$41)*IF('03_Sensibilidades'!$C$41&lt;0,100-$K$766,$K$766)+ABS('03_Sensibilidades'!$C$42)*IF('03_Sensibilidades'!$C$42&lt;0,100-$K$762,$K$762)+ABS('03_Sensibilidades'!$C$43)*IF('03_Sensibilidades'!$C$43&lt;0,100-$K$767,$K$767))/(ABS('03_Sensibilidades'!$C$41)+ABS('03_Sensibilidades'!$C$42)+ABS('03_Sensibilidades'!$C$43))</x:f>
        <x:v>38.40909090909091</x:v>
      </x:c>
      <x:c r="F1664" s="10" t="n">
        <x:f>(1-'00_Arquitectura'!$B$95)*D1664+'00_Arquitectura'!$B$95*E1664</x:f>
        <x:v>38.46611375444735</x:v>
      </x:c>
      <x:c r="G1664" s="10" t="n">
        <x:f>'02_Actores'!$I$15</x:f>
        <x:v>45</x:v>
      </x:c>
      <x:c r="H1664" s="10" t="n">
        <x:f>IF(OR(AND(F1664&lt;'00_Arquitectura'!$B$118,G1664&lt;'00_Arquitectura'!$B$119),F1664&lt;'00_Arquitectura'!$B$120),1,0)</x:f>
        <x:v>0</x:v>
      </x:c>
      <x:c r="I1664" s="10" t="n">
        <x:f>IF($I$1646=1,IF(OR(AND(F1664&lt;'00_Arquitectura'!$B$121,G1664&lt;'00_Arquitectura'!$B$122),F1664&lt;'00_Arquitectura'!$B$123),1,0),IF(AND(H1664=1,$H$1646=1),1,0))</x:f>
        <x:v>0</x:v>
      </x:c>
      <x:c r="J1664" s="10" t="n">
        <x:f>-I1664*1.5*'02_Actores'!$E$15/10</x:f>
        <x:v>0</x:v>
      </x:c>
      <x:c r="K1664" s="10" t="n">
        <x:f>$K$1655</x:f>
        <x:v>43.804943719853114</x:v>
      </x:c>
      <x:c r="L1664" s="10" t="str">
        <x:v>J programa offset para t+1; efecto sustituible y acotado, sin voto adicional.</x:v>
      </x:c>
    </x:row>
    <x:row r="1665" ht="34" customHeight="1">
      <x:c r="A1665" s="5" t="str">
        <x:v>S5_SEGURIDAD</x:v>
      </x:c>
      <x:c r="B1665" s="5" t="n">
        <x:v>10</x:v>
      </x:c>
      <x:c r="C1665" s="5" t="str">
        <x:v>organizaciones</x:v>
      </x:c>
      <x:c r="D1665" s="5" t="n">
        <x:f>$F$1647</x:f>
        <x:v>42.74624934981355</x:v>
      </x:c>
      <x:c r="E1665" s="5" t="n">
        <x:f>(ABS('03_Sensibilidades'!$C$44)*IF('03_Sensibilidades'!$C$44&lt;0,100-$K$764,$K$764)+ABS('03_Sensibilidades'!$C$45)*IF('03_Sensibilidades'!$C$45&lt;0,100-$K$763,$K$763)+ABS('03_Sensibilidades'!$C$46)*IF('03_Sensibilidades'!$C$46&lt;0,100-$K$756,$K$756)+ABS('03_Sensibilidades'!$C$47)*IF('03_Sensibilidades'!$C$47&lt;0,100-$K$767,$K$767))/(ABS('03_Sensibilidades'!$C$44)+ABS('03_Sensibilidades'!$C$45)+ABS('03_Sensibilidades'!$C$46)+ABS('03_Sensibilidades'!$C$47))</x:f>
        <x:v>42.67894579063631</x:v>
      </x:c>
      <x:c r="F1665" s="5" t="n">
        <x:f>(1-'00_Arquitectura'!$B$95)*D1665+'00_Arquitectura'!$B$95*E1665</x:f>
        <x:v>42.72269310410152</x:v>
      </x:c>
      <x:c r="G1665" s="5" t="n">
        <x:f>'02_Actores'!$I$16</x:f>
        <x:v>45</x:v>
      </x:c>
      <x:c r="H1665" s="5" t="n">
        <x:f>IF(OR(AND(F1665&lt;'00_Arquitectura'!$B$118,G1665&lt;'00_Arquitectura'!$B$119),F1665&lt;'00_Arquitectura'!$B$120),1,0)</x:f>
        <x:v>0</x:v>
      </x:c>
      <x:c r="I1665" s="5" t="n">
        <x:f>IF($I$1647=1,IF(OR(AND(F1665&lt;'00_Arquitectura'!$B$121,G1665&lt;'00_Arquitectura'!$B$122),F1665&lt;'00_Arquitectura'!$B$123),1,0),IF(AND(H1665=1,$H$1647=1),1,0))</x:f>
        <x:v>0</x:v>
      </x:c>
      <x:c r="J1665" s="5" t="n">
        <x:f>-I1665*1.5*'02_Actores'!$E$16/10</x:f>
        <x:v>0</x:v>
      </x:c>
      <x:c r="K1665" s="5" t="n">
        <x:f>$K$1655</x:f>
        <x:v>43.804943719853114</x:v>
      </x:c>
      <x:c r="L1665" s="5" t="str">
        <x:v>J programa offset para t+1; efecto sustituible y acotado, sin voto adicional.</x:v>
      </x:c>
    </x:row>
    <x:row r="1666" ht="42" customHeight="1">
      <x:c r="A1666" s="10" t="str">
        <x:v>S5_SEGURIDAD</x:v>
      </x:c>
      <x:c r="B1666" s="10" t="n">
        <x:v>10</x:v>
      </x:c>
      <x:c r="C1666" s="10" t="str">
        <x:v>ddhh</x:v>
      </x:c>
      <x:c r="D1666" s="10" t="n">
        <x:f>$F$1648</x:f>
        <x:v>30.0768683345594</x:v>
      </x:c>
      <x:c r="E1666" s="10" t="n">
        <x:f>(ABS('03_Sensibilidades'!$C$48)*IF('03_Sensibilidades'!$C$48&lt;0,100-$K$767,$K$767)+ABS('03_Sensibilidades'!$C$49)*IF('03_Sensibilidades'!$C$49&lt;0,100-$K$765,$K$765)+ABS('03_Sensibilidades'!$C$50)*IF('03_Sensibilidades'!$C$50&lt;0,100-$K$764,$K$764))/(ABS('03_Sensibilidades'!$C$48)+ABS('03_Sensibilidades'!$C$49)+ABS('03_Sensibilidades'!$C$50))</x:f>
        <x:v>29.705882352941178</x:v>
      </x:c>
      <x:c r="F1666" s="10" t="n">
        <x:f>(1-'00_Arquitectura'!$B$95)*D1666+'00_Arquitectura'!$B$95*E1666</x:f>
        <x:v>29.94702324099302</x:v>
      </x:c>
      <x:c r="G1666" s="10" t="n">
        <x:f>30</x:f>
        <x:v>30</x:v>
      </x:c>
      <x:c r="H1666" s="10" t="n">
        <x:f>IF(OR(AND(F1666&lt;'00_Arquitectura'!$B$118,G1666&lt;'00_Arquitectura'!$B$119),F1666&lt;'00_Arquitectura'!$B$120),1,0)</x:f>
        <x:v>1</x:v>
      </x:c>
      <x:c r="I1666" s="10" t="n">
        <x:f>IF($I$1648=1,IF(OR(AND(F1666&lt;'00_Arquitectura'!$B$121,G1666&lt;'00_Arquitectura'!$B$122),F1666&lt;'00_Arquitectura'!$B$123),1,0),IF(AND(H1666=1,$H$1648=1),1,0))</x:f>
        <x:v>1</x:v>
      </x:c>
      <x:c r="J1666" s="10" t="n">
        <x:f>0</x:f>
        <x:v>0</x:v>
      </x:c>
      <x:c r="K1666" s="10" t="n">
        <x:f>$K$1655</x:f>
        <x:v>43.804943719853114</x:v>
      </x:c>
      <x:c r="L1666" s="10" t="str">
        <x:v>Conflicto activo captura menor eficacia en políticas ejecutadas en t+1. Magnitud0 en J: no es un offset directo de indicador.</x:v>
      </x:c>
    </x:row>
    <x:row r="1667" ht="42" customHeight="1">
      <x:c r="A1667" s="5" t="str">
        <x:v>S5_SEGURIDAD</x:v>
      </x:c>
      <x:c r="B1667" s="5" t="n">
        <x:v>10</x:v>
      </x:c>
      <x:c r="C1667" s="5" t="str">
        <x:v>ambientalistas</x:v>
      </x:c>
      <x:c r="D1667" s="5" t="n">
        <x:f>$F$1649</x:f>
        <x:v>41.49611133314886</x:v>
      </x:c>
      <x:c r="E1667" s="5" t="n">
        <x:f>(ABS('03_Sensibilidades'!$C$51)*IF('03_Sensibilidades'!$C$51&lt;0,100-$K$768,$K$768)+ABS('03_Sensibilidades'!$C$52)*IF('03_Sensibilidades'!$C$52&lt;0,100-$K$767,$K$767)+ABS('03_Sensibilidades'!$C$53)*IF('03_Sensibilidades'!$C$53&lt;0,100-$K$763,$K$763))/(ABS('03_Sensibilidades'!$C$51)+ABS('03_Sensibilidades'!$C$52)+ABS('03_Sensibilidades'!$C$53))</x:f>
        <x:v>41.388888888888886</x:v>
      </x:c>
      <x:c r="F1667" s="5" t="n">
        <x:f>(1-'00_Arquitectura'!$B$95)*D1667+'00_Arquitectura'!$B$95*E1667</x:f>
        <x:v>41.45858347765787</x:v>
      </x:c>
      <x:c r="G1667" s="5" t="n">
        <x:f>'02_Actores'!$I$18</x:f>
        <x:v>45</x:v>
      </x:c>
      <x:c r="H1667" s="5" t="n">
        <x:f>IF(OR(AND(F1667&lt;'00_Arquitectura'!$B$118,G1667&lt;'00_Arquitectura'!$B$119),F1667&lt;'00_Arquitectura'!$B$120),1,0)</x:f>
        <x:v>0</x:v>
      </x:c>
      <x:c r="I1667" s="5" t="n">
        <x:f>IF($I$1649=1,IF(OR(AND(F1667&lt;'00_Arquitectura'!$B$121,G1667&lt;'00_Arquitectura'!$B$122),F1667&lt;'00_Arquitectura'!$B$123),1,0),IF(AND(H1667=1,$H$1649=1),1,0))</x:f>
        <x:v>0</x:v>
      </x:c>
      <x:c r="J1667" s="5" t="n">
        <x:f>0</x:f>
        <x:v>0</x:v>
      </x:c>
      <x:c r="K1667" s="5" t="n">
        <x:f>$K$1655</x:f>
        <x:v>43.804943719853114</x:v>
      </x:c>
      <x:c r="L1667" s="5" t="str">
        <x:v>Conflicto activo captura menor eficacia en políticas ejecutadas en t+1. Magnitud0 en J: no es un offset directo de indicador.</x:v>
      </x:c>
    </x:row>
    <x:row r="1668" ht="34" customHeight="1">
      <x:c r="A1668" s="10" t="str">
        <x:v>S5_SEGURIDAD</x:v>
      </x:c>
      <x:c r="B1668" s="10" t="n">
        <x:v>10</x:v>
      </x:c>
      <x:c r="C1668" s="10" t="str">
        <x:v>cultura</x:v>
      </x:c>
      <x:c r="D1668" s="10" t="n">
        <x:f>$F$1650</x:f>
        <x:v>35.79383518745645</x:v>
      </x:c>
      <x:c r="E1668" s="10" t="n">
        <x:f>(ABS('03_Sensibilidades'!$C$54)*IF('03_Sensibilidades'!$C$54&lt;0,100-$K$767,$K$767)+ABS('03_Sensibilidades'!$C$55)*IF('03_Sensibilidades'!$C$55&lt;0,100-$K$762,$K$762)+ABS('03_Sensibilidades'!$C$56)*IF('03_Sensibilidades'!$C$56&lt;0,100-$K$757,$K$757))/(ABS('03_Sensibilidades'!$C$54)+ABS('03_Sensibilidades'!$C$55)+ABS('03_Sensibilidades'!$C$56))</x:f>
        <x:v>35.63142282950711</x:v>
      </x:c>
      <x:c r="F1668" s="10" t="n">
        <x:f>(1-'00_Arquitectura'!$B$95)*D1668+'00_Arquitectura'!$B$95*E1668</x:f>
        <x:v>35.73699086217418</x:v>
      </x:c>
      <x:c r="G1668" s="10" t="n">
        <x:f>'02_Actores'!$I$19</x:f>
        <x:v>45</x:v>
      </x:c>
      <x:c r="H1668" s="10" t="n">
        <x:f>IF(OR(AND(F1668&lt;'00_Arquitectura'!$B$118,G1668&lt;'00_Arquitectura'!$B$119),F1668&lt;'00_Arquitectura'!$B$120),1,0)</x:f>
        <x:v>0</x:v>
      </x:c>
      <x:c r="I1668" s="10" t="n">
        <x:f>IF($I$1650=1,IF(OR(AND(F1668&lt;'00_Arquitectura'!$B$121,G1668&lt;'00_Arquitectura'!$B$122),F1668&lt;'00_Arquitectura'!$B$123),1,0),IF(AND(H1668=1,$H$1650=1),1,0))</x:f>
        <x:v>0</x:v>
      </x:c>
      <x:c r="J1668" s="10" t="n">
        <x:f>0</x:f>
        <x:v>0</x:v>
      </x:c>
      <x:c r="K1668" s="10" t="n">
        <x:f>$K$1655</x:f>
        <x:v>43.804943719853114</x:v>
      </x:c>
      <x:c r="L1668" s="10" t="str">
        <x:v>Conflicto activo encarece agenda del turno siguiente; sin castigo electoral adicional.</x:v>
      </x:c>
    </x:row>
    <x:row r="1669" ht="34" customHeight="1">
      <x:c r="A1669" s="5" t="str">
        <x:v>S5_SEGURIDAD</x:v>
      </x:c>
      <x:c r="B1669" s="5" t="n">
        <x:v>10</x:v>
      </x:c>
      <x:c r="C1669" s="5" t="str">
        <x:v>oficialismo</x:v>
      </x:c>
      <x:c r="D1669" s="5" t="n">
        <x:f>$F$1651</x:f>
        <x:v>43.91319045547529</x:v>
      </x:c>
      <x:c r="E1669" s="5" t="n">
        <x:f>(ABS('03_Sensibilidades'!$C$57)*IF('03_Sensibilidades'!$C$57&lt;0,100-$K$767,$K$767)+ABS('03_Sensibilidades'!$C$58)*IF('03_Sensibilidades'!$C$58&lt;0,100-$K$756,$K$756)+ABS('03_Sensibilidades'!$C$59)*IF('03_Sensibilidades'!$C$59&lt;0,100-$K$759,$K$759)+ABS('03_Sensibilidades'!$C$60)*IF('03_Sensibilidades'!$C$60&lt;0,100-$K$764,$K$764))/(ABS('03_Sensibilidades'!$C$57)+ABS('03_Sensibilidades'!$C$58)+ABS('03_Sensibilidades'!$C$59)+ABS('03_Sensibilidades'!$C$60))</x:f>
        <x:v>43.960369208030876</x:v>
      </x:c>
      <x:c r="F1669" s="5" t="n">
        <x:f>(1-'00_Arquitectura'!$B$95)*D1669+'00_Arquitectura'!$B$95*E1669</x:f>
        <x:v>43.929703018869745</x:v>
      </x:c>
      <x:c r="G1669" s="5" t="n">
        <x:f>'02_Actores'!$I$20</x:f>
        <x:v>60</x:v>
      </x:c>
      <x:c r="H1669" s="5" t="n">
        <x:f>IF(OR(AND(F1669&lt;'00_Arquitectura'!$B$118,G1669&lt;'00_Arquitectura'!$B$119),F1669&lt;'00_Arquitectura'!$B$120),1,0)</x:f>
        <x:v>0</x:v>
      </x:c>
      <x:c r="I1669" s="5" t="n">
        <x:f>IF($I$1651=1,IF(OR(AND(F1669&lt;'00_Arquitectura'!$B$121,G1669&lt;'00_Arquitectura'!$B$122),F1669&lt;'00_Arquitectura'!$B$123),1,0),IF(AND(H1669=1,$H$1651=1),1,0))</x:f>
        <x:v>0</x:v>
      </x:c>
      <x:c r="J1669" s="5" t="n">
        <x:f>0</x:f>
        <x:v>0</x:v>
      </x:c>
      <x:c r="K1669" s="5" t="n">
        <x:f>$K$1655</x:f>
        <x:v>43.804943719853114</x:v>
      </x:c>
      <x:c r="L1669" s="5" t="str">
        <x:v>No aporta E_social; S y R alimentan disposición a leyes según07.</x:v>
      </x:c>
    </x:row>
    <x:row r="1670" ht="34" customHeight="1">
      <x:c r="A1670" s="10" t="str">
        <x:v>S5_SEGURIDAD</x:v>
      </x:c>
      <x:c r="B1670" s="10" t="n">
        <x:v>10</x:v>
      </x:c>
      <x:c r="C1670" s="10" t="str">
        <x:v>aliados</x:v>
      </x:c>
      <x:c r="D1670" s="10" t="n">
        <x:f>$F$1652</x:f>
        <x:v>40.05120006657612</x:v>
      </x:c>
      <x:c r="E1670" s="10" t="n">
        <x:f>(ABS('03_Sensibilidades'!$C$61)*IF('03_Sensibilidades'!$C$61&lt;0,100-$K$767,$K$767)+ABS('03_Sensibilidades'!$C$62)*IF('03_Sensibilidades'!$C$62&lt;0,100-$K$759,$K$759)+ABS('03_Sensibilidades'!$C$63)*IF('03_Sensibilidades'!$C$63&lt;0,100-$K$761,$K$761))/(ABS('03_Sensibilidades'!$C$61)+ABS('03_Sensibilidades'!$C$62)+ABS('03_Sensibilidades'!$C$63))</x:f>
        <x:v>40.09497442951676</x:v>
      </x:c>
      <x:c r="F1670" s="10" t="n">
        <x:f>(1-'00_Arquitectura'!$B$95)*D1670+'00_Arquitectura'!$B$95*E1670</x:f>
        <x:v>40.066521093605346</x:v>
      </x:c>
      <x:c r="G1670" s="10" t="n">
        <x:f>'02_Actores'!$I$21</x:f>
        <x:v>45</x:v>
      </x:c>
      <x:c r="H1670" s="10" t="n">
        <x:f>IF(OR(AND(F1670&lt;'00_Arquitectura'!$B$118,G1670&lt;'00_Arquitectura'!$B$119),F1670&lt;'00_Arquitectura'!$B$120),1,0)</x:f>
        <x:v>0</x:v>
      </x:c>
      <x:c r="I1670" s="10" t="n">
        <x:f>IF($I$1652=1,IF(OR(AND(F1670&lt;'00_Arquitectura'!$B$121,G1670&lt;'00_Arquitectura'!$B$122),F1670&lt;'00_Arquitectura'!$B$123),1,0),IF(AND(H1670=1,$H$1652=1),1,0))</x:f>
        <x:v>0</x:v>
      </x:c>
      <x:c r="J1670" s="10" t="n">
        <x:f>0</x:f>
        <x:v>0</x:v>
      </x:c>
      <x:c r="K1670" s="10" t="n">
        <x:f>$K$1655</x:f>
        <x:v>43.804943719853114</x:v>
      </x:c>
      <x:c r="L1670" s="10" t="str">
        <x:v>No aporta E_social; S y R alimentan disposición a leyes según07.</x:v>
      </x:c>
    </x:row>
    <x:row r="1671" ht="34" customHeight="1">
      <x:c r="A1671" s="5" t="str">
        <x:v>S5_SEGURIDAD</x:v>
      </x:c>
      <x:c r="B1671" s="5" t="n">
        <x:v>10</x:v>
      </x:c>
      <x:c r="C1671" s="5" t="str">
        <x:v>oposicion</x:v>
      </x:c>
      <x:c r="D1671" s="5" t="n">
        <x:f>$F$1653</x:f>
        <x:v>36.68413995561466</x:v>
      </x:c>
      <x:c r="E1671" s="5" t="n">
        <x:f>(ABS('03_Sensibilidades'!$C$64)*IF('03_Sensibilidades'!$C$64&lt;0,100-$K$767,$K$767)+ABS('03_Sensibilidades'!$C$65)*IF('03_Sensibilidades'!$C$65&lt;0,100-$K$759,$K$759)+ABS('03_Sensibilidades'!$C$66)*IF('03_Sensibilidades'!$C$66&lt;0,100-$K$765,$K$765))/(ABS('03_Sensibilidades'!$C$64)+ABS('03_Sensibilidades'!$C$65)+ABS('03_Sensibilidades'!$C$66))</x:f>
        <x:v>36.4997627008508</x:v>
      </x:c>
      <x:c r="F1671" s="5" t="n">
        <x:f>(1-'00_Arquitectura'!$B$95)*D1671+'00_Arquitectura'!$B$95*E1671</x:f>
        <x:v>36.619607916447315</x:v>
      </x:c>
      <x:c r="G1671" s="5" t="n">
        <x:f>'02_Actores'!$I$22</x:f>
        <x:v>30</x:v>
      </x:c>
      <x:c r="H1671" s="5" t="n">
        <x:f>IF(OR(AND(F1671&lt;'00_Arquitectura'!$B$118,G1671&lt;'00_Arquitectura'!$B$119),F1671&lt;'00_Arquitectura'!$B$120),1,0)</x:f>
        <x:v>0</x:v>
      </x:c>
      <x:c r="I1671" s="5" t="n">
        <x:f>IF($I$1653=1,IF(OR(AND(F1671&lt;'00_Arquitectura'!$B$121,G1671&lt;'00_Arquitectura'!$B$122),F1671&lt;'00_Arquitectura'!$B$123),1,0),IF(AND(H1671=1,$H$1653=1),1,0))</x:f>
        <x:v>0</x:v>
      </x:c>
      <x:c r="J1671" s="5" t="n">
        <x:f>0</x:f>
        <x:v>0</x:v>
      </x:c>
      <x:c r="K1671" s="5" t="n">
        <x:f>$K$1655</x:f>
        <x:v>43.804943719853114</x:v>
      </x:c>
      <x:c r="L1671" s="5" t="str">
        <x:v>No aporta E_social; S y R alimentan disposición a leyes según07.</x:v>
      </x:c>
    </x:row>
    <x:row r="1672" ht="42" customHeight="1">
      <x:c r="A1672" s="10" t="str">
        <x:v>S5_SEGURIDAD</x:v>
      </x:c>
      <x:c r="B1672" s="10" t="n">
        <x:v>10</x:v>
      </x:c>
      <x:c r="C1672" s="10" t="str">
        <x:v>gobernadores</x:v>
      </x:c>
      <x:c r="D1672" s="10" t="n">
        <x:f>$F$1654</x:f>
        <x:v>50.398636305519545</x:v>
      </x:c>
      <x:c r="E1672" s="10" t="n">
        <x:f>(ABS('03_Sensibilidades'!$C$67)*IF('03_Sensibilidades'!$C$67&lt;0,100-$K$761,$K$761)+ABS('03_Sensibilidades'!$C$68)*IF('03_Sensibilidades'!$C$68&lt;0,100-$K$763,$K$763)+ABS('03_Sensibilidades'!$C$69)*IF('03_Sensibilidades'!$C$69&lt;0,100-$K$762,$K$762)+ABS('03_Sensibilidades'!$C$70)*IF('03_Sensibilidades'!$C$70&lt;0,100-$K$759,$K$759))/(ABS('03_Sensibilidades'!$C$67)+ABS('03_Sensibilidades'!$C$68)+ABS('03_Sensibilidades'!$C$69)+ABS('03_Sensibilidades'!$C$70))</x:f>
        <x:v>50.51707772472469</x:v>
      </x:c>
      <x:c r="F1672" s="10" t="n">
        <x:f>(1-'00_Arquitectura'!$B$95)*D1672+'00_Arquitectura'!$B$95*E1672</x:f>
        <x:v>50.44009080224134</x:v>
      </x:c>
      <x:c r="G1672" s="10" t="n">
        <x:f>'02_Actores'!$I$23</x:f>
        <x:v>45</x:v>
      </x:c>
      <x:c r="H1672" s="10" t="n">
        <x:f>IF(OR(AND(F1672&lt;'00_Arquitectura'!$B$118,G1672&lt;'00_Arquitectura'!$B$119),F1672&lt;'00_Arquitectura'!$B$120),1,0)</x:f>
        <x:v>0</x:v>
      </x:c>
      <x:c r="I1672" s="10" t="n">
        <x:f>IF($I$1654=1,IF(OR(AND(F1672&lt;'00_Arquitectura'!$B$121,G1672&lt;'00_Arquitectura'!$B$122),F1672&lt;'00_Arquitectura'!$B$123),1,0),IF(AND(H1672=1,$H$1654=1),1,0))</x:f>
        <x:v>0</x:v>
      </x:c>
      <x:c r="J1672" s="10" t="n">
        <x:f>0</x:f>
        <x:v>0</x:v>
      </x:c>
      <x:c r="K1672" s="10" t="n">
        <x:f>$K$1655</x:f>
        <x:v>43.804943719853114</x:v>
      </x:c>
      <x:c r="L1672" s="10" t="str">
        <x:v>Conflicto activo captura menor eficacia en políticas ejecutadas en t+1. Magnitud0 en J: no es un offset directo de indicador.</x:v>
      </x:c>
    </x:row>
    <x:row r="1676" ht="42" customHeight="1">
      <x:c r="A1676" s="9" t="str">
        <x:v>scenarioId</x:v>
      </x:c>
      <x:c r="B1676" s="9" t="str">
        <x:v>Turno ejecución</x:v>
      </x:c>
      <x:c r="C1676" s="9" t="str">
        <x:v>Turno aplicación</x:v>
      </x:c>
      <x:c r="D1676" s="9" t="str">
        <x:v>effectId</x:v>
      </x:c>
      <x:c r="E1676" s="9" t="str">
        <x:v>actionId</x:v>
      </x:c>
      <x:c r="F1676" s="9" t="str">
        <x:v>targetType</x:v>
      </x:c>
      <x:c r="G1676" s="9" t="str">
        <x:v>targetId</x:v>
      </x:c>
      <x:c r="H1676" s="9" t="str">
        <x:v>Operación</x:v>
      </x:c>
      <x:c r="I1676" s="9" t="str">
        <x:v>Magnitud aplicada</x:v>
      </x:c>
      <x:c r="J1676" s="9" t="str">
        <x:v>Condición capturada</x:v>
      </x:c>
      <x:c r="K1676" s="9" t="str">
        <x:v>Causa</x:v>
      </x:c>
    </x:row>
    <x:row r="1677" ht="42" customHeight="1">
      <x:c r="A1677" s="5" t="str">
        <x:v>S1_EMISION</x:v>
      </x:c>
      <x:c r="B1677" s="5" t="n">
        <x:v>1</x:v>
      </x:c>
      <x:c r="C1677" s="5" t="n">
        <x:v>1</x:v>
      </x:c>
      <x:c r="D1677" s="5" t="str">
        <x:v>e001</x:v>
      </x:c>
      <x:c r="E1677" s="5" t="str">
        <x:v>emitir_dinero</x:v>
      </x:c>
      <x:c r="F1677" s="5" t="str">
        <x:v>ledger</x:v>
      </x:c>
      <x:c r="G1677" s="5" t="str">
        <x:v>financing_issue</x:v>
      </x:c>
      <x:c r="H1677" s="5" t="str">
        <x:v>flow</x:v>
      </x:c>
      <x:c r="I1677" s="5" t="n">
        <x:f>'05_Efectos'!$E$6</x:f>
        <x:v>300</x:v>
      </x:c>
      <x:c r="J1677" s="5" t="str">
        <x:v>true</x:v>
      </x:c>
      <x:c r="K1677" s="5" t="str">
        <x:v>Crea caja. No es recaudación.</x:v>
      </x:c>
    </x:row>
    <x:row r="1678" ht="34" customHeight="1">
      <x:c r="A1678" s="10" t="str">
        <x:v>S1_EMISION</x:v>
      </x:c>
      <x:c r="B1678" s="10" t="n">
        <x:v>1</x:v>
      </x:c>
      <x:c r="C1678" s="10" t="n">
        <x:v>2</x:v>
      </x:c>
      <x:c r="D1678" s="10" t="str">
        <x:v>e003</x:v>
      </x:c>
      <x:c r="E1678" s="10" t="str">
        <x:v>emitir_dinero</x:v>
      </x:c>
      <x:c r="F1678" s="10" t="str">
        <x:v>indicator</x:v>
      </x:c>
      <x:c r="G1678" s="10" t="str">
        <x:v>inflacion</x:v>
      </x:c>
      <x:c r="H1678" s="10" t="str">
        <x:v>pulse</x:v>
      </x:c>
      <x:c r="I1678" s="10" t="n">
        <x:f>'05_Efectos'!$E$8</x:f>
        <x:v>1</x:v>
      </x:c>
      <x:c r="J1678" s="10" t="str">
        <x:v>true</x:v>
      </x:c>
      <x:c r="K1678" s="10" t="str">
        <x:v>Base diferida.</x:v>
      </x:c>
    </x:row>
    <x:row r="1679" ht="72" customHeight="1">
      <x:c r="A1679" s="5" t="str">
        <x:v>S1_EMISION</x:v>
      </x:c>
      <x:c r="B1679" s="5" t="n">
        <x:v>1</x:v>
      </x:c>
      <x:c r="C1679" s="5" t="n">
        <x:v>2</x:v>
      </x:c>
      <x:c r="D1679" s="5" t="str">
        <x:v>e004</x:v>
      </x:c>
      <x:c r="E1679" s="5" t="str">
        <x:v>emitir_dinero</x:v>
      </x:c>
      <x:c r="F1679" s="5" t="str">
        <x:v>indicator</x:v>
      </x:c>
      <x:c r="G1679" s="5" t="str">
        <x:v>inflacion</x:v>
      </x:c>
      <x:c r="H1679" s="5" t="str">
        <x:v>pulse</x:v>
      </x:c>
      <x:c r="I1679" s="5" t="n">
        <x:f>'00_Arquitectura'!$B$108*MAX(0,$P$15-'00_Arquitectura'!$B$109)^2+IF('01_Indicadores'!$H$6&gt;='00_Arquitectura'!$B$110,'00_Arquitectura'!$B$111,0)</x:f>
        <x:v>0</x:v>
      </x:c>
      <x:c r="J1679" s="5" t="str">
        <x:v>true</x:v>
      </x:c>
      <x:c r="K1679" s="5" t="str">
        <x:v>Sobrecarga según usos en ventana; se sustituye por la expresión R_EMISION.</x:v>
      </x:c>
    </x:row>
    <x:row r="1680" ht="42" customHeight="1">
      <x:c r="A1680" s="10" t="str">
        <x:v>S1_EMISION</x:v>
      </x:c>
      <x:c r="B1680" s="10" t="n">
        <x:v>2</x:v>
      </x:c>
      <x:c r="C1680" s="10" t="n">
        <x:v>2</x:v>
      </x:c>
      <x:c r="D1680" s="10" t="str">
        <x:v>e001</x:v>
      </x:c>
      <x:c r="E1680" s="10" t="str">
        <x:v>emitir_dinero</x:v>
      </x:c>
      <x:c r="F1680" s="10" t="str">
        <x:v>ledger</x:v>
      </x:c>
      <x:c r="G1680" s="10" t="str">
        <x:v>financing_issue</x:v>
      </x:c>
      <x:c r="H1680" s="10" t="str">
        <x:v>flow</x:v>
      </x:c>
      <x:c r="I1680" s="10" t="n">
        <x:f>'05_Efectos'!$E$6</x:f>
        <x:v>300</x:v>
      </x:c>
      <x:c r="J1680" s="10" t="str">
        <x:v>true</x:v>
      </x:c>
      <x:c r="K1680" s="10" t="str">
        <x:v>Crea caja. No es recaudación.</x:v>
      </x:c>
    </x:row>
    <x:row r="1681" ht="34" customHeight="1">
      <x:c r="A1681" s="5" t="str">
        <x:v>S1_EMISION</x:v>
      </x:c>
      <x:c r="B1681" s="5" t="n">
        <x:v>2</x:v>
      </x:c>
      <x:c r="C1681" s="5" t="n">
        <x:v>3</x:v>
      </x:c>
      <x:c r="D1681" s="5" t="str">
        <x:v>e003</x:v>
      </x:c>
      <x:c r="E1681" s="5" t="str">
        <x:v>emitir_dinero</x:v>
      </x:c>
      <x:c r="F1681" s="5" t="str">
        <x:v>indicator</x:v>
      </x:c>
      <x:c r="G1681" s="5" t="str">
        <x:v>inflacion</x:v>
      </x:c>
      <x:c r="H1681" s="5" t="str">
        <x:v>pulse</x:v>
      </x:c>
      <x:c r="I1681" s="5" t="n">
        <x:f>'05_Efectos'!$E$8</x:f>
        <x:v>1</x:v>
      </x:c>
      <x:c r="J1681" s="5" t="str">
        <x:v>true</x:v>
      </x:c>
      <x:c r="K1681" s="5" t="str">
        <x:v>Base diferida.</x:v>
      </x:c>
    </x:row>
    <x:row r="1682" ht="72" customHeight="1">
      <x:c r="A1682" s="10" t="str">
        <x:v>S1_EMISION</x:v>
      </x:c>
      <x:c r="B1682" s="10" t="n">
        <x:v>2</x:v>
      </x:c>
      <x:c r="C1682" s="10" t="n">
        <x:v>3</x:v>
      </x:c>
      <x:c r="D1682" s="10" t="str">
        <x:v>e004</x:v>
      </x:c>
      <x:c r="E1682" s="10" t="str">
        <x:v>emitir_dinero</x:v>
      </x:c>
      <x:c r="F1682" s="10" t="str">
        <x:v>indicator</x:v>
      </x:c>
      <x:c r="G1682" s="10" t="str">
        <x:v>inflacion</x:v>
      </x:c>
      <x:c r="H1682" s="10" t="str">
        <x:v>pulse</x:v>
      </x:c>
      <x:c r="I1682" s="10" t="n">
        <x:f>'00_Arquitectura'!$B$108*MAX(0,$P$16-'00_Arquitectura'!$B$109)^2+IF($K$69&gt;='00_Arquitectura'!$B$110,'00_Arquitectura'!$B$111,0)</x:f>
        <x:v>0</x:v>
      </x:c>
      <x:c r="J1682" s="10" t="str">
        <x:v>true</x:v>
      </x:c>
      <x:c r="K1682" s="10" t="str">
        <x:v>Sobrecarga según usos en ventana; se sustituye por la expresión R_EMISION.</x:v>
      </x:c>
    </x:row>
    <x:row r="1683" ht="42" customHeight="1">
      <x:c r="A1683" s="5" t="str">
        <x:v>S1_EMISION</x:v>
      </x:c>
      <x:c r="B1683" s="5" t="n">
        <x:v>3</x:v>
      </x:c>
      <x:c r="C1683" s="5" t="n">
        <x:v>3</x:v>
      </x:c>
      <x:c r="D1683" s="5" t="str">
        <x:v>e001</x:v>
      </x:c>
      <x:c r="E1683" s="5" t="str">
        <x:v>emitir_dinero</x:v>
      </x:c>
      <x:c r="F1683" s="5" t="str">
        <x:v>ledger</x:v>
      </x:c>
      <x:c r="G1683" s="5" t="str">
        <x:v>financing_issue</x:v>
      </x:c>
      <x:c r="H1683" s="5" t="str">
        <x:v>flow</x:v>
      </x:c>
      <x:c r="I1683" s="5" t="n">
        <x:f>'05_Efectos'!$E$6</x:f>
        <x:v>300</x:v>
      </x:c>
      <x:c r="J1683" s="5" t="str">
        <x:v>true</x:v>
      </x:c>
      <x:c r="K1683" s="5" t="str">
        <x:v>Crea caja. No es recaudación.</x:v>
      </x:c>
    </x:row>
    <x:row r="1684" ht="34" customHeight="1">
      <x:c r="A1684" s="10" t="str">
        <x:v>S1_EMISION</x:v>
      </x:c>
      <x:c r="B1684" s="10" t="n">
        <x:v>3</x:v>
      </x:c>
      <x:c r="C1684" s="10" t="n">
        <x:v>4</x:v>
      </x:c>
      <x:c r="D1684" s="10" t="str">
        <x:v>e003</x:v>
      </x:c>
      <x:c r="E1684" s="10" t="str">
        <x:v>emitir_dinero</x:v>
      </x:c>
      <x:c r="F1684" s="10" t="str">
        <x:v>indicator</x:v>
      </x:c>
      <x:c r="G1684" s="10" t="str">
        <x:v>inflacion</x:v>
      </x:c>
      <x:c r="H1684" s="10" t="str">
        <x:v>pulse</x:v>
      </x:c>
      <x:c r="I1684" s="10" t="n">
        <x:f>'05_Efectos'!$E$8</x:f>
        <x:v>1</x:v>
      </x:c>
      <x:c r="J1684" s="10" t="str">
        <x:v>true</x:v>
      </x:c>
      <x:c r="K1684" s="10" t="str">
        <x:v>Base diferida.</x:v>
      </x:c>
    </x:row>
    <x:row r="1685" ht="72" customHeight="1">
      <x:c r="A1685" s="5" t="str">
        <x:v>S1_EMISION</x:v>
      </x:c>
      <x:c r="B1685" s="5" t="n">
        <x:v>3</x:v>
      </x:c>
      <x:c r="C1685" s="5" t="n">
        <x:v>4</x:v>
      </x:c>
      <x:c r="D1685" s="5" t="str">
        <x:v>e004</x:v>
      </x:c>
      <x:c r="E1685" s="5" t="str">
        <x:v>emitir_dinero</x:v>
      </x:c>
      <x:c r="F1685" s="5" t="str">
        <x:v>indicator</x:v>
      </x:c>
      <x:c r="G1685" s="5" t="str">
        <x:v>inflacion</x:v>
      </x:c>
      <x:c r="H1685" s="5" t="str">
        <x:v>pulse</x:v>
      </x:c>
      <x:c r="I1685" s="5" t="n">
        <x:f>'00_Arquitectura'!$B$108*MAX(0,$P$17-'00_Arquitectura'!$B$109)^2+IF($K$83&gt;='00_Arquitectura'!$B$110,'00_Arquitectura'!$B$111,0)</x:f>
        <x:v>2</x:v>
      </x:c>
      <x:c r="J1685" s="5" t="str">
        <x:v>true</x:v>
      </x:c>
      <x:c r="K1685" s="5" t="str">
        <x:v>Sobrecarga según usos en ventana; se sustituye por la expresión R_EMISION.</x:v>
      </x:c>
    </x:row>
    <x:row r="1686" ht="42" customHeight="1">
      <x:c r="A1686" s="10" t="str">
        <x:v>S1_EMISION</x:v>
      </x:c>
      <x:c r="B1686" s="10" t="n">
        <x:v>4</x:v>
      </x:c>
      <x:c r="C1686" s="10" t="n">
        <x:v>4</x:v>
      </x:c>
      <x:c r="D1686" s="10" t="str">
        <x:v>e001</x:v>
      </x:c>
      <x:c r="E1686" s="10" t="str">
        <x:v>emitir_dinero</x:v>
      </x:c>
      <x:c r="F1686" s="10" t="str">
        <x:v>ledger</x:v>
      </x:c>
      <x:c r="G1686" s="10" t="str">
        <x:v>financing_issue</x:v>
      </x:c>
      <x:c r="H1686" s="10" t="str">
        <x:v>flow</x:v>
      </x:c>
      <x:c r="I1686" s="10" t="n">
        <x:f>'05_Efectos'!$E$6</x:f>
        <x:v>300</x:v>
      </x:c>
      <x:c r="J1686" s="10" t="str">
        <x:v>true</x:v>
      </x:c>
      <x:c r="K1686" s="10" t="str">
        <x:v>Crea caja. No es recaudación.</x:v>
      </x:c>
    </x:row>
    <x:row r="1687" ht="34" customHeight="1">
      <x:c r="A1687" s="5" t="str">
        <x:v>S1_EMISION</x:v>
      </x:c>
      <x:c r="B1687" s="5" t="n">
        <x:v>4</x:v>
      </x:c>
      <x:c r="C1687" s="5" t="n">
        <x:v>5</x:v>
      </x:c>
      <x:c r="D1687" s="5" t="str">
        <x:v>e003</x:v>
      </x:c>
      <x:c r="E1687" s="5" t="str">
        <x:v>emitir_dinero</x:v>
      </x:c>
      <x:c r="F1687" s="5" t="str">
        <x:v>indicator</x:v>
      </x:c>
      <x:c r="G1687" s="5" t="str">
        <x:v>inflacion</x:v>
      </x:c>
      <x:c r="H1687" s="5" t="str">
        <x:v>pulse</x:v>
      </x:c>
      <x:c r="I1687" s="5" t="n">
        <x:f>'05_Efectos'!$E$8</x:f>
        <x:v>1</x:v>
      </x:c>
      <x:c r="J1687" s="5" t="str">
        <x:v>true</x:v>
      </x:c>
      <x:c r="K1687" s="5" t="str">
        <x:v>Base diferida.</x:v>
      </x:c>
    </x:row>
    <x:row r="1688" ht="72" customHeight="1">
      <x:c r="A1688" s="10" t="str">
        <x:v>S1_EMISION</x:v>
      </x:c>
      <x:c r="B1688" s="10" t="n">
        <x:v>4</x:v>
      </x:c>
      <x:c r="C1688" s="10" t="n">
        <x:v>5</x:v>
      </x:c>
      <x:c r="D1688" s="10" t="str">
        <x:v>e004</x:v>
      </x:c>
      <x:c r="E1688" s="10" t="str">
        <x:v>emitir_dinero</x:v>
      </x:c>
      <x:c r="F1688" s="10" t="str">
        <x:v>indicator</x:v>
      </x:c>
      <x:c r="G1688" s="10" t="str">
        <x:v>inflacion</x:v>
      </x:c>
      <x:c r="H1688" s="10" t="str">
        <x:v>pulse</x:v>
      </x:c>
      <x:c r="I1688" s="10" t="n">
        <x:f>'00_Arquitectura'!$B$108*MAX(0,$P$18-'00_Arquitectura'!$B$109)^2+IF($K$97&gt;='00_Arquitectura'!$B$110,'00_Arquitectura'!$B$111,0)</x:f>
        <x:v>8</x:v>
      </x:c>
      <x:c r="J1688" s="10" t="str">
        <x:v>true</x:v>
      </x:c>
      <x:c r="K1688" s="10" t="str">
        <x:v>Sobrecarga según usos en ventana; se sustituye por la expresión R_EMISION.</x:v>
      </x:c>
    </x:row>
    <x:row r="1689" ht="42" customHeight="1">
      <x:c r="A1689" s="5" t="str">
        <x:v>S1_EMISION</x:v>
      </x:c>
      <x:c r="B1689" s="5" t="n">
        <x:v>5</x:v>
      </x:c>
      <x:c r="C1689" s="5" t="n">
        <x:v>5</x:v>
      </x:c>
      <x:c r="D1689" s="5" t="str">
        <x:v>e001</x:v>
      </x:c>
      <x:c r="E1689" s="5" t="str">
        <x:v>emitir_dinero</x:v>
      </x:c>
      <x:c r="F1689" s="5" t="str">
        <x:v>ledger</x:v>
      </x:c>
      <x:c r="G1689" s="5" t="str">
        <x:v>financing_issue</x:v>
      </x:c>
      <x:c r="H1689" s="5" t="str">
        <x:v>flow</x:v>
      </x:c>
      <x:c r="I1689" s="5" t="n">
        <x:f>'05_Efectos'!$E$6</x:f>
        <x:v>300</x:v>
      </x:c>
      <x:c r="J1689" s="5" t="str">
        <x:v>true</x:v>
      </x:c>
      <x:c r="K1689" s="5" t="str">
        <x:v>Crea caja. No es recaudación.</x:v>
      </x:c>
    </x:row>
    <x:row r="1690" ht="34" customHeight="1">
      <x:c r="A1690" s="10" t="str">
        <x:v>S1_EMISION</x:v>
      </x:c>
      <x:c r="B1690" s="10" t="n">
        <x:v>5</x:v>
      </x:c>
      <x:c r="C1690" s="10" t="n">
        <x:v>6</x:v>
      </x:c>
      <x:c r="D1690" s="10" t="str">
        <x:v>e003</x:v>
      </x:c>
      <x:c r="E1690" s="10" t="str">
        <x:v>emitir_dinero</x:v>
      </x:c>
      <x:c r="F1690" s="10" t="str">
        <x:v>indicator</x:v>
      </x:c>
      <x:c r="G1690" s="10" t="str">
        <x:v>inflacion</x:v>
      </x:c>
      <x:c r="H1690" s="10" t="str">
        <x:v>pulse</x:v>
      </x:c>
      <x:c r="I1690" s="10" t="n">
        <x:f>'05_Efectos'!$E$8</x:f>
        <x:v>1</x:v>
      </x:c>
      <x:c r="J1690" s="10" t="str">
        <x:v>true</x:v>
      </x:c>
      <x:c r="K1690" s="10" t="str">
        <x:v>Base diferida.</x:v>
      </x:c>
    </x:row>
    <x:row r="1691" ht="72" customHeight="1">
      <x:c r="A1691" s="5" t="str">
        <x:v>S1_EMISION</x:v>
      </x:c>
      <x:c r="B1691" s="5" t="n">
        <x:v>5</x:v>
      </x:c>
      <x:c r="C1691" s="5" t="n">
        <x:v>6</x:v>
      </x:c>
      <x:c r="D1691" s="5" t="str">
        <x:v>e004</x:v>
      </x:c>
      <x:c r="E1691" s="5" t="str">
        <x:v>emitir_dinero</x:v>
      </x:c>
      <x:c r="F1691" s="5" t="str">
        <x:v>indicator</x:v>
      </x:c>
      <x:c r="G1691" s="5" t="str">
        <x:v>inflacion</x:v>
      </x:c>
      <x:c r="H1691" s="5" t="str">
        <x:v>pulse</x:v>
      </x:c>
      <x:c r="I1691" s="5" t="n">
        <x:f>'00_Arquitectura'!$B$108*MAX(0,$P$19-'00_Arquitectura'!$B$109)^2+IF($K$111&gt;='00_Arquitectura'!$B$110,'00_Arquitectura'!$B$111,0)</x:f>
        <x:v>18</x:v>
      </x:c>
      <x:c r="J1691" s="5" t="str">
        <x:v>true</x:v>
      </x:c>
      <x:c r="K1691" s="5" t="str">
        <x:v>Sobrecarga según usos en ventana; se sustituye por la expresión R_EMISION.</x:v>
      </x:c>
    </x:row>
    <x:row r="1692" ht="72" customHeight="1">
      <x:c r="A1692" s="10" t="str">
        <x:v>S2_VIAL</x:v>
      </x:c>
      <x:c r="B1692" s="10" t="n">
        <x:v>1</x:v>
      </x:c>
      <x:c r="C1692" s="10" t="n">
        <x:v>1</x:v>
      </x:c>
      <x:c r="D1692" s="10" t="str">
        <x:v>e098</x:v>
      </x:c>
      <x:c r="E1692" s="10" t="str">
        <x:v>estudio_factibilidad</x:v>
      </x:c>
      <x:c r="F1692" s="10" t="str">
        <x:v>ledger</x:v>
      </x:c>
      <x:c r="G1692" s="10" t="str">
        <x:v>expense_once</x:v>
      </x:c>
      <x:c r="H1692" s="10" t="str">
        <x:v>flow</x:v>
      </x:c>
      <x:c r="I1692" s="10" t="n">
        <x:f>'05_Efectos'!$E$103</x:f>
        <x:v>60</x:v>
      </x:c>
      <x:c r="J1692" s="10" t="str">
        <x:v>true</x:v>
      </x:c>
      <x:c r="K1692" s="10" t="str">
        <x:v>Coste administrativo o programa. No se duplica con la columna fiscal de 04.</x:v>
      </x:c>
    </x:row>
    <x:row r="1693" ht="72" customHeight="1">
      <x:c r="A1693" s="5" t="str">
        <x:v>S2_VIAL</x:v>
      </x:c>
      <x:c r="B1693" s="5" t="n">
        <x:v>2</x:v>
      </x:c>
      <x:c r="C1693" s="5" t="n">
        <x:v>2</x:v>
      </x:c>
      <x:c r="D1693" s="5" t="str">
        <x:v>e082</x:v>
      </x:c>
      <x:c r="E1693" s="5" t="str">
        <x:v>infraestructura_vial</x:v>
      </x:c>
      <x:c r="F1693" s="5" t="str">
        <x:v>ledger</x:v>
      </x:c>
      <x:c r="G1693" s="5" t="str">
        <x:v>expense_once</x:v>
      </x:c>
      <x:c r="H1693" s="5" t="str">
        <x:v>flow</x:v>
      </x:c>
      <x:c r="I1693" s="5" t="n">
        <x:f>'05_Efectos'!$E$87</x:f>
        <x:v>400</x:v>
      </x:c>
      <x:c r="J1693" s="5" t="str">
        <x:v>true</x:v>
      </x:c>
      <x:c r="K1693" s="5" t="str">
        <x:v>Coste administrativo o programa. No se duplica con la columna fiscal de 04.</x:v>
      </x:c>
    </x:row>
    <x:row r="1694" ht="42" customHeight="1">
      <x:c r="A1694" s="10" t="str">
        <x:v>S2_VIAL</x:v>
      </x:c>
      <x:c r="B1694" s="10" t="n">
        <x:v>2</x:v>
      </x:c>
      <x:c r="C1694" s="10" t="n">
        <x:v>2</x:v>
      </x:c>
      <x:c r="D1694" s="10" t="str">
        <x:v>e083</x:v>
      </x:c>
      <x:c r="E1694" s="10" t="str">
        <x:v>infraestructura_vial</x:v>
      </x:c>
      <x:c r="F1694" s="10" t="str">
        <x:v>indicator</x:v>
      </x:c>
      <x:c r="G1694" s="10" t="str">
        <x:v>actividad</x:v>
      </x:c>
      <x:c r="H1694" s="10" t="str">
        <x:v>offset</x:v>
      </x:c>
      <x:c r="I1694" s="10" t="n">
        <x:f>('05_Efectos'!$E$88)*MAX(0.65,1-$I$965*0.15-$I$970*0.2)</x:f>
        <x:v>2</x:v>
      </x:c>
      <x:c r="J1694" s="10" t="str">
        <x:v>true</x:v>
      </x:c>
      <x:c r="K1694" s="10" t="str">
        <x:v>Resultado explícito del catálogo</x:v>
      </x:c>
    </x:row>
    <x:row r="1695" ht="42" customHeight="1">
      <x:c r="A1695" s="5" t="str">
        <x:v>S2_VIAL</x:v>
      </x:c>
      <x:c r="B1695" s="5" t="n">
        <x:v>2</x:v>
      </x:c>
      <x:c r="C1695" s="5" t="n">
        <x:v>3</x:v>
      </x:c>
      <x:c r="D1695" s="5" t="str">
        <x:v>e083</x:v>
      </x:c>
      <x:c r="E1695" s="5" t="str">
        <x:v>infraestructura_vial</x:v>
      </x:c>
      <x:c r="F1695" s="5" t="str">
        <x:v>indicator</x:v>
      </x:c>
      <x:c r="G1695" s="5" t="str">
        <x:v>actividad</x:v>
      </x:c>
      <x:c r="H1695" s="5" t="str">
        <x:v>offset</x:v>
      </x:c>
      <x:c r="I1695" s="5" t="n">
        <x:f>('05_Efectos'!$E$88)*MAX(0.65,1-$I$965*0.15-$I$970*0.2)</x:f>
        <x:v>2</x:v>
      </x:c>
      <x:c r="J1695" s="5" t="str">
        <x:v>true</x:v>
      </x:c>
      <x:c r="K1695" s="5" t="str">
        <x:v>Resultado explícito del catálogo</x:v>
      </x:c>
    </x:row>
    <x:row r="1696" ht="42" customHeight="1">
      <x:c r="A1696" s="10" t="str">
        <x:v>S2_VIAL</x:v>
      </x:c>
      <x:c r="B1696" s="10" t="n">
        <x:v>2</x:v>
      </x:c>
      <x:c r="C1696" s="10" t="n">
        <x:v>4</x:v>
      </x:c>
      <x:c r="D1696" s="10" t="str">
        <x:v>e084</x:v>
      </x:c>
      <x:c r="E1696" s="10" t="str">
        <x:v>infraestructura_vial</x:v>
      </x:c>
      <x:c r="F1696" s="10" t="str">
        <x:v>indicator</x:v>
      </x:c>
      <x:c r="G1696" s="10" t="str">
        <x:v>infraestructura</x:v>
      </x:c>
      <x:c r="H1696" s="10" t="str">
        <x:v>pulse</x:v>
      </x:c>
      <x:c r="I1696" s="10" t="n">
        <x:f>('05_Efectos'!$E$89)*MAX(0.65,1-$I$965*0.15-$I$970*0.2)</x:f>
        <x:v>6</x:v>
      </x:c>
      <x:c r="J1696" s="10" t="str">
        <x:v>true</x:v>
      </x:c>
      <x:c r="K1696" s="10" t="str">
        <x:v>Resultado explícito del catálogo</x:v>
      </x:c>
    </x:row>
    <x:row r="1697" ht="42" customHeight="1">
      <x:c r="A1697" s="5" t="str">
        <x:v>S2_VIAL</x:v>
      </x:c>
      <x:c r="B1697" s="5" t="n">
        <x:v>2</x:v>
      </x:c>
      <x:c r="C1697" s="5" t="n">
        <x:v>5</x:v>
      </x:c>
      <x:c r="D1697" s="5" t="str">
        <x:v>e085</x:v>
      </x:c>
      <x:c r="E1697" s="5" t="str">
        <x:v>infraestructura_vial</x:v>
      </x:c>
      <x:c r="F1697" s="5" t="str">
        <x:v>indicator</x:v>
      </x:c>
      <x:c r="G1697" s="5" t="str">
        <x:v>externo</x:v>
      </x:c>
      <x:c r="H1697" s="5" t="str">
        <x:v>pulse</x:v>
      </x:c>
      <x:c r="I1697" s="5" t="n">
        <x:f>('05_Efectos'!$E$90)*MAX(0.65,1-$I$965*0.15-$I$970*0.2)</x:f>
        <x:v>3</x:v>
      </x:c>
      <x:c r="J1697" s="5" t="str">
        <x:v>true</x:v>
      </x:c>
      <x:c r="K1697" s="5" t="str">
        <x:v>Resultado explícito del catálogo</x:v>
      </x:c>
    </x:row>
    <x:row r="1698" ht="42" customHeight="1">
      <x:c r="A1698" s="10" t="str">
        <x:v>S2_VIAL</x:v>
      </x:c>
      <x:c r="B1698" s="10" t="n">
        <x:v>2</x:v>
      </x:c>
      <x:c r="C1698" s="10" t="n">
        <x:v>4</x:v>
      </x:c>
      <x:c r="D1698" s="10" t="str">
        <x:v>e086</x:v>
      </x:c>
      <x:c r="E1698" s="10" t="str">
        <x:v>infraestructura_vial</x:v>
      </x:c>
      <x:c r="F1698" s="10" t="str">
        <x:v>indicator</x:v>
      </x:c>
      <x:c r="G1698" s="10" t="str">
        <x:v>ambiente</x:v>
      </x:c>
      <x:c r="H1698" s="10" t="str">
        <x:v>pulse</x:v>
      </x:c>
      <x:c r="I1698" s="10" t="n">
        <x:f>'05_Efectos'!$E$91</x:f>
        <x:v>-2</x:v>
      </x:c>
      <x:c r="J1698" s="10" t="str">
        <x:v>true</x:v>
      </x:c>
      <x:c r="K1698" s="10" t="str">
        <x:v>Resultado explícito del catálogo</x:v>
      </x:c>
    </x:row>
    <x:row r="1699" ht="57" customHeight="1">
      <x:c r="A1699" s="5" t="str">
        <x:v>S2_VIAL</x:v>
      </x:c>
      <x:c r="B1699" s="5" t="n">
        <x:v>2</x:v>
      </x:c>
      <x:c r="C1699" s="5" t="n">
        <x:v>5</x:v>
      </x:c>
      <x:c r="D1699" s="5" t="str">
        <x:v>e087</x:v>
      </x:c>
      <x:c r="E1699" s="5" t="str">
        <x:v>infraestructura_vial</x:v>
      </x:c>
      <x:c r="F1699" s="5" t="str">
        <x:v>ledger</x:v>
      </x:c>
      <x:c r="G1699" s="5" t="str">
        <x:v>expense_recurring</x:v>
      </x:c>
      <x:c r="H1699" s="5" t="str">
        <x:v>flow</x:v>
      </x:c>
      <x:c r="I1699" s="5" t="n">
        <x:f>'05_Efectos'!$E$92</x:f>
        <x:v>30</x:v>
      </x:c>
      <x:c r="J1699" s="5" t="str">
        <x:v>true</x:v>
      </x:c>
      <x:c r="K1699" s="5" t="str">
        <x:v>Flujo explícito; afecta caja y cálculo fiscal durante su vigencia.</x:v>
      </x:c>
    </x:row>
    <x:row r="1700" ht="57" customHeight="1">
      <x:c r="A1700" s="10" t="str">
        <x:v>S2_VIAL</x:v>
      </x:c>
      <x:c r="B1700" s="10" t="n">
        <x:v>2</x:v>
      </x:c>
      <x:c r="C1700" s="10" t="n">
        <x:v>6</x:v>
      </x:c>
      <x:c r="D1700" s="10" t="str">
        <x:v>e087</x:v>
      </x:c>
      <x:c r="E1700" s="10" t="str">
        <x:v>infraestructura_vial</x:v>
      </x:c>
      <x:c r="F1700" s="10" t="str">
        <x:v>ledger</x:v>
      </x:c>
      <x:c r="G1700" s="10" t="str">
        <x:v>expense_recurring</x:v>
      </x:c>
      <x:c r="H1700" s="10" t="str">
        <x:v>flow</x:v>
      </x:c>
      <x:c r="I1700" s="10" t="n">
        <x:f>'05_Efectos'!$E$92</x:f>
        <x:v>30</x:v>
      </x:c>
      <x:c r="J1700" s="10" t="str">
        <x:v>true</x:v>
      </x:c>
      <x:c r="K1700" s="10" t="str">
        <x:v>Flujo explícito; afecta caja y cálculo fiscal durante su vigencia.</x:v>
      </x:c>
    </x:row>
    <x:row r="1701" ht="57" customHeight="1">
      <x:c r="A1701" s="5" t="str">
        <x:v>S2_VIAL</x:v>
      </x:c>
      <x:c r="B1701" s="5" t="n">
        <x:v>2</x:v>
      </x:c>
      <x:c r="C1701" s="5" t="n">
        <x:v>7</x:v>
      </x:c>
      <x:c r="D1701" s="5" t="str">
        <x:v>e087</x:v>
      </x:c>
      <x:c r="E1701" s="5" t="str">
        <x:v>infraestructura_vial</x:v>
      </x:c>
      <x:c r="F1701" s="5" t="str">
        <x:v>ledger</x:v>
      </x:c>
      <x:c r="G1701" s="5" t="str">
        <x:v>expense_recurring</x:v>
      </x:c>
      <x:c r="H1701" s="5" t="str">
        <x:v>flow</x:v>
      </x:c>
      <x:c r="I1701" s="5" t="n">
        <x:f>'05_Efectos'!$E$92</x:f>
        <x:v>30</x:v>
      </x:c>
      <x:c r="J1701" s="5" t="str">
        <x:v>true</x:v>
      </x:c>
      <x:c r="K1701" s="5" t="str">
        <x:v>Flujo explícito; afecta caja y cálculo fiscal durante su vigencia.</x:v>
      </x:c>
    </x:row>
    <x:row r="1702" ht="57" customHeight="1">
      <x:c r="A1702" s="10" t="str">
        <x:v>S2_VIAL</x:v>
      </x:c>
      <x:c r="B1702" s="10" t="n">
        <x:v>2</x:v>
      </x:c>
      <x:c r="C1702" s="10" t="n">
        <x:v>8</x:v>
      </x:c>
      <x:c r="D1702" s="10" t="str">
        <x:v>e087</x:v>
      </x:c>
      <x:c r="E1702" s="10" t="str">
        <x:v>infraestructura_vial</x:v>
      </x:c>
      <x:c r="F1702" s="10" t="str">
        <x:v>ledger</x:v>
      </x:c>
      <x:c r="G1702" s="10" t="str">
        <x:v>expense_recurring</x:v>
      </x:c>
      <x:c r="H1702" s="10" t="str">
        <x:v>flow</x:v>
      </x:c>
      <x:c r="I1702" s="10" t="n">
        <x:f>'05_Efectos'!$E$92</x:f>
        <x:v>30</x:v>
      </x:c>
      <x:c r="J1702" s="10" t="str">
        <x:v>true</x:v>
      </x:c>
      <x:c r="K1702" s="10" t="str">
        <x:v>Flujo explícito; afecta caja y cálculo fiscal durante su vigencia.</x:v>
      </x:c>
    </x:row>
    <x:row r="1703" ht="57" customHeight="1">
      <x:c r="A1703" s="5" t="str">
        <x:v>S2_VIAL</x:v>
      </x:c>
      <x:c r="B1703" s="5" t="n">
        <x:v>2</x:v>
      </x:c>
      <x:c r="C1703" s="5" t="n">
        <x:v>9</x:v>
      </x:c>
      <x:c r="D1703" s="5" t="str">
        <x:v>e087</x:v>
      </x:c>
      <x:c r="E1703" s="5" t="str">
        <x:v>infraestructura_vial</x:v>
      </x:c>
      <x:c r="F1703" s="5" t="str">
        <x:v>ledger</x:v>
      </x:c>
      <x:c r="G1703" s="5" t="str">
        <x:v>expense_recurring</x:v>
      </x:c>
      <x:c r="H1703" s="5" t="str">
        <x:v>flow</x:v>
      </x:c>
      <x:c r="I1703" s="5" t="n">
        <x:f>'05_Efectos'!$E$92</x:f>
        <x:v>30</x:v>
      </x:c>
      <x:c r="J1703" s="5" t="str">
        <x:v>true</x:v>
      </x:c>
      <x:c r="K1703" s="5" t="str">
        <x:v>Flujo explícito; afecta caja y cálculo fiscal durante su vigencia.</x:v>
      </x:c>
    </x:row>
    <x:row r="1704" ht="57" customHeight="1">
      <x:c r="A1704" s="10" t="str">
        <x:v>S2_VIAL</x:v>
      </x:c>
      <x:c r="B1704" s="10" t="n">
        <x:v>2</x:v>
      </x:c>
      <x:c r="C1704" s="10" t="n">
        <x:v>10</x:v>
      </x:c>
      <x:c r="D1704" s="10" t="str">
        <x:v>e087</x:v>
      </x:c>
      <x:c r="E1704" s="10" t="str">
        <x:v>infraestructura_vial</x:v>
      </x:c>
      <x:c r="F1704" s="10" t="str">
        <x:v>ledger</x:v>
      </x:c>
      <x:c r="G1704" s="10" t="str">
        <x:v>expense_recurring</x:v>
      </x:c>
      <x:c r="H1704" s="10" t="str">
        <x:v>flow</x:v>
      </x:c>
      <x:c r="I1704" s="10" t="n">
        <x:f>'05_Efectos'!$E$92</x:f>
        <x:v>30</x:v>
      </x:c>
      <x:c r="J1704" s="10" t="str">
        <x:v>true</x:v>
      </x:c>
      <x:c r="K1704" s="10" t="str">
        <x:v>Flujo explícito; afecta caja y cálculo fiscal durante su vigencia.</x:v>
      </x:c>
    </x:row>
    <x:row r="1705" ht="72" customHeight="1">
      <x:c r="A1705" s="5" t="str">
        <x:v>S3_SALARIO</x:v>
      </x:c>
      <x:c r="B1705" s="5" t="n">
        <x:v>2</x:v>
      </x:c>
      <x:c r="C1705" s="5" t="n">
        <x:v>2</x:v>
      </x:c>
      <x:c r="D1705" s="5" t="str">
        <x:v>e022</x:v>
      </x:c>
      <x:c r="E1705" s="5" t="str">
        <x:v>aumento_salarial</x:v>
      </x:c>
      <x:c r="F1705" s="5" t="str">
        <x:v>ledger</x:v>
      </x:c>
      <x:c r="G1705" s="5" t="str">
        <x:v>expense_once</x:v>
      </x:c>
      <x:c r="H1705" s="5" t="str">
        <x:v>flow</x:v>
      </x:c>
      <x:c r="I1705" s="5" t="n">
        <x:f>'05_Efectos'!$E$27</x:f>
        <x:v>80</x:v>
      </x:c>
      <x:c r="J1705" s="5" t="str">
        <x:v>true</x:v>
      </x:c>
      <x:c r="K1705" s="5" t="str">
        <x:v>Coste administrativo o programa. No se duplica con la columna fiscal de 04.</x:v>
      </x:c>
    </x:row>
    <x:row r="1706" ht="42" customHeight="1">
      <x:c r="A1706" s="10" t="str">
        <x:v>S3_SALARIO</x:v>
      </x:c>
      <x:c r="B1706" s="10" t="n">
        <x:v>2</x:v>
      </x:c>
      <x:c r="C1706" s="10" t="n">
        <x:v>2</x:v>
      </x:c>
      <x:c r="D1706" s="10" t="str">
        <x:v>e023</x:v>
      </x:c>
      <x:c r="E1706" s="10" t="str">
        <x:v>aumento_salarial</x:v>
      </x:c>
      <x:c r="F1706" s="10" t="str">
        <x:v>indicator</x:v>
      </x:c>
      <x:c r="G1706" s="10" t="str">
        <x:v>ingreso_real</x:v>
      </x:c>
      <x:c r="H1706" s="10" t="str">
        <x:v>pulse</x:v>
      </x:c>
      <x:c r="I1706" s="10" t="n">
        <x:f>'05_Efectos'!$E$28</x:f>
        <x:v>5</x:v>
      </x:c>
      <x:c r="J1706" s="10" t="str">
        <x:v>true</x:v>
      </x:c>
      <x:c r="K1706" s="10" t="str">
        <x:v>Resultado explícito del catálogo</x:v>
      </x:c>
    </x:row>
    <x:row r="1707" ht="57" customHeight="1">
      <x:c r="A1707" s="5" t="str">
        <x:v>S3_SALARIO</x:v>
      </x:c>
      <x:c r="B1707" s="5" t="n">
        <x:v>2</x:v>
      </x:c>
      <x:c r="C1707" s="5" t="n">
        <x:v>3</x:v>
      </x:c>
      <x:c r="D1707" s="5" t="str">
        <x:v>e024</x:v>
      </x:c>
      <x:c r="E1707" s="5" t="str">
        <x:v>aumento_salarial</x:v>
      </x:c>
      <x:c r="F1707" s="5" t="str">
        <x:v>ledger</x:v>
      </x:c>
      <x:c r="G1707" s="5" t="str">
        <x:v>expense_recurring</x:v>
      </x:c>
      <x:c r="H1707" s="5" t="str">
        <x:v>flow</x:v>
      </x:c>
      <x:c r="I1707" s="5" t="n">
        <x:f>'05_Efectos'!$E$29</x:f>
        <x:v>60</x:v>
      </x:c>
      <x:c r="J1707" s="5" t="str">
        <x:v>true</x:v>
      </x:c>
      <x:c r="K1707" s="5" t="str">
        <x:v>Flujo explícito; afecta caja y cálculo fiscal durante su vigencia.</x:v>
      </x:c>
    </x:row>
    <x:row r="1708" ht="57" customHeight="1">
      <x:c r="A1708" s="10" t="str">
        <x:v>S3_SALARIO</x:v>
      </x:c>
      <x:c r="B1708" s="10" t="n">
        <x:v>2</x:v>
      </x:c>
      <x:c r="C1708" s="10" t="n">
        <x:v>4</x:v>
      </x:c>
      <x:c r="D1708" s="10" t="str">
        <x:v>e024</x:v>
      </x:c>
      <x:c r="E1708" s="10" t="str">
        <x:v>aumento_salarial</x:v>
      </x:c>
      <x:c r="F1708" s="10" t="str">
        <x:v>ledger</x:v>
      </x:c>
      <x:c r="G1708" s="10" t="str">
        <x:v>expense_recurring</x:v>
      </x:c>
      <x:c r="H1708" s="10" t="str">
        <x:v>flow</x:v>
      </x:c>
      <x:c r="I1708" s="10" t="n">
        <x:f>'05_Efectos'!$E$29</x:f>
        <x:v>60</x:v>
      </x:c>
      <x:c r="J1708" s="10" t="str">
        <x:v>true</x:v>
      </x:c>
      <x:c r="K1708" s="10" t="str">
        <x:v>Flujo explícito; afecta caja y cálculo fiscal durante su vigencia.</x:v>
      </x:c>
    </x:row>
    <x:row r="1709" ht="57" customHeight="1">
      <x:c r="A1709" s="5" t="str">
        <x:v>S3_SALARIO</x:v>
      </x:c>
      <x:c r="B1709" s="5" t="n">
        <x:v>2</x:v>
      </x:c>
      <x:c r="C1709" s="5" t="n">
        <x:v>5</x:v>
      </x:c>
      <x:c r="D1709" s="5" t="str">
        <x:v>e024</x:v>
      </x:c>
      <x:c r="E1709" s="5" t="str">
        <x:v>aumento_salarial</x:v>
      </x:c>
      <x:c r="F1709" s="5" t="str">
        <x:v>ledger</x:v>
      </x:c>
      <x:c r="G1709" s="5" t="str">
        <x:v>expense_recurring</x:v>
      </x:c>
      <x:c r="H1709" s="5" t="str">
        <x:v>flow</x:v>
      </x:c>
      <x:c r="I1709" s="5" t="n">
        <x:f>'05_Efectos'!$E$29</x:f>
        <x:v>60</x:v>
      </x:c>
      <x:c r="J1709" s="5" t="str">
        <x:v>true</x:v>
      </x:c>
      <x:c r="K1709" s="5" t="str">
        <x:v>Flujo explícito; afecta caja y cálculo fiscal durante su vigencia.</x:v>
      </x:c>
    </x:row>
    <x:row r="1710" ht="57" customHeight="1">
      <x:c r="A1710" s="10" t="str">
        <x:v>S3_SALARIO</x:v>
      </x:c>
      <x:c r="B1710" s="10" t="n">
        <x:v>2</x:v>
      </x:c>
      <x:c r="C1710" s="10" t="n">
        <x:v>6</x:v>
      </x:c>
      <x:c r="D1710" s="10" t="str">
        <x:v>e024</x:v>
      </x:c>
      <x:c r="E1710" s="10" t="str">
        <x:v>aumento_salarial</x:v>
      </x:c>
      <x:c r="F1710" s="10" t="str">
        <x:v>ledger</x:v>
      </x:c>
      <x:c r="G1710" s="10" t="str">
        <x:v>expense_recurring</x:v>
      </x:c>
      <x:c r="H1710" s="10" t="str">
        <x:v>flow</x:v>
      </x:c>
      <x:c r="I1710" s="10" t="n">
        <x:f>'05_Efectos'!$E$29</x:f>
        <x:v>60</x:v>
      </x:c>
      <x:c r="J1710" s="10" t="str">
        <x:v>true</x:v>
      </x:c>
      <x:c r="K1710" s="10" t="str">
        <x:v>Flujo explícito; afecta caja y cálculo fiscal durante su vigencia.</x:v>
      </x:c>
    </x:row>
    <x:row r="1711" ht="57" customHeight="1">
      <x:c r="A1711" s="5" t="str">
        <x:v>S3_SALARIO</x:v>
      </x:c>
      <x:c r="B1711" s="5" t="n">
        <x:v>2</x:v>
      </x:c>
      <x:c r="C1711" s="5" t="n">
        <x:v>7</x:v>
      </x:c>
      <x:c r="D1711" s="5" t="str">
        <x:v>e024</x:v>
      </x:c>
      <x:c r="E1711" s="5" t="str">
        <x:v>aumento_salarial</x:v>
      </x:c>
      <x:c r="F1711" s="5" t="str">
        <x:v>ledger</x:v>
      </x:c>
      <x:c r="G1711" s="5" t="str">
        <x:v>expense_recurring</x:v>
      </x:c>
      <x:c r="H1711" s="5" t="str">
        <x:v>flow</x:v>
      </x:c>
      <x:c r="I1711" s="5" t="n">
        <x:f>'05_Efectos'!$E$29</x:f>
        <x:v>60</x:v>
      </x:c>
      <x:c r="J1711" s="5" t="str">
        <x:v>true</x:v>
      </x:c>
      <x:c r="K1711" s="5" t="str">
        <x:v>Flujo explícito; afecta caja y cálculo fiscal durante su vigencia.</x:v>
      </x:c>
    </x:row>
    <x:row r="1712" ht="57" customHeight="1">
      <x:c r="A1712" s="10" t="str">
        <x:v>S3_SALARIO</x:v>
      </x:c>
      <x:c r="B1712" s="10" t="n">
        <x:v>2</x:v>
      </x:c>
      <x:c r="C1712" s="10" t="n">
        <x:v>8</x:v>
      </x:c>
      <x:c r="D1712" s="10" t="str">
        <x:v>e024</x:v>
      </x:c>
      <x:c r="E1712" s="10" t="str">
        <x:v>aumento_salarial</x:v>
      </x:c>
      <x:c r="F1712" s="10" t="str">
        <x:v>ledger</x:v>
      </x:c>
      <x:c r="G1712" s="10" t="str">
        <x:v>expense_recurring</x:v>
      </x:c>
      <x:c r="H1712" s="10" t="str">
        <x:v>flow</x:v>
      </x:c>
      <x:c r="I1712" s="10" t="n">
        <x:f>'05_Efectos'!$E$29</x:f>
        <x:v>60</x:v>
      </x:c>
      <x:c r="J1712" s="10" t="str">
        <x:v>true</x:v>
      </x:c>
      <x:c r="K1712" s="10" t="str">
        <x:v>Flujo explícito; afecta caja y cálculo fiscal durante su vigencia.</x:v>
      </x:c>
    </x:row>
    <x:row r="1713" ht="57" customHeight="1">
      <x:c r="A1713" s="5" t="str">
        <x:v>S3_SALARIO</x:v>
      </x:c>
      <x:c r="B1713" s="5" t="n">
        <x:v>2</x:v>
      </x:c>
      <x:c r="C1713" s="5" t="n">
        <x:v>9</x:v>
      </x:c>
      <x:c r="D1713" s="5" t="str">
        <x:v>e024</x:v>
      </x:c>
      <x:c r="E1713" s="5" t="str">
        <x:v>aumento_salarial</x:v>
      </x:c>
      <x:c r="F1713" s="5" t="str">
        <x:v>ledger</x:v>
      </x:c>
      <x:c r="G1713" s="5" t="str">
        <x:v>expense_recurring</x:v>
      </x:c>
      <x:c r="H1713" s="5" t="str">
        <x:v>flow</x:v>
      </x:c>
      <x:c r="I1713" s="5" t="n">
        <x:f>'05_Efectos'!$E$29</x:f>
        <x:v>60</x:v>
      </x:c>
      <x:c r="J1713" s="5" t="str">
        <x:v>true</x:v>
      </x:c>
      <x:c r="K1713" s="5" t="str">
        <x:v>Flujo explícito; afecta caja y cálculo fiscal durante su vigencia.</x:v>
      </x:c>
    </x:row>
    <x:row r="1714" ht="57" customHeight="1">
      <x:c r="A1714" s="10" t="str">
        <x:v>S3_SALARIO</x:v>
      </x:c>
      <x:c r="B1714" s="10" t="n">
        <x:v>2</x:v>
      </x:c>
      <x:c r="C1714" s="10" t="n">
        <x:v>10</x:v>
      </x:c>
      <x:c r="D1714" s="10" t="str">
        <x:v>e024</x:v>
      </x:c>
      <x:c r="E1714" s="10" t="str">
        <x:v>aumento_salarial</x:v>
      </x:c>
      <x:c r="F1714" s="10" t="str">
        <x:v>ledger</x:v>
      </x:c>
      <x:c r="G1714" s="10" t="str">
        <x:v>expense_recurring</x:v>
      </x:c>
      <x:c r="H1714" s="10" t="str">
        <x:v>flow</x:v>
      </x:c>
      <x:c r="I1714" s="10" t="n">
        <x:f>'05_Efectos'!$E$29</x:f>
        <x:v>60</x:v>
      </x:c>
      <x:c r="J1714" s="10" t="str">
        <x:v>true</x:v>
      </x:c>
      <x:c r="K1714" s="10" t="str">
        <x:v>Flujo explícito; afecta caja y cálculo fiscal durante su vigencia.</x:v>
      </x:c>
    </x:row>
    <x:row r="1715" ht="42" customHeight="1">
      <x:c r="A1715" s="5" t="str">
        <x:v>S3_SALARIO</x:v>
      </x:c>
      <x:c r="B1715" s="5" t="n">
        <x:v>2</x:v>
      </x:c>
      <x:c r="C1715" s="5" t="n">
        <x:v>3</x:v>
      </x:c>
      <x:c r="D1715" s="5" t="str">
        <x:v>e025</x:v>
      </x:c>
      <x:c r="E1715" s="5" t="str">
        <x:v>aumento_salarial</x:v>
      </x:c>
      <x:c r="F1715" s="5" t="str">
        <x:v>indicator</x:v>
      </x:c>
      <x:c r="G1715" s="5" t="str">
        <x:v>inflacion</x:v>
      </x:c>
      <x:c r="H1715" s="5" t="str">
        <x:v>pulse</x:v>
      </x:c>
      <x:c r="I1715" s="5" t="n">
        <x:f>IF(AND($K$350&gt;=55),'05_Efectos'!$E$30,0)</x:f>
        <x:v>0</x:v>
      </x:c>
      <x:c r="J1715" s="5" t="str">
        <x:v>pre.actividad&gt;=55</x:v>
      </x:c>
      <x:c r="K1715" s="5" t="str">
        <x:v>Mayor traslado cuando actividad es alta.</x:v>
      </x:c>
    </x:row>
    <x:row r="1716" ht="72" customHeight="1">
      <x:c r="A1716" s="10" t="str">
        <x:v>S3_SALARIO</x:v>
      </x:c>
      <x:c r="B1716" s="10" t="n">
        <x:v>6</x:v>
      </x:c>
      <x:c r="C1716" s="10" t="n">
        <x:v>6</x:v>
      </x:c>
      <x:c r="D1716" s="10" t="str">
        <x:v>e022</x:v>
      </x:c>
      <x:c r="E1716" s="10" t="str">
        <x:v>aumento_salarial</x:v>
      </x:c>
      <x:c r="F1716" s="10" t="str">
        <x:v>ledger</x:v>
      </x:c>
      <x:c r="G1716" s="10" t="str">
        <x:v>expense_once</x:v>
      </x:c>
      <x:c r="H1716" s="10" t="str">
        <x:v>flow</x:v>
      </x:c>
      <x:c r="I1716" s="10" t="n">
        <x:f>'05_Efectos'!$E$27</x:f>
        <x:v>80</x:v>
      </x:c>
      <x:c r="J1716" s="10" t="str">
        <x:v>true</x:v>
      </x:c>
      <x:c r="K1716" s="10" t="str">
        <x:v>Coste administrativo o programa. No se duplica con la columna fiscal de 04.</x:v>
      </x:c>
    </x:row>
    <x:row r="1717" ht="42" customHeight="1">
      <x:c r="A1717" s="5" t="str">
        <x:v>S3_SALARIO</x:v>
      </x:c>
      <x:c r="B1717" s="5" t="n">
        <x:v>6</x:v>
      </x:c>
      <x:c r="C1717" s="5" t="n">
        <x:v>6</x:v>
      </x:c>
      <x:c r="D1717" s="5" t="str">
        <x:v>e023</x:v>
      </x:c>
      <x:c r="E1717" s="5" t="str">
        <x:v>aumento_salarial</x:v>
      </x:c>
      <x:c r="F1717" s="5" t="str">
        <x:v>indicator</x:v>
      </x:c>
      <x:c r="G1717" s="5" t="str">
        <x:v>ingreso_real</x:v>
      </x:c>
      <x:c r="H1717" s="5" t="str">
        <x:v>pulse</x:v>
      </x:c>
      <x:c r="I1717" s="5" t="n">
        <x:f>'05_Efectos'!$E$28</x:f>
        <x:v>5</x:v>
      </x:c>
      <x:c r="J1717" s="5" t="str">
        <x:v>true</x:v>
      </x:c>
      <x:c r="K1717" s="5" t="str">
        <x:v>Resultado explícito del catálogo</x:v>
      </x:c>
    </x:row>
    <x:row r="1718" ht="57" customHeight="1">
      <x:c r="A1718" s="10" t="str">
        <x:v>S3_SALARIO</x:v>
      </x:c>
      <x:c r="B1718" s="10" t="n">
        <x:v>6</x:v>
      </x:c>
      <x:c r="C1718" s="10" t="n">
        <x:v>7</x:v>
      </x:c>
      <x:c r="D1718" s="10" t="str">
        <x:v>e024</x:v>
      </x:c>
      <x:c r="E1718" s="10" t="str">
        <x:v>aumento_salarial</x:v>
      </x:c>
      <x:c r="F1718" s="10" t="str">
        <x:v>ledger</x:v>
      </x:c>
      <x:c r="G1718" s="10" t="str">
        <x:v>expense_recurring</x:v>
      </x:c>
      <x:c r="H1718" s="10" t="str">
        <x:v>flow</x:v>
      </x:c>
      <x:c r="I1718" s="10" t="n">
        <x:f>'05_Efectos'!$E$29</x:f>
        <x:v>60</x:v>
      </x:c>
      <x:c r="J1718" s="10" t="str">
        <x:v>true</x:v>
      </x:c>
      <x:c r="K1718" s="10" t="str">
        <x:v>Flujo explícito; afecta caja y cálculo fiscal durante su vigencia.</x:v>
      </x:c>
    </x:row>
    <x:row r="1719" ht="57" customHeight="1">
      <x:c r="A1719" s="5" t="str">
        <x:v>S3_SALARIO</x:v>
      </x:c>
      <x:c r="B1719" s="5" t="n">
        <x:v>6</x:v>
      </x:c>
      <x:c r="C1719" s="5" t="n">
        <x:v>8</x:v>
      </x:c>
      <x:c r="D1719" s="5" t="str">
        <x:v>e024</x:v>
      </x:c>
      <x:c r="E1719" s="5" t="str">
        <x:v>aumento_salarial</x:v>
      </x:c>
      <x:c r="F1719" s="5" t="str">
        <x:v>ledger</x:v>
      </x:c>
      <x:c r="G1719" s="5" t="str">
        <x:v>expense_recurring</x:v>
      </x:c>
      <x:c r="H1719" s="5" t="str">
        <x:v>flow</x:v>
      </x:c>
      <x:c r="I1719" s="5" t="n">
        <x:f>'05_Efectos'!$E$29</x:f>
        <x:v>60</x:v>
      </x:c>
      <x:c r="J1719" s="5" t="str">
        <x:v>true</x:v>
      </x:c>
      <x:c r="K1719" s="5" t="str">
        <x:v>Flujo explícito; afecta caja y cálculo fiscal durante su vigencia.</x:v>
      </x:c>
    </x:row>
    <x:row r="1720" ht="57" customHeight="1">
      <x:c r="A1720" s="10" t="str">
        <x:v>S3_SALARIO</x:v>
      </x:c>
      <x:c r="B1720" s="10" t="n">
        <x:v>6</x:v>
      </x:c>
      <x:c r="C1720" s="10" t="n">
        <x:v>9</x:v>
      </x:c>
      <x:c r="D1720" s="10" t="str">
        <x:v>e024</x:v>
      </x:c>
      <x:c r="E1720" s="10" t="str">
        <x:v>aumento_salarial</x:v>
      </x:c>
      <x:c r="F1720" s="10" t="str">
        <x:v>ledger</x:v>
      </x:c>
      <x:c r="G1720" s="10" t="str">
        <x:v>expense_recurring</x:v>
      </x:c>
      <x:c r="H1720" s="10" t="str">
        <x:v>flow</x:v>
      </x:c>
      <x:c r="I1720" s="10" t="n">
        <x:f>'05_Efectos'!$E$29</x:f>
        <x:v>60</x:v>
      </x:c>
      <x:c r="J1720" s="10" t="str">
        <x:v>true</x:v>
      </x:c>
      <x:c r="K1720" s="10" t="str">
        <x:v>Flujo explícito; afecta caja y cálculo fiscal durante su vigencia.</x:v>
      </x:c>
    </x:row>
    <x:row r="1721" ht="57" customHeight="1">
      <x:c r="A1721" s="5" t="str">
        <x:v>S3_SALARIO</x:v>
      </x:c>
      <x:c r="B1721" s="5" t="n">
        <x:v>6</x:v>
      </x:c>
      <x:c r="C1721" s="5" t="n">
        <x:v>10</x:v>
      </x:c>
      <x:c r="D1721" s="5" t="str">
        <x:v>e024</x:v>
      </x:c>
      <x:c r="E1721" s="5" t="str">
        <x:v>aumento_salarial</x:v>
      </x:c>
      <x:c r="F1721" s="5" t="str">
        <x:v>ledger</x:v>
      </x:c>
      <x:c r="G1721" s="5" t="str">
        <x:v>expense_recurring</x:v>
      </x:c>
      <x:c r="H1721" s="5" t="str">
        <x:v>flow</x:v>
      </x:c>
      <x:c r="I1721" s="5" t="n">
        <x:f>'05_Efectos'!$E$29</x:f>
        <x:v>60</x:v>
      </x:c>
      <x:c r="J1721" s="5" t="str">
        <x:v>true</x:v>
      </x:c>
      <x:c r="K1721" s="5" t="str">
        <x:v>Flujo explícito; afecta caja y cálculo fiscal durante su vigencia.</x:v>
      </x:c>
    </x:row>
    <x:row r="1722" ht="42" customHeight="1">
      <x:c r="A1722" s="10" t="str">
        <x:v>S3_SALARIO</x:v>
      </x:c>
      <x:c r="B1722" s="10" t="n">
        <x:v>6</x:v>
      </x:c>
      <x:c r="C1722" s="10" t="n">
        <x:v>7</x:v>
      </x:c>
      <x:c r="D1722" s="10" t="str">
        <x:v>e025</x:v>
      </x:c>
      <x:c r="E1722" s="10" t="str">
        <x:v>aumento_salarial</x:v>
      </x:c>
      <x:c r="F1722" s="10" t="str">
        <x:v>indicator</x:v>
      </x:c>
      <x:c r="G1722" s="10" t="str">
        <x:v>inflacion</x:v>
      </x:c>
      <x:c r="H1722" s="10" t="str">
        <x:v>pulse</x:v>
      </x:c>
      <x:c r="I1722" s="10" t="n">
        <x:f>IF(AND($K$406&gt;=55),'05_Efectos'!$E$30,0)</x:f>
        <x:v>0</x:v>
      </x:c>
      <x:c r="J1722" s="10" t="str">
        <x:v>pre.actividad&gt;=55</x:v>
      </x:c>
      <x:c r="K1722" s="10" t="str">
        <x:v>Mayor traslado cuando actividad es alta.</x:v>
      </x:c>
    </x:row>
    <x:row r="1723" ht="72" customHeight="1">
      <x:c r="A1723" s="5" t="str">
        <x:v>S4_PRESTAMO</x:v>
      </x:c>
      <x:c r="B1723" s="5" t="n">
        <x:v>1</x:v>
      </x:c>
      <x:c r="C1723" s="5" t="n">
        <x:v>1</x:v>
      </x:c>
      <x:c r="D1723" s="5" t="str">
        <x:v>e005</x:v>
      </x:c>
      <x:c r="E1723" s="5" t="str">
        <x:v>mejorar_recaudacion</x:v>
      </x:c>
      <x:c r="F1723" s="5" t="str">
        <x:v>ledger</x:v>
      </x:c>
      <x:c r="G1723" s="5" t="str">
        <x:v>expense_once</x:v>
      </x:c>
      <x:c r="H1723" s="5" t="str">
        <x:v>flow</x:v>
      </x:c>
      <x:c r="I1723" s="5" t="n">
        <x:f>'05_Efectos'!$E$10</x:f>
        <x:v>100</x:v>
      </x:c>
      <x:c r="J1723" s="5" t="str">
        <x:v>true</x:v>
      </x:c>
      <x:c r="K1723" s="5" t="str">
        <x:v>Coste administrativo o programa. No se duplica con la columna fiscal de 04.</x:v>
      </x:c>
    </x:row>
    <x:row r="1724" ht="57" customHeight="1">
      <x:c r="A1724" s="10" t="str">
        <x:v>S4_PRESTAMO</x:v>
      </x:c>
      <x:c r="B1724" s="10" t="n">
        <x:v>1</x:v>
      </x:c>
      <x:c r="C1724" s="10" t="n">
        <x:v>3</x:v>
      </x:c>
      <x:c r="D1724" s="10" t="str">
        <x:v>e006</x:v>
      </x:c>
      <x:c r="E1724" s="10" t="str">
        <x:v>mejorar_recaudacion</x:v>
      </x:c>
      <x:c r="F1724" s="10" t="str">
        <x:v>ledger</x:v>
      </x:c>
      <x:c r="G1724" s="10" t="str">
        <x:v>revenue_recurring</x:v>
      </x:c>
      <x:c r="H1724" s="10" t="str">
        <x:v>flow</x:v>
      </x:c>
      <x:c r="I1724" s="10" t="n">
        <x:f>'05_Efectos'!$E$11</x:f>
        <x:v>70</x:v>
      </x:c>
      <x:c r="J1724" s="10" t="str">
        <x:v>true</x:v>
      </x:c>
      <x:c r="K1724" s="10" t="str">
        <x:v>Flujo explícito; afecta caja y cálculo fiscal durante su vigencia.</x:v>
      </x:c>
    </x:row>
    <x:row r="1725" ht="57" customHeight="1">
      <x:c r="A1725" s="5" t="str">
        <x:v>S4_PRESTAMO</x:v>
      </x:c>
      <x:c r="B1725" s="5" t="n">
        <x:v>1</x:v>
      </x:c>
      <x:c r="C1725" s="5" t="n">
        <x:v>4</x:v>
      </x:c>
      <x:c r="D1725" s="5" t="str">
        <x:v>e006</x:v>
      </x:c>
      <x:c r="E1725" s="5" t="str">
        <x:v>mejorar_recaudacion</x:v>
      </x:c>
      <x:c r="F1725" s="5" t="str">
        <x:v>ledger</x:v>
      </x:c>
      <x:c r="G1725" s="5" t="str">
        <x:v>revenue_recurring</x:v>
      </x:c>
      <x:c r="H1725" s="5" t="str">
        <x:v>flow</x:v>
      </x:c>
      <x:c r="I1725" s="5" t="n">
        <x:f>'05_Efectos'!$E$11</x:f>
        <x:v>70</x:v>
      </x:c>
      <x:c r="J1725" s="5" t="str">
        <x:v>true</x:v>
      </x:c>
      <x:c r="K1725" s="5" t="str">
        <x:v>Flujo explícito; afecta caja y cálculo fiscal durante su vigencia.</x:v>
      </x:c>
    </x:row>
    <x:row r="1726" ht="57" customHeight="1">
      <x:c r="A1726" s="10" t="str">
        <x:v>S4_PRESTAMO</x:v>
      </x:c>
      <x:c r="B1726" s="10" t="n">
        <x:v>1</x:v>
      </x:c>
      <x:c r="C1726" s="10" t="n">
        <x:v>5</x:v>
      </x:c>
      <x:c r="D1726" s="10" t="str">
        <x:v>e006</x:v>
      </x:c>
      <x:c r="E1726" s="10" t="str">
        <x:v>mejorar_recaudacion</x:v>
      </x:c>
      <x:c r="F1726" s="10" t="str">
        <x:v>ledger</x:v>
      </x:c>
      <x:c r="G1726" s="10" t="str">
        <x:v>revenue_recurring</x:v>
      </x:c>
      <x:c r="H1726" s="10" t="str">
        <x:v>flow</x:v>
      </x:c>
      <x:c r="I1726" s="10" t="n">
        <x:f>'05_Efectos'!$E$11</x:f>
        <x:v>70</x:v>
      </x:c>
      <x:c r="J1726" s="10" t="str">
        <x:v>true</x:v>
      </x:c>
      <x:c r="K1726" s="10" t="str">
        <x:v>Flujo explícito; afecta caja y cálculo fiscal durante su vigencia.</x:v>
      </x:c>
    </x:row>
    <x:row r="1727" ht="57" customHeight="1">
      <x:c r="A1727" s="5" t="str">
        <x:v>S4_PRESTAMO</x:v>
      </x:c>
      <x:c r="B1727" s="5" t="n">
        <x:v>1</x:v>
      </x:c>
      <x:c r="C1727" s="5" t="n">
        <x:v>6</x:v>
      </x:c>
      <x:c r="D1727" s="5" t="str">
        <x:v>e006</x:v>
      </x:c>
      <x:c r="E1727" s="5" t="str">
        <x:v>mejorar_recaudacion</x:v>
      </x:c>
      <x:c r="F1727" s="5" t="str">
        <x:v>ledger</x:v>
      </x:c>
      <x:c r="G1727" s="5" t="str">
        <x:v>revenue_recurring</x:v>
      </x:c>
      <x:c r="H1727" s="5" t="str">
        <x:v>flow</x:v>
      </x:c>
      <x:c r="I1727" s="5" t="n">
        <x:f>'05_Efectos'!$E$11</x:f>
        <x:v>70</x:v>
      </x:c>
      <x:c r="J1727" s="5" t="str">
        <x:v>true</x:v>
      </x:c>
      <x:c r="K1727" s="5" t="str">
        <x:v>Flujo explícito; afecta caja y cálculo fiscal durante su vigencia.</x:v>
      </x:c>
    </x:row>
    <x:row r="1728" ht="57" customHeight="1">
      <x:c r="A1728" s="10" t="str">
        <x:v>S4_PRESTAMO</x:v>
      </x:c>
      <x:c r="B1728" s="10" t="n">
        <x:v>1</x:v>
      </x:c>
      <x:c r="C1728" s="10" t="n">
        <x:v>7</x:v>
      </x:c>
      <x:c r="D1728" s="10" t="str">
        <x:v>e006</x:v>
      </x:c>
      <x:c r="E1728" s="10" t="str">
        <x:v>mejorar_recaudacion</x:v>
      </x:c>
      <x:c r="F1728" s="10" t="str">
        <x:v>ledger</x:v>
      </x:c>
      <x:c r="G1728" s="10" t="str">
        <x:v>revenue_recurring</x:v>
      </x:c>
      <x:c r="H1728" s="10" t="str">
        <x:v>flow</x:v>
      </x:c>
      <x:c r="I1728" s="10" t="n">
        <x:f>'05_Efectos'!$E$11</x:f>
        <x:v>70</x:v>
      </x:c>
      <x:c r="J1728" s="10" t="str">
        <x:v>true</x:v>
      </x:c>
      <x:c r="K1728" s="10" t="str">
        <x:v>Flujo explícito; afecta caja y cálculo fiscal durante su vigencia.</x:v>
      </x:c>
    </x:row>
    <x:row r="1729" ht="57" customHeight="1">
      <x:c r="A1729" s="5" t="str">
        <x:v>S4_PRESTAMO</x:v>
      </x:c>
      <x:c r="B1729" s="5" t="n">
        <x:v>1</x:v>
      </x:c>
      <x:c r="C1729" s="5" t="n">
        <x:v>8</x:v>
      </x:c>
      <x:c r="D1729" s="5" t="str">
        <x:v>e006</x:v>
      </x:c>
      <x:c r="E1729" s="5" t="str">
        <x:v>mejorar_recaudacion</x:v>
      </x:c>
      <x:c r="F1729" s="5" t="str">
        <x:v>ledger</x:v>
      </x:c>
      <x:c r="G1729" s="5" t="str">
        <x:v>revenue_recurring</x:v>
      </x:c>
      <x:c r="H1729" s="5" t="str">
        <x:v>flow</x:v>
      </x:c>
      <x:c r="I1729" s="5" t="n">
        <x:f>'05_Efectos'!$E$11</x:f>
        <x:v>70</x:v>
      </x:c>
      <x:c r="J1729" s="5" t="str">
        <x:v>true</x:v>
      </x:c>
      <x:c r="K1729" s="5" t="str">
        <x:v>Flujo explícito; afecta caja y cálculo fiscal durante su vigencia.</x:v>
      </x:c>
    </x:row>
    <x:row r="1730" ht="57" customHeight="1">
      <x:c r="A1730" s="10" t="str">
        <x:v>S4_PRESTAMO</x:v>
      </x:c>
      <x:c r="B1730" s="10" t="n">
        <x:v>1</x:v>
      </x:c>
      <x:c r="C1730" s="10" t="n">
        <x:v>9</x:v>
      </x:c>
      <x:c r="D1730" s="10" t="str">
        <x:v>e006</x:v>
      </x:c>
      <x:c r="E1730" s="10" t="str">
        <x:v>mejorar_recaudacion</x:v>
      </x:c>
      <x:c r="F1730" s="10" t="str">
        <x:v>ledger</x:v>
      </x:c>
      <x:c r="G1730" s="10" t="str">
        <x:v>revenue_recurring</x:v>
      </x:c>
      <x:c r="H1730" s="10" t="str">
        <x:v>flow</x:v>
      </x:c>
      <x:c r="I1730" s="10" t="n">
        <x:f>'05_Efectos'!$E$11</x:f>
        <x:v>70</x:v>
      </x:c>
      <x:c r="J1730" s="10" t="str">
        <x:v>true</x:v>
      </x:c>
      <x:c r="K1730" s="10" t="str">
        <x:v>Flujo explícito; afecta caja y cálculo fiscal durante su vigencia.</x:v>
      </x:c>
    </x:row>
    <x:row r="1731" ht="57" customHeight="1">
      <x:c r="A1731" s="5" t="str">
        <x:v>S4_PRESTAMO</x:v>
      </x:c>
      <x:c r="B1731" s="5" t="n">
        <x:v>1</x:v>
      </x:c>
      <x:c r="C1731" s="5" t="n">
        <x:v>10</x:v>
      </x:c>
      <x:c r="D1731" s="5" t="str">
        <x:v>e006</x:v>
      </x:c>
      <x:c r="E1731" s="5" t="str">
        <x:v>mejorar_recaudacion</x:v>
      </x:c>
      <x:c r="F1731" s="5" t="str">
        <x:v>ledger</x:v>
      </x:c>
      <x:c r="G1731" s="5" t="str">
        <x:v>revenue_recurring</x:v>
      </x:c>
      <x:c r="H1731" s="5" t="str">
        <x:v>flow</x:v>
      </x:c>
      <x:c r="I1731" s="5" t="n">
        <x:f>'05_Efectos'!$E$11</x:f>
        <x:v>70</x:v>
      </x:c>
      <x:c r="J1731" s="5" t="str">
        <x:v>true</x:v>
      </x:c>
      <x:c r="K1731" s="5" t="str">
        <x:v>Flujo explícito; afecta caja y cálculo fiscal durante su vigencia.</x:v>
      </x:c>
    </x:row>
    <x:row r="1732" ht="42" customHeight="1">
      <x:c r="A1732" s="10" t="str">
        <x:v>S4_PRESTAMO</x:v>
      </x:c>
      <x:c r="B1732" s="10" t="n">
        <x:v>1</x:v>
      </x:c>
      <x:c r="C1732" s="10" t="n">
        <x:v>2</x:v>
      </x:c>
      <x:c r="D1732" s="10" t="str">
        <x:v>e007</x:v>
      </x:c>
      <x:c r="E1732" s="10" t="str">
        <x:v>mejorar_recaudacion</x:v>
      </x:c>
      <x:c r="F1732" s="10" t="str">
        <x:v>indicator</x:v>
      </x:c>
      <x:c r="G1732" s="10" t="str">
        <x:v>derechos</x:v>
      </x:c>
      <x:c r="H1732" s="10" t="str">
        <x:v>pulse</x:v>
      </x:c>
      <x:c r="I1732" s="10" t="n">
        <x:f>'05_Efectos'!$E$12</x:f>
        <x:v>2</x:v>
      </x:c>
      <x:c r="J1732" s="10" t="str">
        <x:v>true</x:v>
      </x:c>
      <x:c r="K1732" s="10" t="str">
        <x:v>Resultado explícito del catálogo</x:v>
      </x:c>
    </x:row>
    <x:row r="1733" ht="72" customHeight="1">
      <x:c r="A1733" s="5" t="str">
        <x:v>S5_SEGURIDAD</x:v>
      </x:c>
      <x:c r="B1733" s="5" t="n">
        <x:v>1</x:v>
      </x:c>
      <x:c r="C1733" s="5" t="n">
        <x:v>1</x:v>
      </x:c>
      <x:c r="D1733" s="5" t="str">
        <x:v>e109</x:v>
      </x:c>
      <x:c r="E1733" s="5" t="str">
        <x:v>seguridad_ciudadana</x:v>
      </x:c>
      <x:c r="F1733" s="5" t="str">
        <x:v>ledger</x:v>
      </x:c>
      <x:c r="G1733" s="5" t="str">
        <x:v>expense_once</x:v>
      </x:c>
      <x:c r="H1733" s="5" t="str">
        <x:v>flow</x:v>
      </x:c>
      <x:c r="I1733" s="5" t="n">
        <x:f>'05_Efectos'!$E$114</x:f>
        <x:v>180</x:v>
      </x:c>
      <x:c r="J1733" s="5" t="str">
        <x:v>true</x:v>
      </x:c>
      <x:c r="K1733" s="5" t="str">
        <x:v>Coste administrativo o programa. No se duplica con la columna fiscal de 04.</x:v>
      </x:c>
    </x:row>
    <x:row r="1734" ht="42" customHeight="1">
      <x:c r="A1734" s="10" t="str">
        <x:v>S5_SEGURIDAD</x:v>
      </x:c>
      <x:c r="B1734" s="10" t="n">
        <x:v>1</x:v>
      </x:c>
      <x:c r="C1734" s="10" t="n">
        <x:v>1</x:v>
      </x:c>
      <x:c r="D1734" s="10" t="str">
        <x:v>e110</x:v>
      </x:c>
      <x:c r="E1734" s="10" t="str">
        <x:v>seguridad_ciudadana</x:v>
      </x:c>
      <x:c r="F1734" s="10" t="str">
        <x:v>indicator</x:v>
      </x:c>
      <x:c r="G1734" s="10" t="str">
        <x:v>seguridad</x:v>
      </x:c>
      <x:c r="H1734" s="10" t="str">
        <x:v>offset</x:v>
      </x:c>
      <x:c r="I1734" s="10" t="n">
        <x:f>'05_Efectos'!$E$115</x:f>
        <x:v>5</x:v>
      </x:c>
      <x:c r="J1734" s="10" t="str">
        <x:v>true</x:v>
      </x:c>
      <x:c r="K1734" s="10" t="str">
        <x:v>Resultado explícito del catálogo</x:v>
      </x:c>
    </x:row>
    <x:row r="1735" ht="42" customHeight="1">
      <x:c r="A1735" s="5" t="str">
        <x:v>S5_SEGURIDAD</x:v>
      </x:c>
      <x:c r="B1735" s="5" t="n">
        <x:v>1</x:v>
      </x:c>
      <x:c r="C1735" s="5" t="n">
        <x:v>2</x:v>
      </x:c>
      <x:c r="D1735" s="5" t="str">
        <x:v>e110</x:v>
      </x:c>
      <x:c r="E1735" s="5" t="str">
        <x:v>seguridad_ciudadana</x:v>
      </x:c>
      <x:c r="F1735" s="5" t="str">
        <x:v>indicator</x:v>
      </x:c>
      <x:c r="G1735" s="5" t="str">
        <x:v>seguridad</x:v>
      </x:c>
      <x:c r="H1735" s="5" t="str">
        <x:v>offset</x:v>
      </x:c>
      <x:c r="I1735" s="5" t="n">
        <x:f>'05_Efectos'!$E$115</x:f>
        <x:v>5</x:v>
      </x:c>
      <x:c r="J1735" s="5" t="str">
        <x:v>true</x:v>
      </x:c>
      <x:c r="K1735" s="5" t="str">
        <x:v>Resultado explícito del catálogo</x:v>
      </x:c>
    </x:row>
    <x:row r="1736" ht="42" customHeight="1">
      <x:c r="A1736" s="10" t="str">
        <x:v>S5_SEGURIDAD</x:v>
      </x:c>
      <x:c r="B1736" s="10" t="n">
        <x:v>1</x:v>
      </x:c>
      <x:c r="C1736" s="10" t="n">
        <x:v>2</x:v>
      </x:c>
      <x:c r="D1736" s="10" t="str">
        <x:v>e111</x:v>
      </x:c>
      <x:c r="E1736" s="10" t="str">
        <x:v>seguridad_ciudadana</x:v>
      </x:c>
      <x:c r="F1736" s="10" t="str">
        <x:v>indicator</x:v>
      </x:c>
      <x:c r="G1736" s="10" t="str">
        <x:v>derechos</x:v>
      </x:c>
      <x:c r="H1736" s="10" t="str">
        <x:v>pulse</x:v>
      </x:c>
      <x:c r="I1736" s="10" t="n">
        <x:f>IF(AND(20&lt;45),'05_Efectos'!$E$116,0)</x:f>
        <x:v>-3</x:v>
      </x:c>
      <x:c r="J1736" s="10" t="str">
        <x:v>pre.derechos&lt;45</x:v>
      </x:c>
      <x:c r="K1736" s="10" t="str">
        <x:v>Resultado explícito del catálogo</x:v>
      </x:c>
    </x:row>
    <x:row r="1737" ht="57" customHeight="1">
      <x:c r="A1737" s="5" t="str">
        <x:v>S5_SEGURIDAD</x:v>
      </x:c>
      <x:c r="B1737" s="5" t="n">
        <x:v>1</x:v>
      </x:c>
      <x:c r="C1737" s="5" t="n">
        <x:v>2</x:v>
      </x:c>
      <x:c r="D1737" s="5" t="str">
        <x:v>e112</x:v>
      </x:c>
      <x:c r="E1737" s="5" t="str">
        <x:v>seguridad_ciudadana</x:v>
      </x:c>
      <x:c r="F1737" s="5" t="str">
        <x:v>ledger</x:v>
      </x:c>
      <x:c r="G1737" s="5" t="str">
        <x:v>expense_recurring</x:v>
      </x:c>
      <x:c r="H1737" s="5" t="str">
        <x:v>flow</x:v>
      </x:c>
      <x:c r="I1737" s="5" t="n">
        <x:f>'05_Efectos'!$E$117</x:f>
        <x:v>30</x:v>
      </x:c>
      <x:c r="J1737" s="5" t="str">
        <x:v>true</x:v>
      </x:c>
      <x:c r="K1737" s="5" t="str">
        <x:v>Flujo explícito; afecta caja y cálculo fiscal durante su vigencia.</x:v>
      </x:c>
    </x:row>
    <x:row r="1738" ht="72" customHeight="1">
      <x:c r="A1738" s="10" t="str">
        <x:v>S5_SEGURIDAD</x:v>
      </x:c>
      <x:c r="B1738" s="10" t="n">
        <x:v>2</x:v>
      </x:c>
      <x:c r="C1738" s="10" t="n">
        <x:v>2</x:v>
      </x:c>
      <x:c r="D1738" s="10" t="str">
        <x:v>e146</x:v>
      </x:c>
      <x:c r="E1738" s="10" t="str">
        <x:v>transparencia_publica</x:v>
      </x:c>
      <x:c r="F1738" s="10" t="str">
        <x:v>ledger</x:v>
      </x:c>
      <x:c r="G1738" s="10" t="str">
        <x:v>expense_once</x:v>
      </x:c>
      <x:c r="H1738" s="10" t="str">
        <x:v>flow</x:v>
      </x:c>
      <x:c r="I1738" s="10" t="n">
        <x:f>'05_Efectos'!$E$151</x:f>
        <x:v>100</x:v>
      </x:c>
      <x:c r="J1738" s="10" t="str">
        <x:v>true</x:v>
      </x:c>
      <x:c r="K1738" s="10" t="str">
        <x:v>Coste administrativo o programa. No se duplica con la columna fiscal de 04.</x:v>
      </x:c>
    </x:row>
    <x:row r="1739" ht="42" customHeight="1">
      <x:c r="A1739" s="5" t="str">
        <x:v>S5_SEGURIDAD</x:v>
      </x:c>
      <x:c r="B1739" s="5" t="n">
        <x:v>2</x:v>
      </x:c>
      <x:c r="C1739" s="5" t="n">
        <x:v>3</x:v>
      </x:c>
      <x:c r="D1739" s="5" t="str">
        <x:v>e147</x:v>
      </x:c>
      <x:c r="E1739" s="5" t="str">
        <x:v>transparencia_publica</x:v>
      </x:c>
      <x:c r="F1739" s="5" t="str">
        <x:v>indicator</x:v>
      </x:c>
      <x:c r="G1739" s="5" t="str">
        <x:v>derechos</x:v>
      </x:c>
      <x:c r="H1739" s="5" t="str">
        <x:v>pulse</x:v>
      </x:c>
      <x:c r="I1739" s="5" t="n">
        <x:f>'05_Efectos'!$E$152</x:f>
        <x:v>5</x:v>
      </x:c>
      <x:c r="J1739" s="5" t="str">
        <x:v>true</x:v>
      </x:c>
      <x:c r="K1739" s="5" t="str">
        <x:v>Resultado explícito del catálogo</x:v>
      </x:c>
    </x:row>
    <x:row r="1740" ht="57" customHeight="1">
      <x:c r="A1740" s="10" t="str">
        <x:v>S5_SEGURIDAD</x:v>
      </x:c>
      <x:c r="B1740" s="10" t="n">
        <x:v>2</x:v>
      </x:c>
      <x:c r="C1740" s="10" t="n">
        <x:v>5</x:v>
      </x:c>
      <x:c r="D1740" s="10" t="str">
        <x:v>e148</x:v>
      </x:c>
      <x:c r="E1740" s="10" t="str">
        <x:v>transparencia_publica</x:v>
      </x:c>
      <x:c r="F1740" s="10" t="str">
        <x:v>ledger</x:v>
      </x:c>
      <x:c r="G1740" s="10" t="str">
        <x:v>expense_recurring</x:v>
      </x:c>
      <x:c r="H1740" s="10" t="str">
        <x:v>flow</x:v>
      </x:c>
      <x:c r="I1740" s="10" t="n">
        <x:f>'05_Efectos'!$E$153</x:f>
        <x:v>-20</x:v>
      </x:c>
      <x:c r="J1740" s="10" t="str">
        <x:v>true</x:v>
      </x:c>
      <x:c r="K1740" s="10" t="str">
        <x:v>Flujo explícito; afecta caja y cálculo fiscal durante su vigencia.</x:v>
      </x:c>
    </x:row>
    <x:row r="1741" ht="57" customHeight="1">
      <x:c r="A1741" s="5" t="str">
        <x:v>S5_SEGURIDAD</x:v>
      </x:c>
      <x:c r="B1741" s="5" t="n">
        <x:v>2</x:v>
      </x:c>
      <x:c r="C1741" s="5" t="n">
        <x:v>6</x:v>
      </x:c>
      <x:c r="D1741" s="5" t="str">
        <x:v>e148</x:v>
      </x:c>
      <x:c r="E1741" s="5" t="str">
        <x:v>transparencia_publica</x:v>
      </x:c>
      <x:c r="F1741" s="5" t="str">
        <x:v>ledger</x:v>
      </x:c>
      <x:c r="G1741" s="5" t="str">
        <x:v>expense_recurring</x:v>
      </x:c>
      <x:c r="H1741" s="5" t="str">
        <x:v>flow</x:v>
      </x:c>
      <x:c r="I1741" s="5" t="n">
        <x:f>'05_Efectos'!$E$153</x:f>
        <x:v>-20</x:v>
      </x:c>
      <x:c r="J1741" s="5" t="str">
        <x:v>true</x:v>
      </x:c>
      <x:c r="K1741" s="5" t="str">
        <x:v>Flujo explícito; afecta caja y cálculo fiscal durante su vigencia.</x:v>
      </x:c>
    </x:row>
    <x:row r="1742" ht="57" customHeight="1">
      <x:c r="A1742" s="10" t="str">
        <x:v>S5_SEGURIDAD</x:v>
      </x:c>
      <x:c r="B1742" s="10" t="n">
        <x:v>2</x:v>
      </x:c>
      <x:c r="C1742" s="10" t="n">
        <x:v>7</x:v>
      </x:c>
      <x:c r="D1742" s="10" t="str">
        <x:v>e148</x:v>
      </x:c>
      <x:c r="E1742" s="10" t="str">
        <x:v>transparencia_publica</x:v>
      </x:c>
      <x:c r="F1742" s="10" t="str">
        <x:v>ledger</x:v>
      </x:c>
      <x:c r="G1742" s="10" t="str">
        <x:v>expense_recurring</x:v>
      </x:c>
      <x:c r="H1742" s="10" t="str">
        <x:v>flow</x:v>
      </x:c>
      <x:c r="I1742" s="10" t="n">
        <x:f>'05_Efectos'!$E$153</x:f>
        <x:v>-20</x:v>
      </x:c>
      <x:c r="J1742" s="10" t="str">
        <x:v>true</x:v>
      </x:c>
      <x:c r="K1742" s="10" t="str">
        <x:v>Flujo explícito; afecta caja y cálculo fiscal durante su vigencia.</x:v>
      </x:c>
    </x:row>
    <x:row r="1743" ht="57" customHeight="1">
      <x:c r="A1743" s="5" t="str">
        <x:v>S5_SEGURIDAD</x:v>
      </x:c>
      <x:c r="B1743" s="5" t="n">
        <x:v>2</x:v>
      </x:c>
      <x:c r="C1743" s="5" t="n">
        <x:v>8</x:v>
      </x:c>
      <x:c r="D1743" s="5" t="str">
        <x:v>e148</x:v>
      </x:c>
      <x:c r="E1743" s="5" t="str">
        <x:v>transparencia_publica</x:v>
      </x:c>
      <x:c r="F1743" s="5" t="str">
        <x:v>ledger</x:v>
      </x:c>
      <x:c r="G1743" s="5" t="str">
        <x:v>expense_recurring</x:v>
      </x:c>
      <x:c r="H1743" s="5" t="str">
        <x:v>flow</x:v>
      </x:c>
      <x:c r="I1743" s="5" t="n">
        <x:f>'05_Efectos'!$E$153</x:f>
        <x:v>-20</x:v>
      </x:c>
      <x:c r="J1743" s="5" t="str">
        <x:v>true</x:v>
      </x:c>
      <x:c r="K1743" s="5" t="str">
        <x:v>Flujo explícito; afecta caja y cálculo fiscal durante su vigencia.</x:v>
      </x:c>
    </x:row>
    <x:row r="1744" ht="57" customHeight="1">
      <x:c r="A1744" s="10" t="str">
        <x:v>S5_SEGURIDAD</x:v>
      </x:c>
      <x:c r="B1744" s="10" t="n">
        <x:v>2</x:v>
      </x:c>
      <x:c r="C1744" s="10" t="n">
        <x:v>9</x:v>
      </x:c>
      <x:c r="D1744" s="10" t="str">
        <x:v>e148</x:v>
      </x:c>
      <x:c r="E1744" s="10" t="str">
        <x:v>transparencia_publica</x:v>
      </x:c>
      <x:c r="F1744" s="10" t="str">
        <x:v>ledger</x:v>
      </x:c>
      <x:c r="G1744" s="10" t="str">
        <x:v>expense_recurring</x:v>
      </x:c>
      <x:c r="H1744" s="10" t="str">
        <x:v>flow</x:v>
      </x:c>
      <x:c r="I1744" s="10" t="n">
        <x:f>'05_Efectos'!$E$153</x:f>
        <x:v>-20</x:v>
      </x:c>
      <x:c r="J1744" s="10" t="str">
        <x:v>true</x:v>
      </x:c>
      <x:c r="K1744" s="10" t="str">
        <x:v>Flujo explícito; afecta caja y cálculo fiscal durante su vigencia.</x:v>
      </x:c>
    </x:row>
    <x:row r="1745" ht="57" customHeight="1">
      <x:c r="A1745" s="5" t="str">
        <x:v>S5_SEGURIDAD</x:v>
      </x:c>
      <x:c r="B1745" s="5" t="n">
        <x:v>2</x:v>
      </x:c>
      <x:c r="C1745" s="5" t="n">
        <x:v>10</x:v>
      </x:c>
      <x:c r="D1745" s="5" t="str">
        <x:v>e148</x:v>
      </x:c>
      <x:c r="E1745" s="5" t="str">
        <x:v>transparencia_publica</x:v>
      </x:c>
      <x:c r="F1745" s="5" t="str">
        <x:v>ledger</x:v>
      </x:c>
      <x:c r="G1745" s="5" t="str">
        <x:v>expense_recurring</x:v>
      </x:c>
      <x:c r="H1745" s="5" t="str">
        <x:v>flow</x:v>
      </x:c>
      <x:c r="I1745" s="5" t="n">
        <x:f>'05_Efectos'!$E$153</x:f>
        <x:v>-20</x:v>
      </x:c>
      <x:c r="J1745" s="5" t="str">
        <x:v>true</x:v>
      </x:c>
      <x:c r="K1745" s="5" t="str">
        <x:v>Flujo explícito; afecta caja y cálculo fiscal durante su vigencia.</x:v>
      </x:c>
    </x:row>
    <x:row r="1746" ht="72" customHeight="1">
      <x:c r="A1746" s="10" t="str">
        <x:v>S5_SEGURIDAD</x:v>
      </x:c>
      <x:c r="B1746" s="10" t="n">
        <x:v>5</x:v>
      </x:c>
      <x:c r="C1746" s="10" t="n">
        <x:v>5</x:v>
      </x:c>
      <x:c r="D1746" s="10" t="str">
        <x:v>e109</x:v>
      </x:c>
      <x:c r="E1746" s="10" t="str">
        <x:v>seguridad_ciudadana</x:v>
      </x:c>
      <x:c r="F1746" s="10" t="str">
        <x:v>ledger</x:v>
      </x:c>
      <x:c r="G1746" s="10" t="str">
        <x:v>expense_once</x:v>
      </x:c>
      <x:c r="H1746" s="10" t="str">
        <x:v>flow</x:v>
      </x:c>
      <x:c r="I1746" s="10" t="n">
        <x:f>'05_Efectos'!$E$114</x:f>
        <x:v>180</x:v>
      </x:c>
      <x:c r="J1746" s="10" t="str">
        <x:v>true</x:v>
      </x:c>
      <x:c r="K1746" s="10" t="str">
        <x:v>Coste administrativo o programa. No se duplica con la columna fiscal de 04.</x:v>
      </x:c>
    </x:row>
    <x:row r="1747" ht="42" customHeight="1">
      <x:c r="A1747" s="5" t="str">
        <x:v>S5_SEGURIDAD</x:v>
      </x:c>
      <x:c r="B1747" s="5" t="n">
        <x:v>5</x:v>
      </x:c>
      <x:c r="C1747" s="5" t="n">
        <x:v>5</x:v>
      </x:c>
      <x:c r="D1747" s="5" t="str">
        <x:v>e110</x:v>
      </x:c>
      <x:c r="E1747" s="5" t="str">
        <x:v>seguridad_ciudadana</x:v>
      </x:c>
      <x:c r="F1747" s="5" t="str">
        <x:v>indicator</x:v>
      </x:c>
      <x:c r="G1747" s="5" t="str">
        <x:v>seguridad</x:v>
      </x:c>
      <x:c r="H1747" s="5" t="str">
        <x:v>offset</x:v>
      </x:c>
      <x:c r="I1747" s="5" t="n">
        <x:f>('05_Efectos'!$E$115)*MAX(0.65,1-$I$1558*0.15)</x:f>
        <x:v>4.25</x:v>
      </x:c>
      <x:c r="J1747" s="5" t="str">
        <x:v>true</x:v>
      </x:c>
      <x:c r="K1747" s="5" t="str">
        <x:v>Resultado explícito del catálogo</x:v>
      </x:c>
    </x:row>
    <x:row r="1748" ht="42" customHeight="1">
      <x:c r="A1748" s="10" t="str">
        <x:v>S5_SEGURIDAD</x:v>
      </x:c>
      <x:c r="B1748" s="10" t="n">
        <x:v>5</x:v>
      </x:c>
      <x:c r="C1748" s="10" t="n">
        <x:v>6</x:v>
      </x:c>
      <x:c r="D1748" s="10" t="str">
        <x:v>e110</x:v>
      </x:c>
      <x:c r="E1748" s="10" t="str">
        <x:v>seguridad_ciudadana</x:v>
      </x:c>
      <x:c r="F1748" s="10" t="str">
        <x:v>indicator</x:v>
      </x:c>
      <x:c r="G1748" s="10" t="str">
        <x:v>seguridad</x:v>
      </x:c>
      <x:c r="H1748" s="10" t="str">
        <x:v>offset</x:v>
      </x:c>
      <x:c r="I1748" s="10" t="n">
        <x:f>('05_Efectos'!$E$115)*MAX(0.65,1-$I$1558*0.15)</x:f>
        <x:v>4.25</x:v>
      </x:c>
      <x:c r="J1748" s="10" t="str">
        <x:v>true</x:v>
      </x:c>
      <x:c r="K1748" s="10" t="str">
        <x:v>Resultado explícito del catálogo</x:v>
      </x:c>
    </x:row>
    <x:row r="1749" ht="42" customHeight="1">
      <x:c r="A1749" s="5" t="str">
        <x:v>S5_SEGURIDAD</x:v>
      </x:c>
      <x:c r="B1749" s="5" t="n">
        <x:v>5</x:v>
      </x:c>
      <x:c r="C1749" s="5" t="n">
        <x:v>6</x:v>
      </x:c>
      <x:c r="D1749" s="5" t="str">
        <x:v>e111</x:v>
      </x:c>
      <x:c r="E1749" s="5" t="str">
        <x:v>seguridad_ciudadana</x:v>
      </x:c>
      <x:c r="F1749" s="5" t="str">
        <x:v>indicator</x:v>
      </x:c>
      <x:c r="G1749" s="5" t="str">
        <x:v>derechos</x:v>
      </x:c>
      <x:c r="H1749" s="5" t="str">
        <x:v>pulse</x:v>
      </x:c>
      <x:c r="I1749" s="5" t="n">
        <x:f>IF(AND($K$683&lt;45),'05_Efectos'!$E$116,0)</x:f>
        <x:v>-3</x:v>
      </x:c>
      <x:c r="J1749" s="5" t="str">
        <x:v>pre.derechos&lt;45</x:v>
      </x:c>
      <x:c r="K1749" s="5" t="str">
        <x:v>Resultado explícito del catálogo</x:v>
      </x:c>
    </x:row>
    <x:row r="1750" ht="57" customHeight="1">
      <x:c r="A1750" s="10" t="str">
        <x:v>S5_SEGURIDAD</x:v>
      </x:c>
      <x:c r="B1750" s="10" t="n">
        <x:v>5</x:v>
      </x:c>
      <x:c r="C1750" s="10" t="n">
        <x:v>6</x:v>
      </x:c>
      <x:c r="D1750" s="10" t="str">
        <x:v>e112</x:v>
      </x:c>
      <x:c r="E1750" s="10" t="str">
        <x:v>seguridad_ciudadana</x:v>
      </x:c>
      <x:c r="F1750" s="10" t="str">
        <x:v>ledger</x:v>
      </x:c>
      <x:c r="G1750" s="10" t="str">
        <x:v>expense_recurring</x:v>
      </x:c>
      <x:c r="H1750" s="10" t="str">
        <x:v>flow</x:v>
      </x:c>
      <x:c r="I1750" s="10" t="n">
        <x:f>'05_Efectos'!$E$117</x:f>
        <x:v>30</x:v>
      </x:c>
      <x:c r="J1750" s="10" t="str">
        <x:v>true</x:v>
      </x:c>
      <x:c r="K1750" s="10" t="str">
        <x:v>Flujo explícito; afecta caja y cálculo fiscal durante su vigencia.</x:v>
      </x:c>
    </x:row>
    <x:row r="1754" ht="42" customHeight="1">
      <x:c r="A1754" s="9" t="str">
        <x:v>scenarioId</x:v>
      </x:c>
      <x:c r="B1754" s="9" t="str">
        <x:v>Turno</x:v>
      </x:c>
      <x:c r="C1754" s="9" t="str">
        <x:v>Cambio verificable</x:v>
      </x:c>
      <x:c r="D1754" s="9" t="str">
        <x:v>Valor</x:v>
      </x:c>
      <x:c r="E1754" s="9" t="str">
        <x:v>Consecuencia</x:v>
      </x:c>
    </x:row>
    <x:row r="1755" ht="57" customHeight="1">
      <x:c r="A1755" s="5" t="str">
        <x:v>S1_EMISION</x:v>
      </x:c>
      <x:c r="B1755" s="5" t="n">
        <x:v>3</x:v>
      </x:c>
      <x:c r="C1755" s="5" t="str">
        <x:v>Usos en ventana5</x:v>
      </x:c>
      <x:c r="D1755" s="5" t="n">
        <x:f>$P$17</x:f>
        <x:v>3</x:v>
      </x:c>
      <x:c r="E1755" s="5" t="str">
        <x:v>Tercer uso agenda presión3 para T4; S reacciona después.</x:v>
      </x:c>
    </x:row>
    <x:row r="1756" ht="57" customHeight="1">
      <x:c r="A1756" s="10" t="str">
        <x:v>S1_EMISION</x:v>
      </x:c>
      <x:c r="B1756" s="10" t="n">
        <x:v>6</x:v>
      </x:c>
      <x:c r="C1756" s="10" t="str">
        <x:v>Inflación tras quinto pulso</x:v>
      </x:c>
      <x:c r="D1756" s="10" t="n">
        <x:f>$K$139</x:f>
        <x:v>65.239</x:v>
      </x:c>
      <x:c r="E1756" s="10" t="str">
        <x:v>La presión de T5 aparece T6; cap base limita el salto.</x:v>
      </x:c>
    </x:row>
    <x:row r="1757" ht="57" customHeight="1">
      <x:c r="A1757" s="5" t="str">
        <x:v>S2_VIAL</x:v>
      </x:c>
      <x:c r="B1757" s="5" t="n">
        <x:v>4</x:v>
      </x:c>
      <x:c r="C1757" s="5" t="str">
        <x:v>Infraestructura</x:v>
      </x:c>
      <x:c r="D1757" s="5" t="n">
        <x:f>$K$257</x:f>
        <x:v>51</x:v>
      </x:c>
      <x:c r="E1757" s="5" t="str">
        <x:v>Obra ejecutada T2 ya opera; mantenimiento inicia T5.</x:v>
      </x:c>
    </x:row>
    <x:row r="1758" ht="57" customHeight="1">
      <x:c r="A1758" s="10" t="str">
        <x:v>S3_SALARIO</x:v>
      </x:c>
      <x:c r="B1758" s="10" t="n">
        <x:v>7</x:v>
      </x:c>
      <x:c r="C1758" s="10" t="str">
        <x:v>Gasto recurrente</x:v>
      </x:c>
      <x:c r="D1758" s="10" t="n">
        <x:f>$G$41</x:f>
        <x:v>540</x:v>
      </x:c>
      <x:c r="E1758" s="10" t="str">
        <x:v>Segundo aumento deja compromiso recurrente adicional.</x:v>
      </x:c>
    </x:row>
    <x:row r="1759" ht="57" customHeight="1">
      <x:c r="A1759" s="5" t="str">
        <x:v>S4_PRESTAMO</x:v>
      </x:c>
      <x:c r="B1759" s="5" t="n">
        <x:v>10</x:v>
      </x:c>
      <x:c r="C1759" s="5" t="str">
        <x:v>Principal amortizado</x:v>
      </x:c>
      <x:c r="D1759" s="5" t="n">
        <x:f>$J$54</x:f>
        <x:v>800</x:v>
      </x:c>
      <x:c r="E1759" s="5" t="str">
        <x:v>Deuda se cancela. No es gasto fiscal ni castigo directo a actores.</x:v>
      </x:c>
    </x:row>
    <x:row r="1760" ht="72" customHeight="1">
      <x:c r="A1760" s="10" t="str">
        <x:v>S5_SEGURIDAD</x:v>
      </x:c>
      <x:c r="B1760" s="10" t="n">
        <x:v>3</x:v>
      </x:c>
      <x:c r="C1760" s="10" t="str">
        <x:v>Fricción institucional activa</x:v>
      </x:c>
      <x:c r="D1760" s="10" t="n">
        <x:f>$I$1540</x:f>
        <x:v>1</x:v>
      </x:c>
      <x:c r="E1760" s="10" t="str">
        <x:v>La garantía baja y mala relación habilitan control en políticas posteriores.</x:v>
      </x:c>
    </x:row>
  </x:sheetData>
  <x:conditionalFormatting sqref="L15:L64">
    <x:cfRule type="cellIs" dxfId="0" priority="1" operator="lessThan">
      <x:formula>0</x:formula>
    </x:cfRule>
  </x:conditionalFormatting>
  <x:pageMargins left="0.7" right="0.7" top="0.75" bottom="0.75" header="0.3" footer="0.3"/>
  <x:tableParts count="6">
    <x:tablePart xmlns:r="http://schemas.openxmlformats.org/officeDocument/2006/relationships" r:id="R52a88765e6bc4328"/>
    <x:tablePart xmlns:r="http://schemas.openxmlformats.org/officeDocument/2006/relationships" r:id="R7ae8ea00e8324caf"/>
    <x:tablePart xmlns:r="http://schemas.openxmlformats.org/officeDocument/2006/relationships" r:id="R6852eebe23de4099"/>
    <x:tablePart xmlns:r="http://schemas.openxmlformats.org/officeDocument/2006/relationships" r:id="R9ff28eb606d0416a"/>
    <x:tablePart xmlns:r="http://schemas.openxmlformats.org/officeDocument/2006/relationships" r:id="Rf02bb5de290d49a5"/>
    <x:tablePart xmlns:r="http://schemas.openxmlformats.org/officeDocument/2006/relationships" r:id="Re93b9eb30f67480f"/>
  </x:tableParts>
</x:worksheet>
</file>

<file path=xl/worksheets/sheet13.xml><?xml version="1.0" encoding="utf-8"?>
<x:worksheet xmlns:x="http://schemas.openxmlformats.org/spreadsheetml/2006/main">
  <x:sheetPr>
    <x:tabColor rgb="FFB77724"/>
  </x:sheetPr>
  <x:sheetViews>
    <x:sheetView showGridLines="0" workbookViewId="0">
      <x:pane xSplit="2" ySplit="5" topLeftCell="C6" activePane="bottomRight" state="frozen"/>
    </x:sheetView>
  </x:sheetViews>
  <x:sheetFormatPr defaultRowHeight="15"/>
  <x:cols>
    <x:col min="1" max="1" width="31" hidden="0" customWidth="1"/>
    <x:col min="2" max="2" width="39" hidden="0" customWidth="1"/>
    <x:col min="3" max="3" width="60" hidden="0" customWidth="1"/>
    <x:col min="4" max="4" width="81" hidden="0" customWidth="1"/>
    <x:col min="5" max="5" width="30" hidden="0" customWidth="1"/>
    <x:col min="6" max="6" width="105" hidden="0" customWidth="1"/>
    <x:col min="7" max="7" width="95" hidden="0" customWidth="1"/>
  </x:cols>
  <x:sheetData>
    <x:row r="2" ht="28" customHeight="1">
      <x:c r="A2" s="1" t="str">
        <x:v>Riesgos y decisiones abiertas</x:v>
      </x:c>
    </x:row>
    <x:row r="3" ht="23" customHeight="1">
      <x:c r="A3" s="11" t="str">
        <x:v>Arquitectura definida para revisión. Balance provisional; fórmula electoral final y negociación avanzada permanecen abiertos.</x:v>
      </x:c>
    </x:row>
    <x:row r="5" ht="42" customHeight="1">
      <x:c r="A5" s="9" t="str">
        <x:v>riskId</x:v>
      </x:c>
      <x:c r="B5" s="9" t="str">
        <x:v>Severidad</x:v>
      </x:c>
      <x:c r="C5" s="9" t="str">
        <x:v>Tema</x:v>
      </x:c>
      <x:c r="D5" s="9" t="str">
        <x:v>Riesgo concreto</x:v>
      </x:c>
      <x:c r="E5" s="9" t="str">
        <x:v>Estado</x:v>
      </x:c>
      <x:c r="F5" s="9" t="str">
        <x:v>Respuesta / decisión</x:v>
      </x:c>
      <x:c r="G5" s="9" t="str">
        <x:v>Prueba o decisión humana</x:v>
      </x:c>
    </x:row>
    <x:row r="6" ht="34" customHeight="1">
      <x:c r="A6" s="5" t="str">
        <x:v>R01</x:v>
      </x:c>
      <x:c r="B6" s="5" t="str">
        <x:v>Alta</x:v>
      </x:c>
      <x:c r="C6" s="5" t="str">
        <x:v>Fusión actividad y empleo</x:v>
      </x:c>
      <x:c r="D6" s="5" t="str">
        <x:v>Oculta crecimiento sin empleo.</x:v>
      </x:c>
      <x:c r="E6" s="5" t="str">
        <x:v>Aceptada para MVP</x:v>
      </x:c>
      <x:c r="F6" s="5" t="str">
        <x:v>Separar sólo si tres políticas distintas requieren ganadores laborales opuestos.</x:v>
      </x:c>
      <x:c r="G6" s="5" t="str">
        <x:v>Probar subsidio intensivo en capital versus empleo joven.</x:v>
      </x:c>
    </x:row>
    <x:row r="7" ht="42" customHeight="1">
      <x:c r="A7" s="10" t="str">
        <x:v>R02</x:v>
      </x:c>
      <x:c r="B7" s="10" t="str">
        <x:v>Alta</x:v>
      </x:c>
      <x:c r="C7" s="10" t="str">
        <x:v>Distribución dentro de un indicador</x:v>
      </x:c>
      <x:c r="D7" s="10" t="str">
        <x:v>Mismo ingreso medio afecta a grupos diferentes sin detalle distributivo.</x:v>
      </x:c>
      <x:c r="E7" s="10" t="str">
        <x:v>Limitación explícita</x:v>
      </x:c>
      <x:c r="F7" s="10" t="str">
        <x:v>Evitar prometer focalización que la matriz no puede representar. Variantes rurales/urbanas son narrativas en v0.1.</x:v>
      </x:c>
      <x:c r="G7" s="10" t="str">
        <x:v>Antes de añadir perfiles de exposición, medir si cambia decisiones.</x:v>
      </x:c>
    </x:row>
    <x:row r="8" ht="42" customHeight="1">
      <x:c r="A8" s="5" t="str">
        <x:v>R03</x:v>
      </x:c>
      <x:c r="B8" s="5" t="str">
        <x:v>Alta</x:v>
      </x:c>
      <x:c r="C8" s="5" t="str">
        <x:v>Garantías e integridad fusionadas</x:v>
      </x:c>
      <x:c r="D8" s="5" t="str">
        <x:v>Transparencia podría compensar abusos de derechos en un índice.</x:v>
      </x:c>
      <x:c r="E8" s="5" t="str">
        <x:v>Decisión humana</x:v>
      </x:c>
      <x:c r="F8" s="5" t="str">
        <x:v>Si aparece exploit de compensación, introducir veto contextual a acciones de vigilancia por abuso vigente; no más popularidad.</x:v>
      </x:c>
      <x:c r="G8" s="5" t="str">
        <x:v>Test: subir transparencia y ejecutar operativos repetidos.</x:v>
      </x:c>
    </x:row>
    <x:row r="9" ht="34" customHeight="1">
      <x:c r="A9" s="10" t="str">
        <x:v>R04</x:v>
      </x:c>
      <x:c r="B9" s="10" t="str">
        <x:v>Alta</x:v>
      </x:c>
      <x:c r="C9" s="10" t="str">
        <x:v>Duplicación inflación/ingreso</x:v>
      </x:c>
      <x:c r="D9" s="10" t="str">
        <x:v>El mismo malestar puede cobrarse en dos indicadores.</x:v>
      </x:c>
      <x:c r="E9" s="10" t="str">
        <x:v>Mitigada parcialmente</x:v>
      </x:c>
      <x:c r="F9" s="10" t="str">
        <x:v>Inflación = incertidumbre; peso bajo en hogares y sin emisión→grupo.</x:v>
      </x:c>
      <x:c r="G9" s="10" t="str">
        <x:v>Comparar sensibilidad de clase media con y sin inflación.</x:v>
      </x:c>
    </x:row>
    <x:row r="10" ht="34" customHeight="1">
      <x:c r="A10" s="5" t="str">
        <x:v>R05</x:v>
      </x:c>
      <x:c r="B10" s="5" t="str">
        <x:v>Alta</x:v>
      </x:c>
      <x:c r="C10" s="5" t="str">
        <x:v>Solapamiento electoral</x:v>
      </x:c>
      <x:c r="D10" s="5" t="str">
        <x:v>Sindicatos, docentes y clase media no son poblaciones disjuntas.</x:v>
      </x:c>
      <x:c r="E10" s="5" t="str">
        <x:v>Abierta</x:v>
      </x:c>
      <x:c r="F10" s="5" t="str">
        <x:v>E_social es agenda ponderada, no padrón. No usarlo como votos directos.</x:v>
      </x:c>
      <x:c r="G10" s="5" t="str">
        <x:v>Definir electorado con segmentos sólo al diseñar elecciones.</x:v>
      </x:c>
    </x:row>
    <x:row r="11" ht="34" customHeight="1">
      <x:c r="A11" s="10" t="str">
        <x:v>R06</x:v>
      </x:c>
      <x:c r="B11" s="10" t="str">
        <x:v>Alta</x:v>
      </x:c>
      <x:c r="C11" s="10" t="str">
        <x:v>Oposición satisfecha</x:v>
      </x:c>
      <x:c r="D11" s="10" t="str">
        <x:v>Confundir garantías institucionales con votar al gobierno.</x:v>
      </x:c>
      <x:c r="E11" s="10" t="str">
        <x:v>Resuelta en propuesta</x:v>
      </x:c>
      <x:c r="F11" s="10" t="str">
        <x:v>electoralWeight político=0; oposición sólo negocia leyes específicas.</x:v>
      </x:c>
      <x:c r="G11" s="10" t="str">
        <x:v>Validar preferencia del diseñador antes de congelar datos.</x:v>
      </x:c>
    </x:row>
    <x:row r="12" ht="42" customHeight="1">
      <x:c r="A12" s="5" t="str">
        <x:v>R07</x:v>
      </x:c>
      <x:c r="B12" s="5" t="str">
        <x:v>Alta</x:v>
      </x:c>
      <x:c r="C12" s="5" t="str">
        <x:v>Retroalimentación instantánea</x:v>
      </x:c>
      <x:c r="D12" s="5" t="str">
        <x:v>Actor perjudicado reduce indicador y se enoja otra vez dentro del mismo cierre.</x:v>
      </x:c>
      <x:c r="E12" s="5" t="str">
        <x:v>Resuelta en propuesta</x:v>
      </x:c>
      <x:c r="F12" s="5" t="str">
        <x:v>Snapshot, un paso por cierre, canales t+1, offsets sustituibles y cap±3.</x:v>
      </x:c>
      <x:c r="G12" s="5" t="str">
        <x:v>Recalcular t dos veces no debe mover el resultado.</x:v>
      </x:c>
    </x:row>
    <x:row r="13" ht="34" customHeight="1">
      <x:c r="A13" s="10" t="str">
        <x:v>R08</x:v>
      </x:c>
      <x:c r="B13" s="10" t="str">
        <x:v>Alta</x:v>
      </x:c>
      <x:c r="C13" s="10" t="str">
        <x:v>Emisión bloqueada por cooldown</x:v>
      </x:c>
      <x:c r="D13" s="10" t="str">
        <x:v>3 usos en 5 turnos era incompatible con cooldown antiguo3.</x:v>
      </x:c>
      <x:c r="E13" s="10" t="str">
        <x:v>Resuelta en propuesta</x:v>
      </x:c>
      <x:c r="F13" s="10" t="str">
        <x:v>Cooldown1, máximo1 por turno y ventana inclusiva.</x:v>
      </x:c>
      <x:c r="G13" s="10" t="str">
        <x:v>Contar t1,t2,t3 y frontera t6.</x:v>
      </x:c>
    </x:row>
    <x:row r="14" ht="34" customHeight="1">
      <x:c r="A14" s="5" t="str">
        <x:v>R09</x:v>
      </x:c>
      <x:c r="B14" s="5" t="str">
        <x:v>Alta</x:v>
      </x:c>
      <x:c r="C14" s="5" t="str">
        <x:v>Reset de mandato</x:v>
      </x:c>
      <x:c r="D14" s="5" t="str">
        <x:v>Borra deudas y diferidos, incentiva endeudarse al final.</x:v>
      </x:c>
      <x:c r="E14" s="5" t="str">
        <x:v>Resuelta en propuesta</x:v>
      </x:c>
      <x:c r="F14" s="5" t="str">
        <x:v>Persistir contratos e historial global al reelegir.</x:v>
      </x:c>
      <x:c r="G14" s="5" t="str">
        <x:v>Obra t15 activa t17 y préstamo t16 paga t24.</x:v>
      </x:c>
    </x:row>
    <x:row r="15" ht="34" customHeight="1">
      <x:c r="A15" s="10" t="str">
        <x:v>R10</x:v>
      </x:c>
      <x:c r="B15" s="10" t="str">
        <x:v>Alta</x:v>
      </x:c>
      <x:c r="C15" s="10" t="str">
        <x:v>Caja confundida con ingreso</x:v>
      </x:c>
      <x:c r="D15" s="10" t="str">
        <x:v>Préstamo crea solvencia ficticia y premio electoral.</x:v>
      </x:c>
      <x:c r="E15" s="10" t="str">
        <x:v>Resuelta en propuesta</x:v>
      </x:c>
      <x:c r="F15" s="10" t="str">
        <x:v>Libro de principal y financiación separado; fiscal excluye caja.</x:v>
      </x:c>
      <x:c r="G15" s="10" t="str">
        <x:v>Desembolso cambia cash y debt, no revenue.</x:v>
      </x:c>
    </x:row>
    <x:row r="16" ht="34" customHeight="1">
      <x:c r="A16" s="5" t="str">
        <x:v>R11</x:v>
      </x:c>
      <x:c r="B16" s="5" t="str">
        <x:v>Media</x:v>
      </x:c>
      <x:c r="C16" s="5" t="str">
        <x:v>Todos contentos sin costo</x:v>
      </x:c>
      <x:c r="D16" s="5" t="str">
        <x:v>Stock de servicios mejora y no exige operar.</x:v>
      </x:c>
      <x:c r="E16" s="5" t="str">
        <x:v>Mitigada</x:v>
      </x:c>
      <x:c r="F16" s="5" t="str">
        <x:v>Mantenimiento explícito, maxUses y presión de caja.</x:v>
      </x:c>
      <x:c r="G16" s="5" t="str">
        <x:v>Probar cartera máxima de servicios por 16 turnos.</x:v>
      </x:c>
    </x:row>
    <x:row r="17" ht="34" customHeight="1">
      <x:c r="A17" s="10" t="str">
        <x:v>R12</x:v>
      </x:c>
      <x:c r="B17" s="10" t="str">
        <x:v>Media</x:v>
      </x:c>
      <x:c r="C17" s="10" t="str">
        <x:v>Programas sin cancelación</x:v>
      </x:c>
      <x:c r="D17" s="10" t="str">
        <x:v>Compromisos estructurales pueden rigidizar demasiado el mandato.</x:v>
      </x:c>
      <x:c r="E17" s="10" t="str">
        <x:v>Abierta</x:v>
      </x:c>
      <x:c r="F17" s="10" t="str">
        <x:v>v0.1 permite ajuste genérico max2. Diseñar cancelación por programa antes de contenido avanzado.</x:v>
      </x:c>
      <x:c r="G17" s="10" t="str">
        <x:v>No permitir borrar sólo costo conservando servicio completo.</x:v>
      </x:c>
    </x:row>
    <x:row r="18" ht="42" customHeight="1">
      <x:c r="A18" s="5" t="str">
        <x:v>R13</x:v>
      </x:c>
      <x:c r="B18" s="5" t="str">
        <x:v>Media</x:v>
      </x:c>
      <x:c r="C18" s="5" t="str">
        <x:v>Feedback productivo gratuito</x:v>
      </x:c>
      <x:c r="D18" s="5" t="str">
        <x:v>Crédito/infraestructura generan actividad creciente ilimitada.</x:v>
      </x:c>
      <x:c r="E18" s="5" t="str">
        <x:v>Mitigada</x:v>
      </x:c>
      <x:c r="F18" s="5" t="str">
        <x:v>Reversión de actividad, coeficientes bajos y clamps. Ciencia/educación sin links automáticos adicionales.</x:v>
      </x:c>
      <x:c r="G18" s="5" t="str">
        <x:v>Ensayar 32 turnos sin acciones luego de máximo estímulo.</x:v>
      </x:c>
    </x:row>
    <x:row r="19" ht="34" customHeight="1">
      <x:c r="A19" s="10" t="str">
        <x:v>R14</x:v>
      </x:c>
      <x:c r="B19" s="10" t="str">
        <x:v>Media</x:v>
      </x:c>
      <x:c r="C19" s="10" t="str">
        <x:v>Acuerdos de trámite explotables</x:v>
      </x:c>
      <x:c r="D19" s="10" t="str">
        <x:v>Firmar objetivos ya cumplidos produce confianza infinita.</x:v>
      </x:c>
      <x:c r="E19" s="10" t="str">
        <x:v>Resuelta en propuesta</x:v>
      </x:c>
      <x:c r="F19" s="10" t="str">
        <x:v>Baseline a firma, objetivo futuro, una resolución, máximo1 por actor, firma sin premio.</x:v>
      </x:c>
      <x:c r="G19" s="10" t="str">
        <x:v>Firmar dos veces la misma oferta debe fallar.</x:v>
      </x:c>
    </x:row>
    <x:row r="20" ht="34" customHeight="1">
      <x:c r="A20" s="5" t="str">
        <x:v>R15</x:v>
      </x:c>
      <x:c r="B20" s="5" t="str">
        <x:v>Media</x:v>
      </x:c>
      <x:c r="C20" s="5" t="str">
        <x:v>Costo político burocrático</x:v>
      </x:c>
      <x:c r="D20" s="5" t="str">
        <x:v>Visitar 18 actores consume todos los PA.</x:v>
      </x:c>
      <x:c r="E20" s="5" t="str">
        <x:v>Mitigada</x:v>
      </x:c>
      <x:c r="F20" s="5" t="str">
        <x:v>Sin decay universal; reuniones tienen propósito y acceso. Priorizar actores de la estrategia.</x:v>
      </x:c>
      <x:c r="G20" s="5" t="str">
        <x:v>Comparar ejecución sin diálogos, selectiva y reuniones constantes.</x:v>
      </x:c>
    </x:row>
    <x:row r="21" ht="34" customHeight="1">
      <x:c r="A21" s="10" t="str">
        <x:v>R16</x:v>
      </x:c>
      <x:c r="B21" s="10" t="str">
        <x:v>Media</x:v>
      </x:c>
      <x:c r="C21" s="10" t="str">
        <x:v>Dominancia de ciencia o cultura</x:v>
      </x:c>
      <x:c r="D21" s="10" t="str">
        <x:v>Fusiones pueden volver actores cosméticos.</x:v>
      </x:c>
      <x:c r="E21" s="10" t="str">
        <x:v>A verificar</x:v>
      </x:c>
      <x:c r="F21" s="10" t="str">
        <x:v>Científicos retienen capacidad y cultura modifica acceso a información/agenda.</x:v>
      </x:c>
      <x:c r="G21" s="10" t="str">
        <x:v>Confirmar que esos canales cambian al menos una decisión del mandato.</x:v>
      </x:c>
    </x:row>
    <x:row r="22" ht="42" customHeight="1">
      <x:c r="A22" s="5" t="str">
        <x:v>R17</x:v>
      </x:c>
      <x:c r="B22" s="5" t="str">
        <x:v>Alta</x:v>
      </x:c>
      <x:c r="C22" s="5" t="str">
        <x:v>Crisis fiscal</x:v>
      </x:c>
      <x:c r="D22" s="5" t="str">
        <x:v>Arrears requiere prioridad contable y UI claras.</x:v>
      </x:c>
      <x:c r="E22" s="5" t="str">
        <x:v>Contrato definido, balance pendiente</x:v>
      </x:c>
      <x:c r="F22" s="5" t="str">
        <x:v>No ocultar impagos. Congelar gasto discrecional, permitir salida monetaria/negociada.</x:v>
      </x:c>
      <x:c r="G22" s="5" t="str">
        <x:v>Escenario adverso adicional necesario antes de implementar crisis.</x:v>
      </x:c>
    </x:row>
    <x:row r="23" ht="34" customHeight="1">
      <x:c r="A23" s="10" t="str">
        <x:v>R18</x:v>
      </x:c>
      <x:c r="B23" s="10" t="str">
        <x:v>Media</x:v>
      </x:c>
      <x:c r="C23" s="10" t="str">
        <x:v>Costos de préstamo no realistas</x:v>
      </x:c>
      <x:c r="D23" s="10" t="str">
        <x:v>Intereses y plazos no simulan mercado argentino real.</x:v>
      </x:c>
      <x:c r="E23" s="10" t="str">
        <x:v>Hipótesis de juego</x:v>
      </x:c>
      <x:c r="F23" s="10" t="str">
        <x:v>Etiquetar unidades abstractas; ajustar al largo de mandato.</x:v>
      </x:c>
      <x:c r="G23" s="10" t="str">
        <x:v>Comparar deuda local6 y externa8 con estabilización fiscal.</x:v>
      </x:c>
    </x:row>
    <x:row r="24" ht="34" customHeight="1">
      <x:c r="A24" s="5" t="str">
        <x:v>R19</x:v>
      </x:c>
      <x:c r="B24" s="5" t="str">
        <x:v>Media</x:v>
      </x:c>
      <x:c r="C24" s="5" t="str">
        <x:v>Gobernabilidad doble electoral</x:v>
      </x:c>
      <x:c r="D24" s="5" t="str">
        <x:v>Bonus de gobierno ordenado puede replicar S de actores.</x:v>
      </x:c>
      <x:c r="E24" s="5" t="str">
        <x:v>Prevención</x:v>
      </x:c>
      <x:c r="F24" s="5" t="str">
        <x:v>No agregar gobernabilidad al voto hasta definir evidencia independiente.</x:v>
      </x:c>
      <x:c r="G24" s="5" t="str">
        <x:v>Revisión de cada nuevo componente electoral.</x:v>
      </x:c>
    </x:row>
    <x:row r="25" ht="34" customHeight="1">
      <x:c r="A25" s="10" t="str">
        <x:v>R20</x:v>
      </x:c>
      <x:c r="B25" s="10" t="str">
        <x:v>Media</x:v>
      </x:c>
      <x:c r="C25" s="10" t="str">
        <x:v>Simulaciones versus balance</x:v>
      </x:c>
      <x:c r="D25" s="10" t="str">
        <x:v>Cinco cadenas no demuestran ausencia de estrategias dominantes.</x:v>
      </x:c>
      <x:c r="E25" s="10" t="str">
        <x:v>Límite de validación</x:v>
      </x:c>
      <x:c r="F25" s="10" t="str">
        <x:v>Los ejemplos verifican causalidad y timing; balance numérico necesita partidas.</x:v>
      </x:c>
      <x:c r="G25" s="10" t="str">
        <x:v>Aprobar matriz de tests y 16-turnos por estrategia.</x:v>
      </x:c>
    </x:row>
    <x:row r="26" ht="34" customHeight="1">
      <x:c r="A26" s="5" t="str">
        <x:v>R21</x:v>
      </x:c>
      <x:c r="B26" s="5" t="str">
        <x:v>Media</x:v>
      </x:c>
      <x:c r="C26" s="5" t="str">
        <x:v>Simetría política aparente</x:v>
      </x:c>
      <x:c r="D26" s="5" t="str">
        <x:v>Mismos indicadores pueden ocultar costos sectoriales reales.</x:v>
      </x:c>
      <x:c r="E26" s="5" t="str">
        <x:v>Abierta</x:v>
      </x:c>
      <x:c r="F26" s="5" t="str">
        <x:v>Trade-offs en caja, crédito, transición y derechos; sin premios por ideología.</x:v>
      </x:c>
      <x:c r="G26" s="5" t="str">
        <x:v>Probar estrategias fiscal expansiva, ajuste, crédito e inversión.</x:v>
      </x:c>
    </x:row>
    <x:row r="27" ht="34" customHeight="1">
      <x:c r="A27" s="10" t="str">
        <x:v>R22</x:v>
      </x:c>
      <x:c r="B27" s="10" t="str">
        <x:v>Baja</x:v>
      </x:c>
      <x:c r="C27" s="10" t="str">
        <x:v>Más acciones que decisiones</x:v>
      </x:c>
      <x:c r="D27" s="10" t="str">
        <x:v>Agregar variantes de obras recrea redundancia.</x:v>
      </x:c>
      <x:c r="E27" s="10" t="str">
        <x:v>Resuelta parcialmente</x:v>
      </x:c>
      <x:c r="F27" s="10" t="str">
        <x:v>Misma mecánica usa foco narrativo; acción nueva exige otro horizonte/costo/canal.</x:v>
      </x:c>
      <x:c r="G27" s="10" t="str">
        <x:v>Revisar catálogo tras 3 sesiones de playtest.</x:v>
      </x:c>
    </x:row>
    <x:row r="28" ht="42" customHeight="1">
      <x:c r="A28" s="5" t="str">
        <x:v>R23</x:v>
      </x:c>
      <x:c r="B28" s="5" t="str">
        <x:v>Alta</x:v>
      </x:c>
      <x:c r="C28" s="5" t="str">
        <x:v>Programabilidad</x:v>
      </x:c>
      <x:c r="D28" s="5" t="str">
        <x:v>Campos prose-only llevan a implementaciones contradictorias.</x:v>
      </x:c>
      <x:c r="E28" s="5" t="str">
        <x:v>Mitigada</x:v>
      </x:c>
      <x:c r="F28" s="5" t="str">
        <x:v>Enums, unidades, operaciones, ventanas y prerequisitos en 00/05/06. Interacciones avanzadas permanecen alcance posterior.</x:v>
      </x:c>
      <x:c r="G28" s="5" t="str">
        <x:v>Revisión de contratos de 05 y casos frontera antes de tocar engine.</x:v>
      </x:c>
    </x:row>
    <x:row r="33" ht="42" customHeight="1">
      <x:c r="A33" s="9" t="str">
        <x:v>Criterio</x:v>
      </x:c>
      <x:c r="B33" s="9" t="str">
        <x:v>Estado</x:v>
      </x:c>
      <x:c r="C33" s="9" t="str">
        <x:v>Evidencia / límite</x:v>
      </x:c>
    </x:row>
    <x:row r="34" ht="76" customHeight="1">
      <x:c r="A34" s="5" t="str">
        <x:v>Causalidad comprensible</x:v>
      </x:c>
      <x:c r="B34" s="5" t="str">
        <x:v>Cubierta</x:v>
      </x:c>
      <x:c r="C34" s="5" t="str">
        <x:v>Cada efecto usa ID y objetivo. 11 descompone aportes, links y reacción.</x:v>
      </x:c>
    </x:row>
    <x:row r="35" ht="76" customHeight="1">
      <x:c r="A35" s="10" t="str">
        <x:v>Profundidad y MVP</x:v>
      </x:c>
      <x:c r="B35" s="10" t="str">
        <x:v>Decisión a ratificar</x:v>
      </x:c>
      <x:c r="C35" s="10" t="str">
        <x:v>14 indicadores y18 actores. Actividad/empleo y garantías/integridad son fusiones con límites explícitos.</x:v>
      </x:c>
    </x:row>
    <x:row r="36" ht="76" customHeight="1">
      <x:c r="A36" s="5" t="str">
        <x:v>Temporalidad</x:v>
      </x:c>
      <x:c r="B36" s="5" t="str">
        <x:v>Cubierta por casos</x:v>
      </x:c>
      <x:c r="C36" s="5" t="str">
        <x:v>Préstamo T2 vence T10. Obra T2 funciona T4 y cobra mantenimiento T5.</x:v>
      </x:c>
    </x:row>
    <x:row r="37" ht="76" customHeight="1">
      <x:c r="A37" s="10" t="str">
        <x:v>Trade-offs</x:v>
      </x:c>
      <x:c r="B37" s="10" t="str">
        <x:v>Propuestos, no calibrados</x:v>
      </x:c>
      <x:c r="C37" s="10" t="str">
        <x:v>Gasto recurrente, transición productiva, presión nominal, derechos y demoras.</x:v>
      </x:c>
    </x:row>
    <x:row r="38" ht="76" customHeight="1">
      <x:c r="A38" s="5" t="str">
        <x:v>Adaptación</x:v>
      </x:c>
      <x:c r="B38" s="5" t="str">
        <x:v>Cubierta por reglas</x:v>
      </x:c>
      <x:c r="C38" s="5" t="str">
        <x:v>Emisión condicional, operativos con salvaguardas, mora de crédito, ayudas por umbral.</x:v>
      </x:c>
    </x:row>
    <x:row r="39" ht="76" customHeight="1">
      <x:c r="A39" s="10" t="str">
        <x:v>Gobernabilidad</x:v>
      </x:c>
      <x:c r="B39" s="10" t="str">
        <x:v>Cubierta estructuralmente</x:v>
      </x:c>
      <x:c r="C39" s="10" t="str">
        <x:v>PA compartidos, reuniones informativas, leyes con acuerdos por proyecto, ejecución federal.</x:v>
      </x:c>
    </x:row>
    <x:row r="40" ht="76" customHeight="1">
      <x:c r="A40" s="5" t="str">
        <x:v>Diversidad de actores</x:v>
      </x:c>
      <x:c r="B40" s="5" t="str">
        <x:v>Cubierta con límite</x:v>
      </x:c>
      <x:c r="C40" s="5" t="str">
        <x:v>Industria, agro, docentes, ciencia y provincias tienen canales diferentes; 12 registra actores a validar.</x:v>
      </x:c>
    </x:row>
    <x:row r="41" ht="76" customHeight="1">
      <x:c r="A41" s="10" t="str">
        <x:v>Elecciones</x:v>
      </x:c>
      <x:c r="B41" s="10" t="str">
        <x:v>Parcial por alcance solicitado</x:v>
      </x:c>
      <x:c r="C41" s="10" t="str">
        <x:v>Se entrega E_social y fronteras de doble conteo. No se define fórmula electoral final.</x:v>
      </x:c>
    </x:row>
    <x:row r="42" ht="76" customHeight="1">
      <x:c r="A42" s="5" t="str">
        <x:v>Programabilidad</x:v>
      </x:c>
      <x:c r="B42" s="5" t="str">
        <x:v>Contrato v0.1</x:v>
      </x:c>
      <x:c r="C42" s="5" t="str">
        <x:v>Enums, operaciones, caps, ventanas, unidades y claves foráneas definidos. Negociación avanzada pendiente.</x:v>
      </x:c>
    </x:row>
    <x:row r="43" ht="76" customHeight="1">
      <x:c r="A43" s="10" t="str">
        <x:v>Balance numérico</x:v>
      </x:c>
      <x:c r="B43" s="10" t="str">
        <x:v>Pendiente de playtest</x:v>
      </x:c>
      <x:c r="C43" s="10" t="str">
        <x:v>No afirmar equilibrio estratégico con sólo cinco trazas deterministas.</x:v>
      </x:c>
    </x:row>
  </x:sheetData>
  <x:pageMargins left="0.7" right="0.7" top="0.75" bottom="0.75" header="0.3" footer="0.3"/>
  <x:tableParts count="2">
    <x:tablePart xmlns:r="http://schemas.openxmlformats.org/officeDocument/2006/relationships" r:id="R199b368fc2c6478c"/>
    <x:tablePart xmlns:r="http://schemas.openxmlformats.org/officeDocument/2006/relationships" r:id="Ra238be2a930a4e52"/>
  </x:tableParts>
</x:worksheet>
</file>