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0B_MOTOR" sheetId="2" state="visible" r:id="rId4"/>
    <sheet name="01_INDICADORES" sheetId="3" state="visible" r:id="rId5"/>
    <sheet name="01B_INTERACCIONES" sheetId="4" state="visible" r:id="rId6"/>
    <sheet name="02_ACTORES" sheetId="5" state="visible" r:id="rId7"/>
    <sheet name="03_MATRIZ" sheetId="6" state="visible" r:id="rId8"/>
    <sheet name="03B_PIVOTE" sheetId="7" state="visible" r:id="rId9"/>
    <sheet name="04_ACCIONES" sheetId="8" state="visible" r:id="rId10"/>
    <sheet name="05_EFECTOS" sheetId="9" state="visible" r:id="rId11"/>
    <sheet name="06_ARBOL" sheetId="10" state="visible" r:id="rId12"/>
    <sheet name="07_CANALES" sheetId="11" state="visible" r:id="rId13"/>
    <sheet name="08_REUNIONES" sheetId="12" state="visible" r:id="rId14"/>
    <sheet name="09_AUDITORIA" sheetId="13" state="visible" r:id="rId15"/>
    <sheet name="10_FALTANTES" sheetId="14" state="visible" r:id="rId16"/>
    <sheet name="11_SIMULACIONES" sheetId="15" state="visible" r:id="rId17"/>
    <sheet name="12_RIESGO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<sst xmlns="http://schemas.openxmlformats.org/spreadsheetml/2006/main" count="7875" uniqueCount="2927">
  <si>
    <t xml:space="preserve">GobernArg — Motor causal v1 (diseño, sin código)</t>
  </si>
  <si>
    <t xml:space="preserve">Fuente: dump actionRegistry.ts 23-09-2026 + chat de contexto. Todos los números son primera calibración.</t>
  </si>
  <si>
    <t xml:space="preserve">CADENA CAUSAL</t>
  </si>
  <si>
    <t xml:space="preserve">1</t>
  </si>
  <si>
    <t xml:space="preserve">ACCIÓN del jugador (decisión) → genera un PAQUETE DE EFECTOS (instrucciones con timing).</t>
  </si>
  <si>
    <t xml:space="preserve">2</t>
  </si>
  <si>
    <t xml:space="preserve">EFECTOS → modifican INDICADORES DEL PAÍS (15) y variables de sistema (caja, gasto corriente, deuda, flags).</t>
  </si>
  <si>
    <t xml:space="preserve">3</t>
  </si>
  <si>
    <t xml:space="preserve">REGLAS ESTRUCTURALES (01B) → los indicadores se afectan entre sí (inflación erosiona salario, inversión genera actividad…).</t>
  </si>
  <si>
    <t xml:space="preserve">4</t>
  </si>
  <si>
    <t xml:space="preserve">ACTORES (17) → observan un subconjunto de indicadores con sensibilidades (03) → SATISFACCIÓN.</t>
  </si>
  <si>
    <t xml:space="preserve">5</t>
  </si>
  <si>
    <t xml:space="preserve">SATISFACCIÓN × RELACIÓN × influence → CANALES DE PODER (07): inversión, divisas, conflicto, votos en el Congreso, ejecución… Tienen 1 turno de rezago.</t>
  </si>
  <si>
    <t xml:space="preserve">6</t>
  </si>
  <si>
    <t xml:space="preserve">SATISFACCIÓN × electoralWeight → APROBACIÓN (APRO) → parte de la INTENCIÓN DE VOTO. Cooperación (SAT+REL) × influence + LEG + paz social → GOBERNABILIDAD.</t>
  </si>
  <si>
    <t xml:space="preserve">LÓGICA DEL TURNO (orden de resolución)</t>
  </si>
  <si>
    <t xml:space="preserve">T.1</t>
  </si>
  <si>
    <t xml:space="preserve">Fase de decisión: el jugador gasta PA (4) y caja. Cada acción queda en el TurnRecord del turno.</t>
  </si>
  <si>
    <t xml:space="preserve">T.2</t>
  </si>
  <si>
    <t xml:space="preserve">Cierre: se registran ejecuciones en el historial; se evalúan condiciones EXEC y reglas de repetición (COUNT incluye la ejecución actual) y se AGENDAN todas las instancias de efecto con su turno de aplicación.</t>
  </si>
  <si>
    <t xml:space="preserve">T.3</t>
  </si>
  <si>
    <t xml:space="preserve">Se aplican los efectos cuyo turno llegó (de este turno y de turnos anteriores): DELTA al valor base, BONUS se activan, FLAGS se setean. Condiciones APPLY se evalúan acá.</t>
  </si>
  <si>
    <t xml:space="preserve">T.4</t>
  </si>
  <si>
    <t xml:space="preserve">Se aplican los efectos de CANALES DE PODER programados en el cierre anterior.</t>
  </si>
  <si>
    <t xml:space="preserve">T.5</t>
  </si>
  <si>
    <t xml:space="preserve">Fiscal: recaudación, gasto corriente, servicio de deuda → resultado fiscal → CAJA.</t>
  </si>
  <si>
    <t xml:space="preserve">T.6</t>
  </si>
  <si>
    <t xml:space="preserve">Reglas estructurales (01B) calculadas sobre una FOTO del estado (sin orden de dependencia) y aplicadas juntas. Clamp 0-100. SOLV se recalcula.</t>
  </si>
  <si>
    <t xml:space="preserve">T.7</t>
  </si>
  <si>
    <t xml:space="preserve">Actores: objetivo de satisfacción → SAT se mueve 40% hacia el objetivo.</t>
  </si>
  <si>
    <t xml:space="preserve">T.8</t>
  </si>
  <si>
    <t xml:space="preserve">Canales de poder: se evalúan con la SAT nueva y se AGENDAN para el turno siguiente (rezago anti-espiral). Eventos (paro, corrida…) se chequean acá.</t>
  </si>
  <si>
    <t xml:space="preserve">T.9</t>
  </si>
  <si>
    <t xml:space="preserve">Relaciones: compromisos cumplidos/incumplidos, demandas atendidas, reuniones vacías.</t>
  </si>
  <si>
    <t xml:space="preserve">T.10</t>
  </si>
  <si>
    <t xml:space="preserve">Político: LEG, GOB, APRO, IV. Expectativas E[ind] se adaptan 10%. Vencen BONUS y FLAGS. Siguiente turno.</t>
  </si>
  <si>
    <t xml:space="preserve">ACCIÓN ≠ EFECTO ≠ INDICADOR</t>
  </si>
  <si>
    <t xml:space="preserve">Acción</t>
  </si>
  <si>
    <t xml:space="preserve">Lo que decide el jugador (emitir_dinero). No dice quién se pone contento.</t>
  </si>
  <si>
    <t xml:space="preserve">Efecto</t>
  </si>
  <si>
    <t xml:space="preserve">Instrucción con timing: qué variable, cuánto, cuándo, cuánto dura, bajo qué condición. Tabla 05, una fila por efecto. No es una variable del país.</t>
  </si>
  <si>
    <t xml:space="preserve">Indicador</t>
  </si>
  <si>
    <t xml:space="preserve">Estado del país en el turno (INFL=62). Resultado acumulado de todos los efectos y reglas. Es lo que los actores miran.</t>
  </si>
  <si>
    <t xml:space="preserve">Modo DELTA</t>
  </si>
  <si>
    <t xml:space="preserve">Suma al valor base: permanente (sujeto a la dinámica de 01B).</t>
  </si>
  <si>
    <t xml:space="preserve">Modo BONUS</t>
  </si>
  <si>
    <t xml:space="preserve">Modificador temporal sobre el valor efectivo: se retira al vencer (ej.: control de precios). Valor efectivo = base + Σ bonus activos.</t>
  </si>
  <si>
    <t xml:space="preserve">SATISFACCIÓN ≠ RELACIÓN</t>
  </si>
  <si>
    <t xml:space="preserve">Satisfacción</t>
  </si>
  <si>
    <t xml:space="preserve">¿Cómo le va al actor? Sólo depende de indicadores (+ variables políticas para actores políticos). No se compra.</t>
  </si>
  <si>
    <t xml:space="preserve">Relación</t>
  </si>
  <si>
    <t xml:space="preserve">¿Cómo es el vínculo con el gobierno? Reuniones (poco), acuerdos cumplidos (mucho), demandas atendidas, concesiones explícitas, incumplimientos (castigo).</t>
  </si>
  <si>
    <t xml:space="preserve">Uso</t>
  </si>
  <si>
    <t xml:space="preserve">Voto = satisfacción. Canales de poder y gobernabilidad = satisfacción × relación. Ej.: Sindicatos SAT 78 / REL 32 → no te castigan en las urnas, pero la cooperación (pacto social, tregua) no está disponible.</t>
  </si>
  <si>
    <t xml:space="preserve">REGLAS ANTI DOBLE CONTEO</t>
  </si>
  <si>
    <t xml:space="preserve">DC-1</t>
  </si>
  <si>
    <t xml:space="preserve">Ningún indicador entra directo a la intención de voto. Sólo vía actores.</t>
  </si>
  <si>
    <t xml:space="preserve">DC-2</t>
  </si>
  <si>
    <t xml:space="preserve">Los agregados macro (Economía, Estado y servicios, Desarrollo, Instituciones) son SOLO visuales.</t>
  </si>
  <si>
    <t xml:space="preserve">DC-3</t>
  </si>
  <si>
    <t xml:space="preserve">Los canales de poder sólo tocan variables físicas/políticas (INVC, EXTE, CONF, LEG, eficacia), nunca APRO/IV.</t>
  </si>
  <si>
    <t xml:space="preserve">DC-4</t>
  </si>
  <si>
    <t xml:space="preserve">Efectos directos acción → relación sólo cuando la acción ES un vínculo con ese actor (acuerdo, reforma dirigida, reparto de cargos, transferencia, bypass). Están listados en la columna 'relación directa' de 04. Nunca acción → satisfacción.</t>
  </si>
  <si>
    <t xml:space="preserve">DC-5</t>
  </si>
  <si>
    <t xml:space="preserve">Actores políticos (oficialismo, aliados, gobernadores) aportan al voto por ESTRUCTURA, no por satisfacción × EW. Oposición aporta 0.</t>
  </si>
  <si>
    <t xml:space="preserve">DC-6</t>
  </si>
  <si>
    <t xml:space="preserve">SOLV es derivado: el gasto se cobra una sola vez (caja → resultado → SOLV).</t>
  </si>
  <si>
    <t xml:space="preserve">DECISIONES TOMADAS (y por qué)</t>
  </si>
  <si>
    <t xml:space="preserve">D-01</t>
  </si>
  <si>
    <t xml:space="preserve">15 indicadores = 13 primarios + 2 sistémicos (SOLV derivado, CONF alimentado por actores). Se fusionaron: consumo+empleo+actividad; inversión+crédito; fiscal+deuda; salud+vivienda+asistencia; derechos+calidad institucional; conectividad→infraestructura.</t>
  </si>
  <si>
    <t xml:space="preserve">D-02</t>
  </si>
  <si>
    <t xml:space="preserve">17 actores: +Sectores populares (faltaba el electorado masivo no-clase-media); Cooperativas→Org. sociales (mismo canal); Derechos+Cultura (mismo canal: legitimidad/agenda).</t>
  </si>
  <si>
    <t xml:space="preserve">D-03</t>
  </si>
  <si>
    <t xml:space="preserve">Clase media y sectores populares no tienen 'relación' ni reuniones: se informan con encuestas.</t>
  </si>
  <si>
    <t xml:space="preserve">D-04</t>
  </si>
  <si>
    <t xml:space="preserve">Oposición: electoralWeight 0. Su satisfacción = disposición a cooperar.</t>
  </si>
  <si>
    <t xml:space="preserve">D-05</t>
  </si>
  <si>
    <t xml:space="preserve">Antagonismo automático eliminado. El conflicto emerge de sensibilidades distintas (ver 11: tasas → Financiero ↑, PyMEs ↓).</t>
  </si>
  <si>
    <t xml:space="preserve">D-06</t>
  </si>
  <si>
    <t xml:space="preserve">Emisión: ventana móvil de 6 turnos (umbral 3, escala en 4 y 5) + desanclaje oculto persistente. Se eligió 6 en vez de 5 porque con 16 turnos una ventana de 5 permite emitir 2 de cada 5 indefinidamente con daño bajo.</t>
  </si>
  <si>
    <t xml:space="preserve">D-07</t>
  </si>
  <si>
    <t xml:space="preserve">Ejes ideológicos → plataforma del oficialismo (3 indicadores): adaptarse al contexto cuesta cohesión propia sin etiquetar izquierda/derecha.</t>
  </si>
  <si>
    <t xml:space="preserve">D-08</t>
  </si>
  <si>
    <t xml:space="preserve">Reuniones = información + habilitación. Relación se gana cumpliendo acuerdos.</t>
  </si>
  <si>
    <t xml:space="preserve">D-09</t>
  </si>
  <si>
    <t xml:space="preserve">61 → 57 acciones de política + 6 de sistema (reunión, negociación, acuerdo, encuesta, coalición, transferencias). 302 filas de efectos.</t>
  </si>
  <si>
    <t xml:space="preserve">D-10</t>
  </si>
  <si>
    <t xml:space="preserve">CAJA&lt;0 al cierre → emisión forzada al turno siguiente (cuenta en la ventana de emitir_dinero). El déficit sin financiamiento se paga con inflación.</t>
  </si>
  <si>
    <t xml:space="preserve">DECISIONES ABIERTAS</t>
  </si>
  <si>
    <t xml:space="preserve">Ver 12_RIESGOS: R-07, R-17, R-21 a R-26.</t>
  </si>
  <si>
    <t xml:space="preserve">GUÍA DE PESTAÑAS</t>
  </si>
  <si>
    <t xml:space="preserve">00B_MOTOR</t>
  </si>
  <si>
    <t xml:space="preserve">Fórmulas, DSL de condiciones y parámetros.</t>
  </si>
  <si>
    <t xml:space="preserve">01 / 01B</t>
  </si>
  <si>
    <t xml:space="preserve">Indicadores / reglas estructurales entre indicadores.</t>
  </si>
  <si>
    <t xml:space="preserve">02 / 03</t>
  </si>
  <si>
    <t xml:space="preserve">Actores / matriz de sensibilidades (formato largo) + vista pivote.</t>
  </si>
  <si>
    <t xml:space="preserve">04 / 05</t>
  </si>
  <si>
    <t xml:space="preserve">Acciones maestras / efectos normalizados (programables).</t>
  </si>
  <si>
    <t xml:space="preserve">06 / 07 / 08</t>
  </si>
  <si>
    <t xml:space="preserve">Árbol / canales de poder / reuniones.</t>
  </si>
  <si>
    <t xml:space="preserve">09 / 10</t>
  </si>
  <si>
    <t xml:space="preserve">Auditoría de las 61 / faltantes.</t>
  </si>
  <si>
    <t xml:space="preserve">11</t>
  </si>
  <si>
    <t xml:space="preserve">Simulaciones: corridas del prototipo del motor (números reales del modelo, no inventados).</t>
  </si>
  <si>
    <t xml:space="preserve">12</t>
  </si>
  <si>
    <t xml:space="preserve">Riesgos y decisiones abiertas.</t>
  </si>
  <si>
    <t xml:space="preserve">Fórmulas del motor, DSL y parámetros</t>
  </si>
  <si>
    <t xml:space="preserve">Celdas en azul = parámetros editables.</t>
  </si>
  <si>
    <t xml:space="preserve">SATISFACCIÓN</t>
  </si>
  <si>
    <t xml:space="preserve">dev_i</t>
  </si>
  <si>
    <t xml:space="preserve">dev_i = 0.5 × (v_i − 50)/50  +  0.5 × clamp((v_i − E_i)/K_REL, −1, 1)    [componente absoluto + relativo a la expectativa]</t>
  </si>
  <si>
    <t xml:space="preserve">objetivo</t>
  </si>
  <si>
    <t xml:space="preserve">SAT* = 50 + 50 × Σ_i ( s_ai × dev_i ) / Σ_i |s_ai|     (s_ai = sensibilidad de la matriz 03; saliencia puede multiplicar s_ai)</t>
  </si>
  <si>
    <t xml:space="preserve">dinámica</t>
  </si>
  <si>
    <t xml:space="preserve">SAT(t+1) = SAT(t) + ALFA_SAT × (SAT* − SAT(t))</t>
  </si>
  <si>
    <t xml:space="preserve">no linealidad</t>
  </si>
  <si>
    <t xml:space="preserve">En el prototipo: SAT* = 50 + 50 × tanh(2 × Σ c_i / Σ|s_i|), con c_i = s_i × dev_i × 1.25 si c_i&lt;0 (las malas noticias pesan 25% más). Evita que un actor con 7 indicadores quede siempre cerca de 50.</t>
  </si>
  <si>
    <t xml:space="preserve">expectativa</t>
  </si>
  <si>
    <t xml:space="preserve">E_i(t+1) = E_i(t) + BETA_EXPECT × (v_i − E_i)</t>
  </si>
  <si>
    <t xml:space="preserve">escala de s</t>
  </si>
  <si>
    <t xml:space="preserve">−10..+10. El signo indica si más del indicador es bueno (+) o malo (−) para el actor. |s| es importancia relativa: 8-10 crítica, 5-7 alta, 3-4 media, 1-2 baja. Se normaliza por Σ|s|: un actor que mira 7 indicadores no es más volátil que uno que mira 3.</t>
  </si>
  <si>
    <t xml:space="preserve">CANALES</t>
  </si>
  <si>
    <t xml:space="preserve">descontento</t>
  </si>
  <si>
    <t xml:space="preserve">D = max(0, UMBRAL − SAT)/UMBRAL</t>
  </si>
  <si>
    <t xml:space="preserve">presión</t>
  </si>
  <si>
    <t xml:space="preserve">P = D × (1 − REL/200) × influence/10     → la relación amortigua hasta 50%</t>
  </si>
  <si>
    <t xml:space="preserve">apoyo</t>
  </si>
  <si>
    <t xml:space="preserve">S = max(0, SAT − 65)/35 × (0.5 + REL/200) × influence/10</t>
  </si>
  <si>
    <t xml:space="preserve">rezago</t>
  </si>
  <si>
    <t xml:space="preserve">Los efectos de canal se aplican en el turno siguiente.</t>
  </si>
  <si>
    <t xml:space="preserve">POLÍTICO</t>
  </si>
  <si>
    <t xml:space="preserve">APRO</t>
  </si>
  <si>
    <t xml:space="preserve">APRO = 100 × Σ_{a∈SATISFACCION} EW_a × g(SAT_a) / Σ EW_a ;  g(x) = 1/(1+e^(−(x−50)/10))  (curva S: los extremos pesan más)</t>
  </si>
  <si>
    <t xml:space="preserve">ESTRUCTURA</t>
  </si>
  <si>
    <t xml:space="preserve">ESTR = Σ_{a∈ESTRUCTURA} EW_a × (0.5×SAT_a + 0.5×REL_a) / Σ EW_a</t>
  </si>
  <si>
    <t xml:space="preserve">IV</t>
  </si>
  <si>
    <t xml:space="preserve">IV = PESO_APRO × APRO + PESO_ESTR × ESTR + PESO_OTROS × OTROS   (OTROS a diseñar; no puede leer indicadores)</t>
  </si>
  <si>
    <t xml:space="preserve">LEG</t>
  </si>
  <si>
    <t xml:space="preserve">LEG = 38 (oficialismo base) + 9 si REL(aliados)≥40 + ajustes de canales (oficialismo, aliados, gobernadores ±3, ampliar_coalicion) · se reinicia parcialmente en legislativas T8</t>
  </si>
  <si>
    <t xml:space="preserve">GOB</t>
  </si>
  <si>
    <t xml:space="preserve">GOB = 0.3 × LEG_norm + 0.4 × Σ_org influence_a × (0.5 SAT_a + 0.5 REL_a)/Σ influence + 0.3 × (100 − CONF)</t>
  </si>
  <si>
    <t xml:space="preserve">FISCAL</t>
  </si>
  <si>
    <t xml:space="preserve">recaudación</t>
  </si>
  <si>
    <t xml:space="preserve">ING = INGRESO_BASE × (0.7 + 0.3×ACTV/50) × (PRES/50) × INGRESO_MULT × (1 − 0.15×max(0, INFL−60)/40)</t>
  </si>
  <si>
    <t xml:space="preserve">resultado</t>
  </si>
  <si>
    <t xml:space="preserve">RES = ING − GASTO_CORR − TASA_DEUDA × DEUDA − Σ costo de acciones del turno   (emisión y préstamos NO son ingreso)</t>
  </si>
  <si>
    <t xml:space="preserve">caja</t>
  </si>
  <si>
    <t xml:space="preserve">CAJA += RES + financiamiento (emisión, préstamos, privatización)</t>
  </si>
  <si>
    <t xml:space="preserve">caja negativa</t>
  </si>
  <si>
    <t xml:space="preserve">Si CAJA&lt;0 al cierre: emisión forzada en el turno siguiente (entra al historial como emitir_dinero).</t>
  </si>
  <si>
    <t xml:space="preserve">DSL DE CONDICIONES (columna 'condición' / 'regla de repetición')</t>
  </si>
  <si>
    <t xml:space="preserve">indicadores</t>
  </si>
  <si>
    <t xml:space="preserve">INFL, ACTV, … (valor efectivo)</t>
  </si>
  <si>
    <t xml:space="preserve">recursos</t>
  </si>
  <si>
    <t xml:space="preserve">CAJA, DEUDA, LEG, GOB, RESULT3 (promedio resultado fiscal 3 turnos), TURN</t>
  </si>
  <si>
    <t xml:space="preserve">funciones</t>
  </si>
  <si>
    <t xml:space="preserve">COUNT(accion, N) = ejecuciones en los últimos N turnos incluyendo el actual · DONE(accion, N) = COUNT≥1 · FLAG(x) · SAT(actor) · REL(actor)</t>
  </si>
  <si>
    <t xml:space="preserve">operadores</t>
  </si>
  <si>
    <t xml:space="preserve">and, or, not, &gt;=, &lt;=, &lt;, &gt;, ==</t>
  </si>
  <si>
    <t xml:space="preserve">evaluación</t>
  </si>
  <si>
    <t xml:space="preserve">EXEC = al ejecutar (queda fijo) · APPLY = cuando el efecto vence su turno</t>
  </si>
  <si>
    <t xml:space="preserve">targets</t>
  </si>
  <si>
    <t xml:space="preserve">Indicador · CAJA · GASTO_CORR · DEUDA · INGRESO_MULT · DESANCLAJE · LEG · FLAG:x · REL:actor · COSTO_MULT:categoria</t>
  </si>
  <si>
    <t xml:space="preserve">duración</t>
  </si>
  <si>
    <t xml:space="preserve">número de turnos · PERM · 99 (mientras se cumpla la condición APPLY)</t>
  </si>
  <si>
    <t xml:space="preserve">[actor]</t>
  </si>
  <si>
    <t xml:space="preserve">Plantilla: en acciones de sistema se reemplaza por el actor elegido.</t>
  </si>
  <si>
    <t xml:space="preserve">PARÁMETROS</t>
  </si>
  <si>
    <t xml:space="preserve">Parámetro</t>
  </si>
  <si>
    <t xml:space="preserve">Valor</t>
  </si>
  <si>
    <t xml:space="preserve">Qué hace</t>
  </si>
  <si>
    <t xml:space="preserve">Origen / estado</t>
  </si>
  <si>
    <t xml:space="preserve">ACCIONES_POR_TURNO</t>
  </si>
  <si>
    <t xml:space="preserve">Puntos de acción (PA) por turno. Acciones grandes cuestan 2.</t>
  </si>
  <si>
    <t xml:space="preserve">Del ejemplo del usuario; calibrar.</t>
  </si>
  <si>
    <t xml:space="preserve">TURNOS_MANDATO</t>
  </si>
  <si>
    <t xml:space="preserve">1 turno = 1 trimestre. Legislativas en T8, presidenciales en T16.</t>
  </si>
  <si>
    <t xml:space="preserve">Del código actual (16).</t>
  </si>
  <si>
    <t xml:space="preserve">REUNIONES_GRATIS</t>
  </si>
  <si>
    <t xml:space="preserve">Reuniones sin costo de PA por turno (agenda presidencial). Extras: 1 PA.</t>
  </si>
  <si>
    <t xml:space="preserve">Propuesta.</t>
  </si>
  <si>
    <t xml:space="preserve">INGRESO_BASE</t>
  </si>
  <si>
    <t xml:space="preserve">Recaudación de referencia por turno.</t>
  </si>
  <si>
    <t xml:space="preserve">Calibrar contra código.</t>
  </si>
  <si>
    <t xml:space="preserve">GASTO_CORR_INICIAL</t>
  </si>
  <si>
    <t xml:space="preserve">Gasto corriente inicial por turno.</t>
  </si>
  <si>
    <t xml:space="preserve">Calibrar.</t>
  </si>
  <si>
    <t xml:space="preserve">DEUDA_INICIAL</t>
  </si>
  <si>
    <t xml:space="preserve">Stock de deuda inicial.</t>
  </si>
  <si>
    <t xml:space="preserve">TASA_DEUDA</t>
  </si>
  <si>
    <t xml:space="preserve">Servicio de deuda por turno = TASA × DEUDA.</t>
  </si>
  <si>
    <t xml:space="preserve">CAJA_INICIAL</t>
  </si>
  <si>
    <t xml:space="preserve">Caja al turno 1.</t>
  </si>
  <si>
    <t xml:space="preserve">ALFA_SAT</t>
  </si>
  <si>
    <t xml:space="preserve">Velocidad a la que la satisfacción converge a su objetivo.</t>
  </si>
  <si>
    <t xml:space="preserve">Inercia: evita saltos.</t>
  </si>
  <si>
    <t xml:space="preserve">BETA_EXPECT</t>
  </si>
  <si>
    <t xml:space="preserve">Adaptación de expectativas por turno.</t>
  </si>
  <si>
    <t xml:space="preserve">Evita 'satisfacción eterna'.</t>
  </si>
  <si>
    <t xml:space="preserve">K_REL</t>
  </si>
  <si>
    <t xml:space="preserve">Desvío vs expectativa que satura el componente relativo.</t>
  </si>
  <si>
    <t xml:space="preserve">—</t>
  </si>
  <si>
    <t xml:space="preserve">UMBRAL_LEY</t>
  </si>
  <si>
    <t xml:space="preserve">LEG mínimo para acciones LEY (modificable por oposición 45/55 y luna de miel).</t>
  </si>
  <si>
    <t xml:space="preserve">Del código (45) subido a 50.</t>
  </si>
  <si>
    <t xml:space="preserve">LUNA_MIEL</t>
  </si>
  <si>
    <t xml:space="preserve">Turnos iniciales con LEG +8 para acciones LEY.</t>
  </si>
  <si>
    <t xml:space="preserve">PESO_APRO_EN_IV</t>
  </si>
  <si>
    <t xml:space="preserve">Parte de la intención de voto que viene de actores.</t>
  </si>
  <si>
    <t xml:space="preserve">ABIERTO: 0.55–0.75.</t>
  </si>
  <si>
    <t xml:space="preserve">PESO_ESTRUCTURA_EN_IV</t>
  </si>
  <si>
    <t xml:space="preserve">Aparato territorial (oficialismo, aliados, gobernadores).</t>
  </si>
  <si>
    <t xml:space="preserve">ABIERTO.</t>
  </si>
  <si>
    <t xml:space="preserve">PESO_OTROS_EN_IV</t>
  </si>
  <si>
    <t xml:space="preserve">Campaña, candidato, fatiga, fuerza opositora, eventos.</t>
  </si>
  <si>
    <t xml:space="preserve">ABIERTO: a diseñar.</t>
  </si>
  <si>
    <t xml:space="preserve">Control</t>
  </si>
  <si>
    <t xml:space="preserve">Suma de pesos de la intención de voto (debe dar 1).</t>
  </si>
  <si>
    <t xml:space="preserve">Indicadores del país (15 = 13 primarios + 2 sistémicos)</t>
  </si>
  <si>
    <t xml:space="preserve">Los agregados macro (columna C) son SOLO visuales: no alimentan actores ni voto (regla DC-2).</t>
  </si>
  <si>
    <t xml:space="preserve">indicatorId</t>
  </si>
  <si>
    <t xml:space="preserve">Nombre</t>
  </si>
  <si>
    <t xml:space="preserve">Categoría macro (visual)</t>
  </si>
  <si>
    <t xml:space="preserve">Definición</t>
  </si>
  <si>
    <t xml:space="preserve">Qué significa ALTO</t>
  </si>
  <si>
    <t xml:space="preserve">Qué significa BAJO</t>
  </si>
  <si>
    <t xml:space="preserve">Escala</t>
  </si>
  <si>
    <t xml:space="preserve">Valor inicial</t>
  </si>
  <si>
    <t xml:space="preserve">Visibilidad</t>
  </si>
  <si>
    <t xml:space="preserve">Importancia MVP</t>
  </si>
  <si>
    <t xml:space="preserve">Tipo</t>
  </si>
  <si>
    <t xml:space="preserve">Políticas que lo mueven</t>
  </si>
  <si>
    <t xml:space="preserve">Interacciones</t>
  </si>
  <si>
    <t xml:space="preserve">Observaciones</t>
  </si>
  <si>
    <t xml:space="preserve">INFL</t>
  </si>
  <si>
    <t xml:space="preserve">Inflación</t>
  </si>
  <si>
    <t xml:space="preserve">Economía</t>
  </si>
  <si>
    <t xml:space="preserve">Ritmo de aumento generalizado de precios. Índice 0-100 (no es % literal).</t>
  </si>
  <si>
    <t xml:space="preserve">Precios subiendo rápido; erosiona salarios, crédito y recaudación real. &gt;90 sostenido = hiperinflación.</t>
  </si>
  <si>
    <t xml:space="preserve">Estabilidad de precios; ancla expectativas y habilita crédito.</t>
  </si>
  <si>
    <t xml:space="preserve">0-100 · mapeo orientativo: 20≈1% mensual, 40≈3%, 60≈6%, 80≈12%, 95≈&gt;50%</t>
  </si>
  <si>
    <t xml:space="preserve">Visible (dato público INDEC)</t>
  </si>
  <si>
    <t xml:space="preserve">Crítica</t>
  </si>
  <si>
    <t xml:space="preserve">Primario</t>
  </si>
  <si>
    <t xml:space="preserve">emitir_dinero, devaluacion, control_precios, politica_monetaria_contractiva, pacto_social, actualizar_tarifas, congelar_tarifas, suba_salario_minimo</t>
  </si>
  <si>
    <t xml:space="preserve">Ancla = f(SOLV, EXTE, DESANCLAJE). Erosiona PODA e INVC; reduce recaudación real (Olivera-Tanzi).</t>
  </si>
  <si>
    <t xml:space="preserve">Indicador más transversal: casi todos los actores lo miran. Por eso su sensibilidad se modera en actores que también miran PODA.</t>
  </si>
  <si>
    <t xml:space="preserve">ACTV</t>
  </si>
  <si>
    <t xml:space="preserve">Actividad y empleo</t>
  </si>
  <si>
    <t xml:space="preserve">Nivel de actividad económica, consumo y empleo (fusiona actividad, consumo y empleo).</t>
  </si>
  <si>
    <t xml:space="preserve">Economía creciendo, desempleo bajo, más recaudación.</t>
  </si>
  <si>
    <t xml:space="preserve">Recesión, desempleo, cierres; presiona protección social y conflictividad.</t>
  </si>
  <si>
    <t xml:space="preserve">0-100 (50 = normalidad)</t>
  </si>
  <si>
    <t xml:space="preserve">Visible</t>
  </si>
  <si>
    <t xml:space="preserve">emitir_dinero (corto plazo), obras, promocion_industrial, credito_pyme, reduccion_gasto (−), politica_monetaria_contractiva (−)</t>
  </si>
  <si>
    <t xml:space="preserve">Recibe de INVC, INFR, CONF, EXTE. Alimenta recaudación, PODA, PSOC, SEGU.</t>
  </si>
  <si>
    <t xml:space="preserve">Se fusionan consumo y empleo: en el MVP casi nunca divergen de forma jugable. Si más adelante se quiere 'crecimiento sin empleo' se separa.</t>
  </si>
  <si>
    <t xml:space="preserve">PODA</t>
  </si>
  <si>
    <t xml:space="preserve">Poder adquisitivo</t>
  </si>
  <si>
    <t xml:space="preserve">Ingreso real de hogares (salario real, jubilaciones, ingresos informales).</t>
  </si>
  <si>
    <t xml:space="preserve">Hogares llegan a fin de mes, consumo sostenido.</t>
  </si>
  <si>
    <t xml:space="preserve">Pérdida de salario real; malestar en trabajadores, clase media y sectores populares.</t>
  </si>
  <si>
    <t xml:space="preserve">0-100</t>
  </si>
  <si>
    <t xml:space="preserve">aumento_salarial, suba_salario_minimo, bono_jubilados, cobertura_social; (−) devaluacion, actualizar_tarifas</t>
  </si>
  <si>
    <t xml:space="preserve">Erosionado por INFL cada turno; empujado por ACTV.</t>
  </si>
  <si>
    <t xml:space="preserve">Es el principal 'contrapeso' de la inflación: permite que subir salarios mejore a unos y empuje INFL.</t>
  </si>
  <si>
    <t xml:space="preserve">INVC</t>
  </si>
  <si>
    <t xml:space="preserve">Inversión y crédito</t>
  </si>
  <si>
    <t xml:space="preserve">Disponibilidad y costo del financiamiento productivo + decisión de invertir (fusiona inversión y crédito).</t>
  </si>
  <si>
    <t xml:space="preserve">Crédito accesible, empresas invierten → actividad futura.</t>
  </si>
  <si>
    <t xml:space="preserve">Crédito caro/escaso, desinversión → actividad cae en turnos siguientes.</t>
  </si>
  <si>
    <t xml:space="preserve">Parcial (tendencia ↑↓ y rango)</t>
  </si>
  <si>
    <t xml:space="preserve">Alta</t>
  </si>
  <si>
    <t xml:space="preserve">credito_pyme, promocion_industrial, regimen_grandes_inversiones, reduccion_impuestos; (−) politica_monetaria_contractiva, prestamo_local, control_cambios</t>
  </si>
  <si>
    <t xml:space="preserve">Recibe de INST, CIEN, INFL, PRES. Empuja ACTV con 1 turno de rezago.</t>
  </si>
  <si>
    <t xml:space="preserve">Es el 'puente temporal' de la economía: lo que hacés hoy con INVC aparece en ACTV mañana. Fusionado con crédito: la tensión Financiero/PyMEs se resuelve porque Financiero pondera SOLV/INFL e INVC poco.</t>
  </si>
  <si>
    <t xml:space="preserve">PRES</t>
  </si>
  <si>
    <t xml:space="preserve">Presión tributaria</t>
  </si>
  <si>
    <t xml:space="preserve">Carga impositiva efectiva sobre producción y hogares (incluye retenciones).</t>
  </si>
  <si>
    <t xml:space="preserve">Mucha recaudación potencial, pero desalienta inversión y enoja a quien paga.</t>
  </si>
  <si>
    <t xml:space="preserve">Carga baja; menos recaudación.</t>
  </si>
  <si>
    <t xml:space="preserve">Primario (palanca)</t>
  </si>
  <si>
    <t xml:space="preserve">mejorar_recaudacion, reforma_tributaria, subir/bajar_retenciones, reduccion_impuestos, regimen_grandes_inversiones (−)</t>
  </si>
  <si>
    <t xml:space="preserve">Multiplica la recaudación (PRES/50). Si &gt;55 frena INVC.</t>
  </si>
  <si>
    <t xml:space="preserve">Es casi una palanca de política, pero se mantiene como indicador porque varios actores reaccionan a ella directamente.</t>
  </si>
  <si>
    <t xml:space="preserve">SOLV</t>
  </si>
  <si>
    <t xml:space="preserve">Solvencia fiscal</t>
  </si>
  <si>
    <t xml:space="preserve">DERIVADO: resultado fiscal de los últimos 3 turnos + stock de deuda. Equivale a 'riesgo país' invertido.</t>
  </si>
  <si>
    <t xml:space="preserve">Superávit, deuda manejable, acceso a financiamiento.</t>
  </si>
  <si>
    <t xml:space="preserve">Déficit persistente y deuda alta; mercados cerrados, desconfianza, presión inflacionaria.</t>
  </si>
  <si>
    <t xml:space="preserve">Visible (como riesgo país)</t>
  </si>
  <si>
    <t xml:space="preserve">Derivado (las acciones sólo aplican BONUS temporales)</t>
  </si>
  <si>
    <t xml:space="preserve">No lo mueve ninguna acción directamente: surge de caja, gasto corriente y deuda. Préstamos pueden dar BONUS temporal ('respaldo').</t>
  </si>
  <si>
    <t xml:space="preserve">Entra al ancla de INFL. Condiciona acceso a prestamo_local.</t>
  </si>
  <si>
    <t xml:space="preserve">Fusiona 'resultado fiscal' y 'deuda/acceso a financiamiento'. Al ser derivado evita doble conteo: gastar ya se cobra vía caja → SOLV.</t>
  </si>
  <si>
    <t xml:space="preserve">EXTE</t>
  </si>
  <si>
    <t xml:space="preserve">Sector externo y divisas</t>
  </si>
  <si>
    <t xml:space="preserve">Exportaciones, reservas y disponibilidad de dólares (restricción externa).</t>
  </si>
  <si>
    <t xml:space="preserve">Divisas abundantes; importar insumos es posible; menor presión cambiaria.</t>
  </si>
  <si>
    <t xml:space="preserve">Escasez de dólares; presión devaluatoria → inflación; importaciones trabadas → actividad.</t>
  </si>
  <si>
    <t xml:space="preserve">Parcial (reservas visibles, brecha cualitativa)</t>
  </si>
  <si>
    <t xml:space="preserve">devaluacion, incentivos_exportacion, retenciones, desarrollo_energetico_minero, control_cambios, turismo_y_patrimonio</t>
  </si>
  <si>
    <t xml:space="preserve">EXTE&lt;35 → +INFL y −ACTV. Entra al ancla de INFL.</t>
  </si>
  <si>
    <t xml:space="preserve">Indispensable en contexto argentino: es lo que hace que la estrategia 'consumo + gasto' choque contra una pared.</t>
  </si>
  <si>
    <t xml:space="preserve">INFR</t>
  </si>
  <si>
    <t xml:space="preserve">Infraestructura</t>
  </si>
  <si>
    <t xml:space="preserve">Estado y servicios</t>
  </si>
  <si>
    <t xml:space="preserve">Stock y estado de rutas, energía, transporte, agua y conectividad (absorbe 'conectividad').</t>
  </si>
  <si>
    <t xml:space="preserve">Logística barata, energía disponible → actividad y exportaciones.</t>
  </si>
  <si>
    <t xml:space="preserve">Cuellos de botella, cortes, costos logísticos.</t>
  </si>
  <si>
    <t xml:space="preserve">Primario (stock que se deprecia)</t>
  </si>
  <si>
    <t xml:space="preserve">infraestructura_vial, infraestructura_energetica, obras_hidricas, energia_renovable, plan_conectividad, mantenimiento_infraestructura</t>
  </si>
  <si>
    <t xml:space="preserve">Se deprecia −0.8/turno. Empuja ACTV (0.03×(INFR−50)).</t>
  </si>
  <si>
    <t xml:space="preserve">Conectividad se fusiona: no genera decisiones distintas a infraestructura en el MVP.</t>
  </si>
  <si>
    <t xml:space="preserve">EDUC</t>
  </si>
  <si>
    <t xml:space="preserve">Educación</t>
  </si>
  <si>
    <t xml:space="preserve">Funcionamiento y calidad del sistema educativo (escuelas, universidades, días de clase).</t>
  </si>
  <si>
    <t xml:space="preserve">Sistema funcionando, mejora de largo plazo en CIEN.</t>
  </si>
  <si>
    <t xml:space="preserve">Paros, deterioro, deserción.</t>
  </si>
  <si>
    <t xml:space="preserve">Parcial (se percibe con rezago)</t>
  </si>
  <si>
    <t xml:space="preserve">Media</t>
  </si>
  <si>
    <t xml:space="preserve">inversion_educativa, reforma_educativa, plan_conectividad, fomento_cultural; (−) paro docente (canal)</t>
  </si>
  <si>
    <t xml:space="preserve">Empuja CIEN lentamente. Decae −0.3/turno sin inversión.</t>
  </si>
  <si>
    <t xml:space="preserve">Resultado lento: buena prueba de decisiones de largo plazo.</t>
  </si>
  <si>
    <t xml:space="preserve">PSOC</t>
  </si>
  <si>
    <t xml:space="preserve">Protección social y salud</t>
  </si>
  <si>
    <t xml:space="preserve">Red de contención: salud pública, asistencia, vivienda social, jubilaciones mínimas (fusiona salud y vivienda).</t>
  </si>
  <si>
    <t xml:space="preserve">Contención social; menos conflictividad y delito.</t>
  </si>
  <si>
    <t xml:space="preserve">Pobreza expuesta, hospitales colapsados, conflictividad.</t>
  </si>
  <si>
    <t xml:space="preserve">cobertura_social, asistencia_alimentaria, salud_preventiva, construccion_hospitales, plan_viviendas, bono_jubilados; (−) reduccion_gasto</t>
  </si>
  <si>
    <t xml:space="preserve">PSO&lt;40 → +CONF. Con ACTV baja se deteriora. Alimenta SEGU.</t>
  </si>
  <si>
    <t xml:space="preserve">Fusión salud+vivienda+asistencia: los beneficiarios difieren poco a nivel de indicador. Ver riesgo R-07 (segmentación).</t>
  </si>
  <si>
    <t xml:space="preserve">SEGU</t>
  </si>
  <si>
    <t xml:space="preserve">Seguridad</t>
  </si>
  <si>
    <t xml:space="preserve">Seguridad ciudadana percibida y real (delito, narcotráfico).</t>
  </si>
  <si>
    <t xml:space="preserve">Baja criminalidad, sensación de orden.</t>
  </si>
  <si>
    <t xml:space="preserve">Inseguridad; castigo fuerte de clase media y sectores populares.</t>
  </si>
  <si>
    <t xml:space="preserve">seguridad_ciudadana, prevencion_comunitaria, lucha_narcotrafico, mano_dura (bonus temporal)</t>
  </si>
  <si>
    <t xml:space="preserve">Deriva con (PSOC+ACTV)/2: la exclusión alimenta delito.</t>
  </si>
  <si>
    <t xml:space="preserve">Permite dos caminos (control vs. prevención) con distinto costo en INST.</t>
  </si>
  <si>
    <t xml:space="preserve">CIEN</t>
  </si>
  <si>
    <t xml:space="preserve">Ciencia e innovación</t>
  </si>
  <si>
    <t xml:space="preserve">Desarrollo</t>
  </si>
  <si>
    <t xml:space="preserve">Capacidad científica y tecnológica; productividad de largo plazo.</t>
  </si>
  <si>
    <t xml:space="preserve">Mejora lenta de INVC y EXTE (economía del conocimiento).</t>
  </si>
  <si>
    <t xml:space="preserve">Fuga de cerebros, estancamiento de productividad.</t>
  </si>
  <si>
    <t xml:space="preserve">Parcial (sólo tendencia)</t>
  </si>
  <si>
    <t xml:space="preserve">financiamiento_ciencia, economia_conocimiento, plan_conectividad</t>
  </si>
  <si>
    <t xml:space="preserve">Recibe de EDUC. Empuja INVC y EXTE (0.03×(CIEN−50)/turno). Obsolescencia −0.2/turno.</t>
  </si>
  <si>
    <t xml:space="preserve">Se conserva porque genera la decisión intertemporal clásica: pagar hoy, cosechar después de la elección.</t>
  </si>
  <si>
    <t xml:space="preserve">INST</t>
  </si>
  <si>
    <t xml:space="preserve">Instituciones y derechos</t>
  </si>
  <si>
    <t xml:space="preserve">Instituciones y sociedad</t>
  </si>
  <si>
    <t xml:space="preserve">Calidad institucional, estado de derecho, transparencia y libertades (fusiona derechos/libertades y calidad institucional).</t>
  </si>
  <si>
    <t xml:space="preserve">Seguridad jurídica (+INVC), legitimidad, libertades protegidas.</t>
  </si>
  <si>
    <t xml:space="preserve">Arbitrariedad, restricción de derechos, judicialización.</t>
  </si>
  <si>
    <t xml:space="preserve">Parcial (cualitativo)</t>
  </si>
  <si>
    <t xml:space="preserve">fortalecimiento_justicia, transparencia_anticorrupcion, genero_y_cuidados; (−) dnu, mano_dura, control_cambios</t>
  </si>
  <si>
    <t xml:space="preserve">Empuja INVC (0.03×(INST−50)).</t>
  </si>
  <si>
    <t xml:space="preserve">Reemplaza a la vieja 'Legitimidad' como estado del país. La legitimidad del gobierno pasa a Gobernabilidad.</t>
  </si>
  <si>
    <t xml:space="preserve">AMBI</t>
  </si>
  <si>
    <t xml:space="preserve">Ambiente y recursos naturales</t>
  </si>
  <si>
    <t xml:space="preserve">Estado ambiental y de los recursos (bosques, agua, emisiones).</t>
  </si>
  <si>
    <t xml:space="preserve">Recursos protegidos; licencia social para proyectos.</t>
  </si>
  <si>
    <t xml:space="preserve">Degradación; conflictos ambientales y judicialización.</t>
  </si>
  <si>
    <t xml:space="preserve">Parcial</t>
  </si>
  <si>
    <t xml:space="preserve">proteccion_ambiental, energia_renovable, obras_hidricas; (−) desarrollo_energetico_minero, infraestructura_energetica</t>
  </si>
  <si>
    <t xml:space="preserve">ACTV&gt;55 lo presiona levemente.</t>
  </si>
  <si>
    <t xml:space="preserve">Su valor jugable es el trade-off divisas (EXTE) vs. ambiente.</t>
  </si>
  <si>
    <t xml:space="preserve">CONF</t>
  </si>
  <si>
    <t xml:space="preserve">Conflictividad social</t>
  </si>
  <si>
    <t xml:space="preserve">SISTÉMICO: intensidad de protestas, paros y cortes. Se alimenta sobre todo de los canales de poder de los actores.</t>
  </si>
  <si>
    <t xml:space="preserve">Paros, piquetes, calle caliente: frena ACTV e INVC, baja gobernabilidad.</t>
  </si>
  <si>
    <t xml:space="preserve">Paz social.</t>
  </si>
  <si>
    <t xml:space="preserve">0-100 (se disipa 25%/turno hacia 30)</t>
  </si>
  <si>
    <t xml:space="preserve">Sistémico (canales + pocas acciones)</t>
  </si>
  <si>
    <t xml:space="preserve">mano_dura (bonus −), asistencia_alimentaria, pacto_social; sube por canales de sindicatos, org. sociales, estudiantes, docentes, agro</t>
  </si>
  <si>
    <t xml:space="preserve">CONF&gt;55 → −ACTV, −INVC. Entra a Gobernabilidad. Clase media lo mira (−).</t>
  </si>
  <si>
    <t xml:space="preserve">Reemplaza a la vieja 'Estabilidad'. Es la vía por la cual el conflicto de un actor afecta a otros sin matriz de antagonismo.</t>
  </si>
  <si>
    <t xml:space="preserve">VARIABLES DE SISTEMA (no son indicadores del país)</t>
  </si>
  <si>
    <t xml:space="preserve">varId</t>
  </si>
  <si>
    <t xml:space="preserve">Inicial</t>
  </si>
  <si>
    <t xml:space="preserve">CAJA</t>
  </si>
  <si>
    <t xml:space="preserve">Presupuesto disponible (caja)</t>
  </si>
  <si>
    <t xml:space="preserve">Recurso</t>
  </si>
  <si>
    <t xml:space="preserve">Dinero disponible para ejecutar acciones. Stock.</t>
  </si>
  <si>
    <t xml:space="preserve">1500 (calibrar)</t>
  </si>
  <si>
    <t xml:space="preserve">GASTO_CORR</t>
  </si>
  <si>
    <t xml:space="preserve">Gasto corriente recurrente</t>
  </si>
  <si>
    <t xml:space="preserve">Gasto fijo por turno (sueldos, programas, mantenimiento). Las acciones recurrentes lo suben de forma permanente.</t>
  </si>
  <si>
    <t xml:space="preserve">900 (calibrar)</t>
  </si>
  <si>
    <t xml:space="preserve">DEUDA</t>
  </si>
  <si>
    <t xml:space="preserve">Stock de deuda</t>
  </si>
  <si>
    <t xml:space="preserve">Deuda acumulada. Genera servicio = TASA_DEUDA × DEUDA por turno.</t>
  </si>
  <si>
    <t xml:space="preserve">3000 (calibrar)</t>
  </si>
  <si>
    <t xml:space="preserve">INGRESO_MULT</t>
  </si>
  <si>
    <t xml:space="preserve">Eficiencia recaudatoria</t>
  </si>
  <si>
    <t xml:space="preserve">Recurso oculto</t>
  </si>
  <si>
    <t xml:space="preserve">Multiplicador de recaudación (evasión, retenciones, exenciones).</t>
  </si>
  <si>
    <t xml:space="preserve">1.00</t>
  </si>
  <si>
    <t xml:space="preserve">Oculto</t>
  </si>
  <si>
    <t xml:space="preserve">DESANCLAJE</t>
  </si>
  <si>
    <t xml:space="preserve">Desanclaje inflacionario</t>
  </si>
  <si>
    <t xml:space="preserve">Expectativas inflacionarias acumuladas. Suma al ancla de INFL. Decae −1/turno.</t>
  </si>
  <si>
    <t xml:space="preserve">12 (herencia)</t>
  </si>
  <si>
    <t xml:space="preserve">Oculto (se insinúa en reuniones con Financiero)</t>
  </si>
  <si>
    <t xml:space="preserve">Apoyo legislativo (%)</t>
  </si>
  <si>
    <t xml:space="preserve">Político</t>
  </si>
  <si>
    <t xml:space="preserve">Bancas que acompañan. Umbral de LEY = 50.</t>
  </si>
  <si>
    <t xml:space="preserve">Calculado (inicial ≈47)</t>
  </si>
  <si>
    <t xml:space="preserve">Gobernabilidad</t>
  </si>
  <si>
    <t xml:space="preserve">Capacidad de gobernar: LEG + cooperación de actores con poder + paz social.</t>
  </si>
  <si>
    <t xml:space="preserve">Calculado</t>
  </si>
  <si>
    <t xml:space="preserve">Aprobación de gestión</t>
  </si>
  <si>
    <t xml:space="preserve">Componente electoral derivado de actores (satisfacción × electoralWeight). Reemplaza a 'Popularidad'.</t>
  </si>
  <si>
    <t xml:space="preserve">Intención de voto</t>
  </si>
  <si>
    <t xml:space="preserve">APRO + ESTRUCTURA + OTROS (a definir). Nunca recibe indicadores directo.</t>
  </si>
  <si>
    <t xml:space="preserve">FLAG:*</t>
  </si>
  <si>
    <t xml:space="preserve">Banderas de estado</t>
  </si>
  <si>
    <t xml:space="preserve">Sistema</t>
  </si>
  <si>
    <t xml:space="preserve">Estados temporales o permanentes: estudio_vigente, cepo, pacto_social, ley_ambiental, acuerdo_[actor], meta_fiscal, etc.</t>
  </si>
  <si>
    <t xml:space="preserve">E[ind]</t>
  </si>
  <si>
    <t xml:space="preserve">Expectativa por indicador</t>
  </si>
  <si>
    <t xml:space="preserve">Referencia contra la que los actores comparan. Se adapta 10%/turno al valor actual.</t>
  </si>
  <si>
    <t xml:space="preserve">Igual al valor inicial</t>
  </si>
  <si>
    <t xml:space="preserve">Reglas estructurales entre indicadores (se aplican cada turno, paso T.6)</t>
  </si>
  <si>
    <t xml:space="preserve">Se calculan sobre una foto del estado y se aplican juntas. Son la vía por la que una acción produce efectos de segundo orden.</t>
  </si>
  <si>
    <t xml:space="preserve">ruleId</t>
  </si>
  <si>
    <t xml:space="preserve">Origen</t>
  </si>
  <si>
    <t xml:space="preserve">Destino</t>
  </si>
  <si>
    <t xml:space="preserve">Condición</t>
  </si>
  <si>
    <t xml:space="preserve">Fórmula por turno</t>
  </si>
  <si>
    <t xml:space="preserve">Explicación</t>
  </si>
  <si>
    <t xml:space="preserve">R01</t>
  </si>
  <si>
    <t xml:space="preserve">SOLV, EXTE, DESANCLAJE</t>
  </si>
  <si>
    <t xml:space="preserve">siempre</t>
  </si>
  <si>
    <t xml:space="preserve">INFL += 0.20 × (ANCLA − INFL);  ANCLA = 35 + 0.3×(50−SOLV) + 0.3×(50−EXTE) + DESANCLAJE</t>
  </si>
  <si>
    <t xml:space="preserve">La inflación tiene inercia y converge a un ancla que depende de la solidez fiscal, las divisas y las expectativas. Por eso bajarla exige cambiar fundamentos, no sólo controles.</t>
  </si>
  <si>
    <t xml:space="preserve">R02</t>
  </si>
  <si>
    <t xml:space="preserve">INFL &gt; 45</t>
  </si>
  <si>
    <t xml:space="preserve">PODA −= 0.10 × (INFL − 45)</t>
  </si>
  <si>
    <t xml:space="preserve">La inflación erosiona el ingreso real cada turno. Obliga a política salarial o a bajar la inflación.</t>
  </si>
  <si>
    <t xml:space="preserve">R03</t>
  </si>
  <si>
    <t xml:space="preserve">PODA += 0.05 × (ACTV − 50) + 0.05 × (50 − PODA)</t>
  </si>
  <si>
    <t xml:space="preserve">Con empleo alto los salarios se recuperan; las paritarias tienden a recomponer lentamente.</t>
  </si>
  <si>
    <t xml:space="preserve">R04</t>
  </si>
  <si>
    <t xml:space="preserve">siempre (usa valor del turno anterior)</t>
  </si>
  <si>
    <t xml:space="preserve">ACTV += 0.08 × (INVC − 50)</t>
  </si>
  <si>
    <t xml:space="preserve">La inversión de hoy es actividad de mañana (rezago 1 turno).</t>
  </si>
  <si>
    <t xml:space="preserve">R05</t>
  </si>
  <si>
    <t xml:space="preserve">ACTV += 0.03 × (INFR − 50)</t>
  </si>
  <si>
    <t xml:space="preserve">Infraestructura buena abarata producir.</t>
  </si>
  <si>
    <t xml:space="preserve">R06</t>
  </si>
  <si>
    <t xml:space="preserve">ACTV, INVC</t>
  </si>
  <si>
    <t xml:space="preserve">CONF &gt; 55</t>
  </si>
  <si>
    <t xml:space="preserve">ACTV −= 0.06 × (CONF − 55);  INVC −= 0.04 × (CONF − 55)</t>
  </si>
  <si>
    <t xml:space="preserve">El conflicto frena la economía. Vía por la cual un paro afecta a PyMEs y clase media.</t>
  </si>
  <si>
    <t xml:space="preserve">R07</t>
  </si>
  <si>
    <t xml:space="preserve">INFL, ACTV</t>
  </si>
  <si>
    <t xml:space="preserve">EXTE &lt; 35</t>
  </si>
  <si>
    <t xml:space="preserve">INFL += 0.10 × (35 − EXTE);  ACTV −= 0.06 × (35 − EXTE)</t>
  </si>
  <si>
    <t xml:space="preserve">Restricción externa: presión cambiaria e insumos importados trabados.</t>
  </si>
  <si>
    <t xml:space="preserve">R08</t>
  </si>
  <si>
    <t xml:space="preserve">INFL, PRES, INST, CIEN</t>
  </si>
  <si>
    <t xml:space="preserve">INVC += 0.04×(INST−50) + 0.03×(CIEN−50) − 0.08×max(0,INFL−60) − 0.05×max(0,PRES−55) + 0.05×(45−INVC)</t>
  </si>
  <si>
    <t xml:space="preserve">Seguridad jurídica y productividad atraen inversión; inflación alta e impuestos altos la espantan.</t>
  </si>
  <si>
    <t xml:space="preserve">R09</t>
  </si>
  <si>
    <t xml:space="preserve">salvo FLAG(mant_activo)</t>
  </si>
  <si>
    <t xml:space="preserve">INFR −= 0.8</t>
  </si>
  <si>
    <t xml:space="preserve">Depreciación: sin mantenimiento la infraestructura se degrada.</t>
  </si>
  <si>
    <t xml:space="preserve">R10</t>
  </si>
  <si>
    <t xml:space="preserve">EDUC −= 0.3</t>
  </si>
  <si>
    <t xml:space="preserve">Sin inversión sostenida el sistema educativo se deteriora lentamente.</t>
  </si>
  <si>
    <t xml:space="preserve">R11</t>
  </si>
  <si>
    <t xml:space="preserve">CIEN += 0.02 × (EDUC − 50) − 0.2</t>
  </si>
  <si>
    <t xml:space="preserve">Educación alimenta ciencia; la ciencia se vuelve obsoleta si no se financia.</t>
  </si>
  <si>
    <t xml:space="preserve">R12</t>
  </si>
  <si>
    <t xml:space="preserve">EXTE += 0.03 × (CIEN − 50)</t>
  </si>
  <si>
    <t xml:space="preserve">Economía del conocimiento exporta servicios (efecto largo plazo).</t>
  </si>
  <si>
    <t xml:space="preserve">R13</t>
  </si>
  <si>
    <t xml:space="preserve">PSOC += 0.03 × (45 − PSOC) − 0.05 × max(0, 45 − ACTV)</t>
  </si>
  <si>
    <t xml:space="preserve">El desempleo presiona la red de protección; sin nuevos programas vuelve a su nivel base.</t>
  </si>
  <si>
    <t xml:space="preserve">R14</t>
  </si>
  <si>
    <t xml:space="preserve">PSOC, ACTV</t>
  </si>
  <si>
    <t xml:space="preserve">SEGU += 0.04 × ((PSOC + ACTV)/2 − 50) + 0.03 × (45 − SEGU)</t>
  </si>
  <si>
    <t xml:space="preserve">La exclusión alimenta el delito; la seguridad no se sostiene sólo con policía.</t>
  </si>
  <si>
    <t xml:space="preserve">R15</t>
  </si>
  <si>
    <t xml:space="preserve">PSOC, PODA</t>
  </si>
  <si>
    <t xml:space="preserve">CONF += 0.25×(30 − CONF) + 0.10×max(0,40−PSOC) + 0.08×max(0,40−PODA)</t>
  </si>
  <si>
    <t xml:space="preserve">El conflicto se disipa solo, pero la exclusión y la pérdida de ingreso lo realimentan. Los canales de actores suman aparte.</t>
  </si>
  <si>
    <t xml:space="preserve">R16</t>
  </si>
  <si>
    <t xml:space="preserve">ACTV &gt; 55</t>
  </si>
  <si>
    <t xml:space="preserve">AMBI −= 0.02 × (ACTV − 55);  AMBI += 0.02 × (50 − AMBI)</t>
  </si>
  <si>
    <t xml:space="preserve">Más actividad presiona recursos; leve recuperación natural.</t>
  </si>
  <si>
    <t xml:space="preserve">R17</t>
  </si>
  <si>
    <t xml:space="preserve">INFL, INST</t>
  </si>
  <si>
    <t xml:space="preserve">EXTE −= 0.10 × max(0, INFL − 70) ; EXTE += 0.05 × (45 − EXTE)</t>
  </si>
  <si>
    <t xml:space="preserve">Con inflación alta la gente dolariza y se atrasa el tipo de cambio.</t>
  </si>
  <si>
    <t xml:space="preserve">R18</t>
  </si>
  <si>
    <t xml:space="preserve">INST += 0.03 × (50 − INST)</t>
  </si>
  <si>
    <t xml:space="preserve">Las instituciones tienden a su nivel normal si no se las fuerza.</t>
  </si>
  <si>
    <t xml:space="preserve">R19</t>
  </si>
  <si>
    <t xml:space="preserve">Caja, deuda</t>
  </si>
  <si>
    <t xml:space="preserve">SOLV += 0.5 × (OBJ − SOLV);  OBJ = 50 + 40 × prom3(RESULTADO_FISCAL)/INGRESO_BASE − 30 × (DEUDA/(4×INGRESO_BASE) − 0.75)</t>
  </si>
  <si>
    <t xml:space="preserve">Derivado. Emisión y préstamos NO cuentan como ingreso: financian pero no mejoran el resultado.</t>
  </si>
  <si>
    <t xml:space="preserve">R20</t>
  </si>
  <si>
    <t xml:space="preserve">DESANCLAJE = max(0, DESANCLAJE − 1)</t>
  </si>
  <si>
    <t xml:space="preserve">Las expectativas se re-anclan lentamente si no se las vuelve a golpear.</t>
  </si>
  <si>
    <t xml:space="preserve">Actores (17)</t>
  </si>
  <si>
    <t xml:space="preserve">SAT inicial = calculada por el motor desde los indicadores iniciales. Azul = valores editables.</t>
  </si>
  <si>
    <t xml:space="preserve">actorId</t>
  </si>
  <si>
    <t xml:space="preserve">Familia</t>
  </si>
  <si>
    <t xml:space="preserve">Descripción</t>
  </si>
  <si>
    <t xml:space="preserve">influence</t>
  </si>
  <si>
    <t xml:space="preserve">electoralWeight</t>
  </si>
  <si>
    <t xml:space="preserve">Modo electoral</t>
  </si>
  <si>
    <t xml:space="preserve">% del componente APRO</t>
  </si>
  <si>
    <t xml:space="preserve">interactionDifficulty</t>
  </si>
  <si>
    <t xml:space="preserve">SAT inicial (calc.)</t>
  </si>
  <si>
    <t xml:space="preserve">REL inicial</t>
  </si>
  <si>
    <t xml:space="preserve">Canal principal</t>
  </si>
  <si>
    <t xml:space="preserve">Canal secundario</t>
  </si>
  <si>
    <t xml:space="preserve">Consecuencia SAT alta</t>
  </si>
  <si>
    <t xml:space="preserve">Consecuencia SAT baja</t>
  </si>
  <si>
    <t xml:space="preserve">Notas de balance</t>
  </si>
  <si>
    <t xml:space="preserve">Cambio vs tabla original</t>
  </si>
  <si>
    <t xml:space="preserve">industria</t>
  </si>
  <si>
    <t xml:space="preserve">Industria y grandes empresas</t>
  </si>
  <si>
    <t xml:space="preserve">Economía/producción</t>
  </si>
  <si>
    <t xml:space="preserve">Grandes empresas industriales y de servicios.</t>
  </si>
  <si>
    <t xml:space="preserve">SATISFACCION</t>
  </si>
  <si>
    <t xml:space="preserve">Inversión (INVC)</t>
  </si>
  <si>
    <t xml:space="preserve">Actividad (ACTV)</t>
  </si>
  <si>
    <t xml:space="preserve">Anuncia inversiones: INVC +2/turno.</t>
  </si>
  <si>
    <t xml:space="preserve">Posterga inversiones (INVC −2/turno); hostil: giro de utilidades (EXTE −2).</t>
  </si>
  <si>
    <t xml:space="preserve">Poder alto por inversión, pocos votos directos.</t>
  </si>
  <si>
    <t xml:space="preserve">EW 5→3: su poder no es electoral; ya pesa vía INVC→ACTV→otros.</t>
  </si>
  <si>
    <t xml:space="preserve">agro</t>
  </si>
  <si>
    <t xml:space="preserve">Sector agropecuario</t>
  </si>
  <si>
    <t xml:space="preserve">Productores y cadena agroexportadora.</t>
  </si>
  <si>
    <t xml:space="preserve">Divisas: liquidación de cosecha (EXTE)</t>
  </si>
  <si>
    <t xml:space="preserve">Conflicto: paro agrario (CONF, ACTV)</t>
  </si>
  <si>
    <t xml:space="preserve">Liquidación fluida: EXTE +2/turno.</t>
  </si>
  <si>
    <t xml:space="preserve">Retiene cosecha: EXTE −3/turno; hostil+mala relación: paro agrario.</t>
  </si>
  <si>
    <t xml:space="preserve">Controla la llave de los dólares. Difícil de tratar (historia de conflicto).</t>
  </si>
  <si>
    <t xml:space="preserve">influence 7→8 (divisas); EW 6→5.</t>
  </si>
  <si>
    <t xml:space="preserve">financiero</t>
  </si>
  <si>
    <t xml:space="preserve">Sector financiero</t>
  </si>
  <si>
    <t xml:space="preserve">Bancos, fondos, mercado de capitales, acreedores.</t>
  </si>
  <si>
    <t xml:space="preserve">Financiamiento (SOLV bonus, acceso a deuda)</t>
  </si>
  <si>
    <t xml:space="preserve">Corrida cambiaria (EXTE, INFL)</t>
  </si>
  <si>
    <t xml:space="preserve">Riesgo país baja: SOLV +4 (bonus); deuda más barata.</t>
  </si>
  <si>
    <t xml:space="preserve">Riesgo país sube, prestamo_local bloqueado; hostil: corrida (EXTE −6, INFL +4).</t>
  </si>
  <si>
    <t xml:space="preserve">Máximo poder de presión, casi nulo en votos.</t>
  </si>
  <si>
    <t xml:space="preserve">EW 3→1: prácticamente no vota; su influencia ya está en influence.</t>
  </si>
  <si>
    <t xml:space="preserve">sindicatos</t>
  </si>
  <si>
    <t xml:space="preserve">Sindicatos</t>
  </si>
  <si>
    <t xml:space="preserve">Economía/trabajo</t>
  </si>
  <si>
    <t xml:space="preserve">Centrales y gremios de trabajadores formales.</t>
  </si>
  <si>
    <t xml:space="preserve">Conflicto laboral (CONF, ACTV)</t>
  </si>
  <si>
    <t xml:space="preserve">Moderación salarial (INFL)</t>
  </si>
  <si>
    <t xml:space="preserve">Paz social: CONF −2; moderación: INFL −1/turno (si relación ≥50).</t>
  </si>
  <si>
    <t xml:space="preserve">CONF +3/turno; hostil+mala relación: paro general (ACTV −3 bonus, CONF +10, −1 acción al turno siguiente).</t>
  </si>
  <si>
    <t xml:space="preserve">La relación modula fuertemente el conflicto.</t>
  </si>
  <si>
    <t xml:space="preserve">EW 7→6 (se superpone con sectores populares/clase media).</t>
  </si>
  <si>
    <t xml:space="preserve">pymes</t>
  </si>
  <si>
    <t xml:space="preserve">PyMEs y comercio</t>
  </si>
  <si>
    <t xml:space="preserve">Pequeñas y medianas empresas, comercio, emprendedores.</t>
  </si>
  <si>
    <t xml:space="preserve">Empleo local (ACTV)</t>
  </si>
  <si>
    <t xml:space="preserve">Contratan: ACTV +1/turno.</t>
  </si>
  <si>
    <t xml:space="preserve">Cierres y despidos: ACTV −2/turno.</t>
  </si>
  <si>
    <t xml:space="preserve">Fragmentadas: poca presión, peso electoral real.</t>
  </si>
  <si>
    <t xml:space="preserve">influence 6→5 (fragmentación).</t>
  </si>
  <si>
    <t xml:space="preserve">clase_media</t>
  </si>
  <si>
    <t xml:space="preserve">Clase media</t>
  </si>
  <si>
    <t xml:space="preserve">Electorado (no organizado)</t>
  </si>
  <si>
    <t xml:space="preserve">Segmento electoral urbano de ingresos medios. No es una organización.</t>
  </si>
  <si>
    <t xml:space="preserve">N/A (sin reuniones)</t>
  </si>
  <si>
    <t xml:space="preserve">N/A</t>
  </si>
  <si>
    <t xml:space="preserve">Peso electoral</t>
  </si>
  <si>
    <t xml:space="preserve">Cacerolazo / dolarización</t>
  </si>
  <si>
    <t xml:space="preserve">Cacerolazo (CONF +6, GOB −5); con INFL&gt;60 dolariza (EXTE −2/turno).</t>
  </si>
  <si>
    <t xml:space="preserve">No tiene 'relación': no hay con quién reunirse. Se informa con encuestas.</t>
  </si>
  <si>
    <t xml:space="preserve">influence 7→5: su poder es el voto, no la presión organizada. Sin relación.</t>
  </si>
  <si>
    <t xml:space="preserve">sectores_populares</t>
  </si>
  <si>
    <t xml:space="preserve">Sectores populares</t>
  </si>
  <si>
    <t xml:space="preserve">Trabajadores informales, beneficiarios de programas, jubilados de haber mínimo. NUEVO.</t>
  </si>
  <si>
    <t xml:space="preserve">Estallido social (evento)</t>
  </si>
  <si>
    <t xml:space="preserve">Con PSOC&lt;35 riesgo de estallido (CONF +15, SEGU −4).</t>
  </si>
  <si>
    <t xml:space="preserve">Faltaba en la lista original: sin este segmento el electorado masivo sería sólo clase media y el modelo sesgaría a sus políticas.</t>
  </si>
  <si>
    <t xml:space="preserve">NUEVO.</t>
  </si>
  <si>
    <t xml:space="preserve">estudiantes</t>
  </si>
  <si>
    <t xml:space="preserve">Estudiantes</t>
  </si>
  <si>
    <t xml:space="preserve">Conocimiento</t>
  </si>
  <si>
    <t xml:space="preserve">Movimiento estudiantil secundario y universitario.</t>
  </si>
  <si>
    <t xml:space="preserve">Movilización → agenda (saliencia de EDUC)</t>
  </si>
  <si>
    <t xml:space="preserve">Movilización: CONF +2/turno; Marcha federal: EDUC pesa ×1.5 para clase media 3 turnos.</t>
  </si>
  <si>
    <t xml:space="preserve">Su canal no es 'popularidad' sino instalar agenda.</t>
  </si>
  <si>
    <t xml:space="preserve">EW 6→5.</t>
  </si>
  <si>
    <t xml:space="preserve">docentes</t>
  </si>
  <si>
    <t xml:space="preserve">Docentes</t>
  </si>
  <si>
    <t xml:space="preserve">Gremios docentes y comunidad educativa.</t>
  </si>
  <si>
    <t xml:space="preserve">Funcionamiento educativo (EDUC)</t>
  </si>
  <si>
    <t xml:space="preserve">Eficacia educativa: acciones EDUC ×1.25.</t>
  </si>
  <si>
    <t xml:space="preserve">Paro docente: EDUC −1/turno, CONF +2; indefinido: EDUC −3, CONF +4.</t>
  </si>
  <si>
    <t xml:space="preserve">Actor sindical sectorial con canal propio (días de clase).</t>
  </si>
  <si>
    <t xml:space="preserve">EW 6→4.</t>
  </si>
  <si>
    <t xml:space="preserve">cientificos</t>
  </si>
  <si>
    <t xml:space="preserve">Científicos e investigadores</t>
  </si>
  <si>
    <t xml:space="preserve">Sistema científico público y privado.</t>
  </si>
  <si>
    <t xml:space="preserve">Innovación de largo plazo (CIEN)</t>
  </si>
  <si>
    <t xml:space="preserve">Eficacia ciencia ×1.25; bonus economia_conocimiento.</t>
  </si>
  <si>
    <t xml:space="preserve">Fuga de cerebros: CIEN −1/turno mientras sat&lt;45.</t>
  </si>
  <si>
    <t xml:space="preserve">Actor fácil de tratar, poder de largo plazo.</t>
  </si>
  <si>
    <t xml:space="preserve">influence 6→3 (poca capacidad de presión); EW 3→2.</t>
  </si>
  <si>
    <t xml:space="preserve">org_sociales</t>
  </si>
  <si>
    <t xml:space="preserve">Organizaciones sociales y economía popular</t>
  </si>
  <si>
    <t xml:space="preserve">Sociedad civil</t>
  </si>
  <si>
    <t xml:space="preserve">Movimientos sociales, cooperativas, economía popular. FUSIONA cooperativas.</t>
  </si>
  <si>
    <t xml:space="preserve">Conflictividad (piquetes)</t>
  </si>
  <si>
    <t xml:space="preserve">Contención territorial</t>
  </si>
  <si>
    <t xml:space="preserve">Contención: CONF −2/turno; programas sociales ×1.25.</t>
  </si>
  <si>
    <t xml:space="preserve">Piquetes: CONF +4/turno; plan de lucha: CONF +8, ACTV −1.</t>
  </si>
  <si>
    <t xml:space="preserve">Mismo canal dual (conflicto/contención) que cooperativas: se fusionan.</t>
  </si>
  <si>
    <t xml:space="preserve">FUSIÓN con Cooperativas. influence 6→7.</t>
  </si>
  <si>
    <t xml:space="preserve">derechos_cultura</t>
  </si>
  <si>
    <t xml:space="preserve">Derechos, cultura y sociedad civil</t>
  </si>
  <si>
    <t xml:space="preserve">Organismos de DDHH, colectivos de derechos, sector cultural. FUSIONA derechos y cultura.</t>
  </si>
  <si>
    <t xml:space="preserve">Legitimidad: judicialización de medidas restrictivas</t>
  </si>
  <si>
    <t xml:space="preserve">Agenda (saliencia de INST)</t>
  </si>
  <si>
    <t xml:space="preserve">Aval: mitiga −1 INST de medidas de seguridad.</t>
  </si>
  <si>
    <t xml:space="preserve">Litigio: medidas RESTRICTIVAS 25% suspendidas; INST pesa ×1.5 para clase media.</t>
  </si>
  <si>
    <t xml:space="preserve">Derechos y Cultura tenían el mismo canal (legitimidad/agenda): se fusionan.</t>
  </si>
  <si>
    <t xml:space="preserve">FUSIÓN Derechos + Cultura.</t>
  </si>
  <si>
    <t xml:space="preserve">ambiente</t>
  </si>
  <si>
    <t xml:space="preserve">Ambientalistas</t>
  </si>
  <si>
    <t xml:space="preserve">Organizaciones ambientales y comunidades afectadas.</t>
  </si>
  <si>
    <t xml:space="preserve">Viabilidad de proyectos (judicialización)</t>
  </si>
  <si>
    <t xml:space="preserve">Licencia social: proyectos con AMBI&lt;0 −1 turno de demora.</t>
  </si>
  <si>
    <t xml:space="preserve">Judicialización: proyectos con AMBI&lt;0 +2 turnos y +20% costo; hostil: 30% suspendidos.</t>
  </si>
  <si>
    <t xml:space="preserve">Canal muy específico y jugable.</t>
  </si>
  <si>
    <t xml:space="preserve">influence 6→5; EW 5→3.</t>
  </si>
  <si>
    <t xml:space="preserve">oficialismo</t>
  </si>
  <si>
    <t xml:space="preserve">Oficialismo / partido propio</t>
  </si>
  <si>
    <t xml:space="preserve">Política</t>
  </si>
  <si>
    <t xml:space="preserve">Partido del presidente.</t>
  </si>
  <si>
    <t xml:space="preserve">Cohesión legislativa (LEG)</t>
  </si>
  <si>
    <t xml:space="preserve">Movilización electoral (ESTRUCTURA)</t>
  </si>
  <si>
    <t xml:space="preserve">LEG +2; estructura electoral +.</t>
  </si>
  <si>
    <t xml:space="preserve">Disidencias LEG −1/turno; ruptura: LEG −8 permanente.</t>
  </si>
  <si>
    <t xml:space="preserve">Mira APRO + su plataforma (elegida al inicio).</t>
  </si>
  <si>
    <t xml:space="preserve">EW pasa a modo ESTRUCTURA (no suma satisfacción al voto).</t>
  </si>
  <si>
    <t xml:space="preserve">aliados</t>
  </si>
  <si>
    <t xml:space="preserve">Aliados / coalición</t>
  </si>
  <si>
    <t xml:space="preserve">Socios de coalición.</t>
  </si>
  <si>
    <t xml:space="preserve">Mayoría (LEG)</t>
  </si>
  <si>
    <t xml:space="preserve">LEG +2 (bonus).</t>
  </si>
  <si>
    <t xml:space="preserve">LEG −1/turno; ruptura de coalición LEG −10.</t>
  </si>
  <si>
    <t xml:space="preserve">Transaccionales: cargos y agenda propia.</t>
  </si>
  <si>
    <t xml:space="preserve">influence 7→6; modo ESTRUCTURA.</t>
  </si>
  <si>
    <t xml:space="preserve">oposicion</t>
  </si>
  <si>
    <t xml:space="preserve">Oposición</t>
  </si>
  <si>
    <t xml:space="preserve">Principales bloques opositores. Su 'satisfacción' = disposición a cooperar.</t>
  </si>
  <si>
    <t xml:space="preserve">NINGUNO</t>
  </si>
  <si>
    <t xml:space="preserve">Fricción institucional (umbral LEY)</t>
  </si>
  <si>
    <t xml:space="preserve">Control (interpelación: GOB)</t>
  </si>
  <si>
    <t xml:space="preserve">Leyes de consenso: umbral LEY 45.</t>
  </si>
  <si>
    <t xml:space="preserve">Obstrucción: umbral LEY 55; interpelaciones GOB −3.</t>
  </si>
  <si>
    <t xml:space="preserve">Es el competidor electoral: su satisfacción NO puede sumar votos al gobierno.</t>
  </si>
  <si>
    <t xml:space="preserve">EW 7→0 (error conceptual en tabla original).</t>
  </si>
  <si>
    <t xml:space="preserve">gobernadores</t>
  </si>
  <si>
    <t xml:space="preserve">Gobernadores y provincias</t>
  </si>
  <si>
    <t xml:space="preserve">Ejecutivos provinciales y sus senadores.</t>
  </si>
  <si>
    <t xml:space="preserve">Ejecución federal (eficacia de obras/programas)</t>
  </si>
  <si>
    <t xml:space="preserve">LEG (senado) + aparato territorial</t>
  </si>
  <si>
    <t xml:space="preserve">Ejecución ×1.25; LEG +3; estructura +.</t>
  </si>
  <si>
    <t xml:space="preserve">Ejecución ×0.75; LEG −3; estructura −.</t>
  </si>
  <si>
    <t xml:space="preserve">Transaccionales: transferencias y obras.</t>
  </si>
  <si>
    <t xml:space="preserve">EW 8→6, modo ESTRUCTURA (aparato, no votos de satisfacción).</t>
  </si>
  <si>
    <t xml:space="preserve">TRES ATRIBUTOS</t>
  </si>
  <si>
    <t xml:space="preserve">Capacidad de presión: escala la magnitud de los canales de poder (P = D × (1−REL/200) × influence/10) y el peso en GOB.</t>
  </si>
  <si>
    <t xml:space="preserve">Peso en APRO (modo SATISFACCION) o en ESTRUCTURA (modo ESTRUCTURA). Oposición = 0: es el competidor.</t>
  </si>
  <si>
    <t xml:space="preserve">Costo y fricción de la relación: probabilidad de éxito de negociación (−0.04 × d), costo de reunión (≥7 = 1 PA siempre), deriva de relación sin contacto (−d/10 por turno si no hubo contacto en 4 turnos). N/A para electorado no organizado.</t>
  </si>
  <si>
    <t xml:space="preserve">INCONSISTENCIAS DE LA TABLA ORIGINAL</t>
  </si>
  <si>
    <t xml:space="preserve">Oposición EW 7</t>
  </si>
  <si>
    <t xml:space="preserve">Error conceptual: si su satisfacción sumara al voto del gobierno, 'contentar a la oposición' daría votos. Pasa a 0.</t>
  </si>
  <si>
    <t xml:space="preserve">Financiero EW 3</t>
  </si>
  <si>
    <t xml:space="preserve">Casi no vota; su poder está en influence 9. Pasa a 1.</t>
  </si>
  <si>
    <t xml:space="preserve">Científicos influence 6</t>
  </si>
  <si>
    <t xml:space="preserve">Igual que docentes, pero sin capacidad de paro ni calle. Pasa a 3; su poder es CIEN de largo plazo.</t>
  </si>
  <si>
    <t xml:space="preserve">Clase media influence 7</t>
  </si>
  <si>
    <t xml:space="preserve">No es una organización: su presión es episódica (cacerolazo). Pasa a 5; su poder es EW 10.</t>
  </si>
  <si>
    <t xml:space="preserve">Derechos/Ambiente/Cultura 6/5, 6/5, 5/4</t>
  </si>
  <si>
    <t xml:space="preserve">Valores casi idénticos sin diferenciación: se reduce ambiente a 5/3 y se fusiona derechos+cultura.</t>
  </si>
  <si>
    <t xml:space="preserve">Faltaba el electorado popular</t>
  </si>
  <si>
    <t xml:space="preserve">Sin 'Sectores populares' el único electorado masivo era la clase media: el modelo premiaba sistemáticamente sus políticas.</t>
  </si>
  <si>
    <t xml:space="preserve">Actores políticos con EW de satisfacción</t>
  </si>
  <si>
    <t xml:space="preserve">Oficialismo/aliados/gobernadores aportan estructura (aparato), no 'votos por estar contentos'. Si usaran satisfacción × EW habría loop APRO→oficialismo→APRO.</t>
  </si>
  <si>
    <t xml:space="preserve">Matriz actor × indicador (formato largo)</t>
  </si>
  <si>
    <t xml:space="preserve">Escala −10..+10: signo = si MÁS del indicador es bueno (+) o malo (−) para el actor; |s| = importancia relativa (se normaliza por Σ|s|).</t>
  </si>
  <si>
    <t xml:space="preserve">sensibilidad</t>
  </si>
  <si>
    <t xml:space="preserve">prioridad</t>
  </si>
  <si>
    <t xml:space="preserve">explicación</t>
  </si>
  <si>
    <t xml:space="preserve">Crédito y clima de inversión definen su expansión.</t>
  </si>
  <si>
    <t xml:space="preserve">Demanda interna y ventas.</t>
  </si>
  <si>
    <t xml:space="preserve">Carga impositiva sobre rentabilidad.</t>
  </si>
  <si>
    <t xml:space="preserve">Imprevisibilidad de costos y precios.</t>
  </si>
  <si>
    <t xml:space="preserve">Paros y cortes interrumpen producción.</t>
  </si>
  <si>
    <t xml:space="preserve">Necesita divisas para insumos importados.</t>
  </si>
  <si>
    <t xml:space="preserve">Logística y energía.</t>
  </si>
  <si>
    <t xml:space="preserve">Retenciones e impuestos: su reclamo histórico central.</t>
  </si>
  <si>
    <t xml:space="preserve">Tipo de cambio competitivo y mercados abiertos.</t>
  </si>
  <si>
    <t xml:space="preserve">Caminos, puertos, obras hídricas.</t>
  </si>
  <si>
    <t xml:space="preserve">Costos de insumos.</t>
  </si>
  <si>
    <t xml:space="preserve">Seguridad jurídica y reglas estables.</t>
  </si>
  <si>
    <t xml:space="preserve">Capacidad de pago del Estado = su activo principal.</t>
  </si>
  <si>
    <t xml:space="preserve">Destruye ahorro en pesos y contratos.</t>
  </si>
  <si>
    <t xml:space="preserve">Reservas = capacidad de pagar deuda en dólares.</t>
  </si>
  <si>
    <t xml:space="preserve">Seguridad jurídica y contratos.</t>
  </si>
  <si>
    <t xml:space="preserve">Más crédito = más negocio, pero secundario frente a solvencia.</t>
  </si>
  <si>
    <t xml:space="preserve">Riesgo político.</t>
  </si>
  <si>
    <t xml:space="preserve">Salario real: su razón de ser.</t>
  </si>
  <si>
    <t xml:space="preserve">Empleo formal.</t>
  </si>
  <si>
    <t xml:space="preserve">Obras sociales y salud.</t>
  </si>
  <si>
    <t xml:space="preserve">Moderado: el daño principal ya entra por PODA (evitar doble conteo intra-actor).</t>
  </si>
  <si>
    <t xml:space="preserve">Viven del mercado interno.</t>
  </si>
  <si>
    <t xml:space="preserve">Crédito accesible: su cuello de botella.</t>
  </si>
  <si>
    <t xml:space="preserve">Carga impositiva y formalización.</t>
  </si>
  <si>
    <t xml:space="preserve">Costos, precios de reposición.</t>
  </si>
  <si>
    <t xml:space="preserve">Consumo de sus clientes.</t>
  </si>
  <si>
    <t xml:space="preserve">Cortes y paros afectan ventas.</t>
  </si>
  <si>
    <t xml:space="preserve">Llegar a fin de mes, sostener consumo.</t>
  </si>
  <si>
    <t xml:space="preserve">Ahorro, previsibilidad, precios.</t>
  </si>
  <si>
    <t xml:space="preserve">Demanda central en grandes ciudades.</t>
  </si>
  <si>
    <t xml:space="preserve">Escuela y universidad pública.</t>
  </si>
  <si>
    <t xml:space="preserve">Ganancias, impuestos al consumo.</t>
  </si>
  <si>
    <t xml:space="preserve">Hospital público y jubilaciones.</t>
  </si>
  <si>
    <t xml:space="preserve">Cortes de calle y paros en la vida cotidiana.</t>
  </si>
  <si>
    <t xml:space="preserve">Transparencia y república.</t>
  </si>
  <si>
    <t xml:space="preserve">Transferencias, salud, vivienda social.</t>
  </si>
  <si>
    <t xml:space="preserve">Ingreso real de informales y jubilados mínimos.</t>
  </si>
  <si>
    <t xml:space="preserve">Changas y empleo.</t>
  </si>
  <si>
    <t xml:space="preserve">Alimentos: la inflación les pega primero.</t>
  </si>
  <si>
    <t xml:space="preserve">Barrios más expuestos al delito.</t>
  </si>
  <si>
    <t xml:space="preserve">Escuela como movilidad social.</t>
  </si>
  <si>
    <t xml:space="preserve">Presupuesto y funcionamiento educativo.</t>
  </si>
  <si>
    <t xml:space="preserve">Salida laboral y becas de investigación.</t>
  </si>
  <si>
    <t xml:space="preserve">Primer empleo.</t>
  </si>
  <si>
    <t xml:space="preserve">Libertades y derecho a la protesta.</t>
  </si>
  <si>
    <t xml:space="preserve">Agenda ambiental generacional.</t>
  </si>
  <si>
    <t xml:space="preserve">Costo de estudiar.</t>
  </si>
  <si>
    <t xml:space="preserve">Condiciones de trabajo en escuelas.</t>
  </si>
  <si>
    <t xml:space="preserve">Salario docente (proxy: PODA; su paritaria entra como demanda).</t>
  </si>
  <si>
    <t xml:space="preserve">Obra social y contexto de alumnos.</t>
  </si>
  <si>
    <t xml:space="preserve">Moderado por mirar PODA.</t>
  </si>
  <si>
    <t xml:space="preserve">Financiamiento y continuidad del sistema.</t>
  </si>
  <si>
    <t xml:space="preserve">Universidad pública como base.</t>
  </si>
  <si>
    <t xml:space="preserve">Autonomía y libertad académica.</t>
  </si>
  <si>
    <t xml:space="preserve">Salarios de investigadores.</t>
  </si>
  <si>
    <t xml:space="preserve">Programas sociales que gestionan.</t>
  </si>
  <si>
    <t xml:space="preserve">Economía popular y cooperativas.</t>
  </si>
  <si>
    <t xml:space="preserve">Ingreso de sus bases.</t>
  </si>
  <si>
    <t xml:space="preserve">Alimentos.</t>
  </si>
  <si>
    <t xml:space="preserve">Derecho a la protesta.</t>
  </si>
  <si>
    <t xml:space="preserve">Libertades, DDHH, estado de derecho.</t>
  </si>
  <si>
    <t xml:space="preserve">Cultura y educación pública.</t>
  </si>
  <si>
    <t xml:space="preserve">Derechos sociales.</t>
  </si>
  <si>
    <t xml:space="preserve">Agenda de derechos ampliada.</t>
  </si>
  <si>
    <t xml:space="preserve">Consumo cultural (industria creativa).</t>
  </si>
  <si>
    <t xml:space="preserve">Su objeto.</t>
  </si>
  <si>
    <t xml:space="preserve">Cumplimiento de leyes ambientales, acceso a la justicia.</t>
  </si>
  <si>
    <t xml:space="preserve">Transición y tecnología limpia.</t>
  </si>
  <si>
    <t xml:space="preserve">Variable política (rezago 1 turno): el partido acompaña a un gobierno con chances.</t>
  </si>
  <si>
    <t xml:space="preserve">PLATAFORMA_1</t>
  </si>
  <si>
    <t xml:space="preserve">Indicador de plataforma elegido al inicio (ej.: ACTV).</t>
  </si>
  <si>
    <t xml:space="preserve">PLATAFORMA_2</t>
  </si>
  <si>
    <t xml:space="preserve">Indicador de plataforma (ej.: PODA).</t>
  </si>
  <si>
    <t xml:space="preserve">PLATAFORMA_3</t>
  </si>
  <si>
    <t xml:space="preserve">Indicador de plataforma (ej.: INFL, con signo −).</t>
  </si>
  <si>
    <t xml:space="preserve">Variable política: se quedan si el gobierno suma.</t>
  </si>
  <si>
    <t xml:space="preserve">Perfil republicano típico de socios de coalición (configurable por escenario).</t>
  </si>
  <si>
    <t xml:space="preserve">Orden fiscal (configurable).</t>
  </si>
  <si>
    <t xml:space="preserve">Agenda propia (configurable).</t>
  </si>
  <si>
    <t xml:space="preserve">Respeto a reglas: con arbitrariedad se endurece.</t>
  </si>
  <si>
    <t xml:space="preserve">Oponerse a un gobierno popular es costoso: los dialoguistas acompañan.</t>
  </si>
  <si>
    <t xml:space="preserve">Con calle caliente endurece.</t>
  </si>
  <si>
    <t xml:space="preserve">Obras en su territorio.</t>
  </si>
  <si>
    <t xml:space="preserve">Coparticipación depende de recaudación.</t>
  </si>
  <si>
    <t xml:space="preserve">Salud y vivienda provincial.</t>
  </si>
  <si>
    <t xml:space="preserve">Fuerzas provinciales sobrepasadas.</t>
  </si>
  <si>
    <t xml:space="preserve">Se alinean con presidentes populares.</t>
  </si>
  <si>
    <t xml:space="preserve">Vista pivote: ¿qué mira cada actor?</t>
  </si>
  <si>
    <t xml:space="preserve">Calculada con fórmulas desde 03_MATRIZ (editar allá).</t>
  </si>
  <si>
    <t xml:space="preserve">actor \ indicador</t>
  </si>
  <si>
    <t xml:space="preserve"># indicadores</t>
  </si>
  <si>
    <t xml:space="preserve">Σ|s|</t>
  </si>
  <si>
    <t xml:space="preserve">Cobertura por indicador (# actores que lo miran)</t>
  </si>
  <si>
    <t xml:space="preserve"># actores</t>
  </si>
  <si>
    <t xml:space="preserve">Acciones maestras (57 de política + 6 de sistema)</t>
  </si>
  <si>
    <t xml:space="preserve">Caja: + ingresa, − gasta (se paga al ejecutar). Efectos detallados en 05_EFECTOS. 'Relación directa' sólo cuando la acción ES un vínculo con el actor (regla DC-4).</t>
  </si>
  <si>
    <t xml:space="preserve">actionId</t>
  </si>
  <si>
    <t xml:space="preserve">Categoría UI</t>
  </si>
  <si>
    <t xml:space="preserve">Estado</t>
  </si>
  <si>
    <t xml:space="preserve">Origen (ids actuales)</t>
  </si>
  <si>
    <t xml:space="preserve">Costo PA</t>
  </si>
  <si>
    <t xml:space="preserve">Caja inmediata</t>
  </si>
  <si>
    <t xml:space="preserve">Cooldown</t>
  </si>
  <si>
    <t xml:space="preserve">LEY</t>
  </si>
  <si>
    <t xml:space="preserve">Tags</t>
  </si>
  <si>
    <t xml:space="preserve">Descripción estratégica</t>
  </si>
  <si>
    <t xml:space="preserve">Prerequisitos</t>
  </si>
  <si>
    <t xml:space="preserve">Desbloquea / bonifica</t>
  </si>
  <si>
    <t xml:space="preserve">Riesgos / eventos</t>
  </si>
  <si>
    <t xml:space="preserve">Relación directa</t>
  </si>
  <si>
    <t xml:space="preserve">Notas</t>
  </si>
  <si>
    <t xml:space="preserve"># efectos</t>
  </si>
  <si>
    <t xml:space="preserve">emitir_dinero</t>
  </si>
  <si>
    <t xml:space="preserve">Emitir dinero</t>
  </si>
  <si>
    <t xml:space="preserve">Financiar gasto con emisión monetaria.</t>
  </si>
  <si>
    <t xml:space="preserve">Economía y moneda</t>
  </si>
  <si>
    <t xml:space="preserve">MODIFICAR</t>
  </si>
  <si>
    <t xml:space="preserve">NO</t>
  </si>
  <si>
    <t xml:space="preserve">Caja rápida y sin costo político inmediato. Los primeros usos son casi gratis; repetirla dentro de la ventana desancla la inflación y el daño llega por INFL→PODA/INVC.</t>
  </si>
  <si>
    <t xml:space="preserve">Hiperinflación (INFL≥90 dos turnos seguidos): evento de crisis/derrota.</t>
  </si>
  <si>
    <t xml:space="preserve">Cooldown 1 = no dos veces en el mismo turno. La restricción real es la ventana de repetición, no el cooldown. Reemplaza moneyPrintingCount por mandato.</t>
  </si>
  <si>
    <t xml:space="preserve">politica_monetaria_contractiva</t>
  </si>
  <si>
    <t xml:space="preserve">Suba de tasas / contracción monetaria</t>
  </si>
  <si>
    <t xml:space="preserve">El Banco Central sube tasas y absorbe pesos.</t>
  </si>
  <si>
    <t xml:space="preserve">NUEVA</t>
  </si>
  <si>
    <t xml:space="preserve">Herramienta antiinflacionaria sin gasto: baja INFL con rezago a costa de crédito y actividad. Genera la tensión Financiero (+) vs PyMEs (−) sin antagonismo automático.</t>
  </si>
  <si>
    <t xml:space="preserve">Recesión si se repite; costo cuasifiscal.</t>
  </si>
  <si>
    <t xml:space="preserve">Resuelve el ejemplo del prompt: tasas↑ → Financiero mejora por SOLV/INFL, PyMEs empeoran por INVC/ACTV.</t>
  </si>
  <si>
    <t xml:space="preserve">devaluacion</t>
  </si>
  <si>
    <t xml:space="preserve">Devaluación</t>
  </si>
  <si>
    <t xml:space="preserve">Corrección del tipo de cambio oficial.</t>
  </si>
  <si>
    <t xml:space="preserve">Arregla EXTE rápido; lo pagan PODA e INFL. Con inflación alta el traslado es mayor. Repetida pierde efecto.</t>
  </si>
  <si>
    <t xml:space="preserve">Bonifica turismo_y_patrimonio (4 turnos)</t>
  </si>
  <si>
    <t xml:space="preserve">Espiral devaluación-inflación.</t>
  </si>
  <si>
    <t xml:space="preserve">Mueve el problema de divisas a precios: decisión típica argentina.</t>
  </si>
  <si>
    <t xml:space="preserve">control_cambios</t>
  </si>
  <si>
    <t xml:space="preserve">Control de cambios (cepo)</t>
  </si>
  <si>
    <t xml:space="preserve">Restringe la compra de divisas.</t>
  </si>
  <si>
    <t xml:space="preserve">RESTRICTIVA</t>
  </si>
  <si>
    <t xml:space="preserve">Frena la sangría de EXTE ya, pero deteriora INVC cada turno que siga vigente. Obliga a planificar la salida.</t>
  </si>
  <si>
    <t xml:space="preserve">No FLAG(cepo)</t>
  </si>
  <si>
    <t xml:space="preserve">liberar_cambios</t>
  </si>
  <si>
    <t xml:space="preserve">Mercado paralelo; judicialización si Derechos está hostil.</t>
  </si>
  <si>
    <t xml:space="preserve">Cooldown 0: no se puede re-ejecutar mientras FLAG(cepo)=1.</t>
  </si>
  <si>
    <t xml:space="preserve">Liberar el mercado de cambios</t>
  </si>
  <si>
    <t xml:space="preserve">Salida del cepo.</t>
  </si>
  <si>
    <t xml:space="preserve">Premio por haber reconstruido reservas: libera INVC. Si se hace con EXTE flojo, salto inflacionario.</t>
  </si>
  <si>
    <t xml:space="preserve">FLAG(cepo) · EXTE≥45 (obligatorio) · SOLV≥50 (bonificación)</t>
  </si>
  <si>
    <t xml:space="preserve">Salto cambiario.</t>
  </si>
  <si>
    <t xml:space="preserve">Ejemplo de desbloqueo por estado económico.</t>
  </si>
  <si>
    <t xml:space="preserve">control_precios</t>
  </si>
  <si>
    <t xml:space="preserve">Control de precios</t>
  </si>
  <si>
    <t xml:space="preserve">Congelamiento o acuerdos de precios en canasta básica.</t>
  </si>
  <si>
    <t xml:space="preserve">Mejora el dato de inflación de forma temporal (BONUS) y deja un rebote. Útil para ganar tiempo antes de una elección, no para resolver.</t>
  </si>
  <si>
    <t xml:space="preserve">Desabastecimiento si se repite.</t>
  </si>
  <si>
    <t xml:space="preserve">Antes: CD 1 y +15 pop por uso = spam óptimo. Ahora el beneficio es temporal.</t>
  </si>
  <si>
    <t xml:space="preserve">reduccion_gasto</t>
  </si>
  <si>
    <t xml:space="preserve">Ajuste del gasto público</t>
  </si>
  <si>
    <t xml:space="preserve">Recorte de gasto corriente y programas.</t>
  </si>
  <si>
    <t xml:space="preserve">Mejora SOLV de forma permanente (baja GASTO_CORR). Cuesta PSOC y actividad de corto plazo; acumulado genera conflicto.</t>
  </si>
  <si>
    <t xml:space="preserve">Conflicto social si PSOC ya es bajo.</t>
  </si>
  <si>
    <t xml:space="preserve">Antes: +300 y −20 pop directo. Ahora el castigo emerge vía PSOC/ACTV.</t>
  </si>
  <si>
    <t xml:space="preserve">privatizacion</t>
  </si>
  <si>
    <t xml:space="preserve">Privatización de empresas públicas</t>
  </si>
  <si>
    <t xml:space="preserve">Venta de participaciones estatales.</t>
  </si>
  <si>
    <t xml:space="preserve">LEY (no admite DNU)</t>
  </si>
  <si>
    <t xml:space="preserve">Caja grande de una vez y menos déficit, a cambio de conflicto y tarifas. Segunda privatización rinde menos.</t>
  </si>
  <si>
    <t xml:space="preserve">LEG≥50</t>
  </si>
  <si>
    <t xml:space="preserve">Conflicto sindical.</t>
  </si>
  <si>
    <t xml:space="preserve">Da al camino 'ortodoxo' una fuente de caja distinta de la deuda.</t>
  </si>
  <si>
    <t xml:space="preserve">prestamo_internacional</t>
  </si>
  <si>
    <t xml:space="preserve">Préstamo de organismos internacionales</t>
  </si>
  <si>
    <t xml:space="preserve">Acuerdo con organismo multilateral con metas fiscales.</t>
  </si>
  <si>
    <t xml:space="preserve">Salvavidas de caja y reservas. A los 4 turnos se revisa la meta fiscal: si hay déficit, se cae el desembolso y cae SOLV.</t>
  </si>
  <si>
    <t xml:space="preserve">Modo de dificultad con préstamos · agenda_internacional (bonificación)</t>
  </si>
  <si>
    <t xml:space="preserve">Incumplimiento de metas; default si DEUDA muy alta.</t>
  </si>
  <si>
    <t xml:space="preserve">Prereq viejo (mejorar_recaudacion) no tenía lógica: se reemplaza por condicionalidad.</t>
  </si>
  <si>
    <t xml:space="preserve">prestamo_local</t>
  </si>
  <si>
    <t xml:space="preserve">Colocación de deuda en el mercado local</t>
  </si>
  <si>
    <t xml:space="preserve">Emisión de bonos en pesos/dólares en el mercado local.</t>
  </si>
  <si>
    <t xml:space="preserve">Caja sin inflación, pero absorbe el crédito disponible (INVC↓): PyMEs e industria lo sienten.</t>
  </si>
  <si>
    <t xml:space="preserve">SOLV≥25 (obligatorio: mercado abierto) · Financiero no hostil</t>
  </si>
  <si>
    <t xml:space="preserve">Riesgo de refinanciación.</t>
  </si>
  <si>
    <t xml:space="preserve">CD 8→4. El crowding-out es la consecuencia material que antes era 'opositores −'.</t>
  </si>
  <si>
    <t xml:space="preserve">mejorar_recaudacion</t>
  </si>
  <si>
    <t xml:space="preserve">Administración tributaria (lucha contra la evasión)</t>
  </si>
  <si>
    <t xml:space="preserve">Fiscalización, cruce de datos, formalización.</t>
  </si>
  <si>
    <t xml:space="preserve">Impuestos</t>
  </si>
  <si>
    <t xml:space="preserve">Más recaudación sin subir alícuotas, con retornos decrecientes. Paso previo a la reforma.</t>
  </si>
  <si>
    <t xml:space="preserve">reforma_tributaria</t>
  </si>
  <si>
    <t xml:space="preserve">Antes: +250 y −8 pop. Ahora: ingreso permanente con rezago.</t>
  </si>
  <si>
    <t xml:space="preserve">Reforma tributaria recaudatoria</t>
  </si>
  <si>
    <t xml:space="preserve">Sube alícuotas (ganancias, bienes personales, etc.).</t>
  </si>
  <si>
    <t xml:space="preserve">DIVIDIR</t>
  </si>
  <si>
    <t xml:space="preserve">reforma_impositiva</t>
  </si>
  <si>
    <t xml:space="preserve">Recaudación estructural a cambio de INVC y del humor de quien paga. En recesión duele más.</t>
  </si>
  <si>
    <t xml:space="preserve">DONE(mejorar_recaudacion) · LEG≥50</t>
  </si>
  <si>
    <t xml:space="preserve">Una de las dos direcciones de la vieja reforma_impositiva.</t>
  </si>
  <si>
    <t xml:space="preserve">reduccion_impuestos</t>
  </si>
  <si>
    <t xml:space="preserve">Reducción de impuestos</t>
  </si>
  <si>
    <t xml:space="preserve">Baja de alícuotas.</t>
  </si>
  <si>
    <t xml:space="preserve">Estimula INVC y ACTV, pero pierde recaudación. Sin solvencia genera desconfianza.</t>
  </si>
  <si>
    <t xml:space="preserve">Faltaba por completo la dirección opuesta.</t>
  </si>
  <si>
    <t xml:space="preserve">subir_retenciones</t>
  </si>
  <si>
    <t xml:space="preserve">Subir retenciones a exportaciones</t>
  </si>
  <si>
    <t xml:space="preserve">Aumenta derechos de exportación.</t>
  </si>
  <si>
    <t xml:space="preserve">NO (decreto)</t>
  </si>
  <si>
    <t xml:space="preserve">Caja inmediata y permanente; castiga EXTE (menos siembra y liquidación) y al agro. Repetida: conflicto.</t>
  </si>
  <si>
    <t xml:space="preserve">Conflicto con el campo (tipo 2008).</t>
  </si>
  <si>
    <t xml:space="preserve">Palanca central argentina ausente en el código.</t>
  </si>
  <si>
    <t xml:space="preserve">bajar_retenciones</t>
  </si>
  <si>
    <t xml:space="preserve">Bajar retenciones</t>
  </si>
  <si>
    <t xml:space="preserve">Reduce derechos de exportación.</t>
  </si>
  <si>
    <t xml:space="preserve">Mejora EXTE con rezago; pierde recaudación permanente.</t>
  </si>
  <si>
    <t xml:space="preserve">promocion_industrial</t>
  </si>
  <si>
    <t xml:space="preserve">Promoción industrial</t>
  </si>
  <si>
    <t xml:space="preserve">Subsidios y beneficios a la producción industrial.</t>
  </si>
  <si>
    <t xml:space="preserve">Producción y trabajo</t>
  </si>
  <si>
    <t xml:space="preserve">subsidios_industriales</t>
  </si>
  <si>
    <t xml:space="preserve">Sube INVC y actividad. Sin divisas rinde menos. Repetida genera dependencia.</t>
  </si>
  <si>
    <t xml:space="preserve">Se eliminan explicitGroupEffects (+8 industria/+8 sindicatos/−9 financiero/−6 ONGs).</t>
  </si>
  <si>
    <t xml:space="preserve">credito_pyme</t>
  </si>
  <si>
    <t xml:space="preserve">Crédito PyME y emprendedor</t>
  </si>
  <si>
    <t xml:space="preserve">Líneas de crédito subsidiado para PyMEs y emprendedores.</t>
  </si>
  <si>
    <t xml:space="preserve">fomento_emprendimiento</t>
  </si>
  <si>
    <t xml:space="preserve">Contrapeso de la suba de tasas: INVC temporal + actividad con rezago + recupero parcial.</t>
  </si>
  <si>
    <t xml:space="preserve">Fusiona fomento_emprendimiento.</t>
  </si>
  <si>
    <t xml:space="preserve">incentivos_exportacion</t>
  </si>
  <si>
    <t xml:space="preserve">Incentivos a la exportación</t>
  </si>
  <si>
    <t xml:space="preserve">Reintegros, promoción comercial.</t>
  </si>
  <si>
    <t xml:space="preserve">Mejora EXTE con rezago; costo fiscal.</t>
  </si>
  <si>
    <t xml:space="preserve">regimen_grandes_inversiones</t>
  </si>
  <si>
    <t xml:space="preserve">Régimen de incentivo a grandes inversiones</t>
  </si>
  <si>
    <t xml:space="preserve">Estabilidad fiscal y beneficios a inversiones grandes.</t>
  </si>
  <si>
    <t xml:space="preserve">atraccion_inversiones</t>
  </si>
  <si>
    <t xml:space="preserve">INVC fuerte y persistente; pierde recaudación (exenciones). Sin instituciones sólidas rinde la mitad.</t>
  </si>
  <si>
    <t xml:space="preserve">LEG≥50 · agenda_internacional (bonificación)</t>
  </si>
  <si>
    <t xml:space="preserve">Bonifica desarrollo_energetico_minero</t>
  </si>
  <si>
    <t xml:space="preserve">Reemplaza atraccion_inversiones genérica.</t>
  </si>
  <si>
    <t xml:space="preserve">desarrollo_energetico_minero</t>
  </si>
  <si>
    <t xml:space="preserve">Desarrollo energético y minero</t>
  </si>
  <si>
    <t xml:space="preserve">Impulso a hidrocarburos no convencionales y minería.</t>
  </si>
  <si>
    <t xml:space="preserve">AMBIENTAL</t>
  </si>
  <si>
    <t xml:space="preserve">La gran fuente de divisas de mediano plazo, con costo ambiental y conflicto con ambientalistas (canal de judicialización).</t>
  </si>
  <si>
    <t xml:space="preserve">FLAG(estudio_vigente) · infraestructura_energetica (bonificación) · FLAG(rigi) (bonificación)</t>
  </si>
  <si>
    <t xml:space="preserve">Judicialización; conflicto socioambiental.</t>
  </si>
  <si>
    <t xml:space="preserve">Crea el trade-off EXTE vs AMBI.</t>
  </si>
  <si>
    <t xml:space="preserve">tratado_comercio</t>
  </si>
  <si>
    <t xml:space="preserve">Acuerdo de libre comercio</t>
  </si>
  <si>
    <t xml:space="preserve">Tratado comercial con bloque o país.</t>
  </si>
  <si>
    <t xml:space="preserve">EXTE e INVC de mediano plazo; primero golpea a sectores que compiten con importaciones (ACTV). En recesión, peor.</t>
  </si>
  <si>
    <t xml:space="preserve">DONE(agenda_internacional,6) · LEG≥50</t>
  </si>
  <si>
    <t xml:space="preserve">Prereq viejo 'empresarios≥60' reemplazado por proceso diplomático + Congreso.</t>
  </si>
  <si>
    <t xml:space="preserve">aumento_salarial</t>
  </si>
  <si>
    <t xml:space="preserve">Aumento salarial a estatales</t>
  </si>
  <si>
    <t xml:space="preserve">Suba de salarios del sector público (incluye docentes y salud).</t>
  </si>
  <si>
    <t xml:space="preserve">Mejora PODA y el funcionamiento de servicios, pero sube el gasto corriente para siempre. Con inflación alta empuja precios.</t>
  </si>
  <si>
    <t xml:space="preserve">Antes: −400 una vez. Ahora −200 inmediato + GASTO_CORR +150 permanente (el costo real de subir salarios).</t>
  </si>
  <si>
    <t xml:space="preserve">suba_salario_minimo</t>
  </si>
  <si>
    <t xml:space="preserve">Suba del salario mínimo</t>
  </si>
  <si>
    <t xml:space="preserve">Aumento del salario mínimo, vital y móvil (sector privado).</t>
  </si>
  <si>
    <t xml:space="preserve">Sin costo fiscal: mejora PODA, empuja INFL y costo laboral. Con inflación alta se licúa; en recesión informaliza.</t>
  </si>
  <si>
    <t xml:space="preserve">Diferencia con aumento_salarial: impacto fiscal nulo, costo en INFL/INVC.</t>
  </si>
  <si>
    <t xml:space="preserve">reforma_laboral</t>
  </si>
  <si>
    <t xml:space="preserve">Reforma laboral</t>
  </si>
  <si>
    <t xml:space="preserve">Flexibilización de contratación, indemnizaciones y convenios.</t>
  </si>
  <si>
    <t xml:space="preserve">Más INVC y ACTV con rezago; pierde PODA y rompe con sindicatos salvo acuerdo previo.</t>
  </si>
  <si>
    <t xml:space="preserve">LEG≥50 · acuerdo con sindicatos (bonificación)</t>
  </si>
  <si>
    <t xml:space="preserve">Paro general.</t>
  </si>
  <si>
    <t xml:space="preserve">Sindicatos −20 (la reforma apunta al poder sindical: conflicto político directo)</t>
  </si>
  <si>
    <t xml:space="preserve">Excepción documentada a 'sin efectos directos en actores'.</t>
  </si>
  <si>
    <t xml:space="preserve">pacto_social</t>
  </si>
  <si>
    <t xml:space="preserve">Pacto social de precios y salarios</t>
  </si>
  <si>
    <t xml:space="preserve">Acuerdo tripartito: moderación de precios y salarios.</t>
  </si>
  <si>
    <t xml:space="preserve">acuerdo_sindical</t>
  </si>
  <si>
    <t xml:space="preserve">La herramienta antiinflacionaria más barata, sólo disponible si construiste relaciones. Compromete: emitir o devaluar durante el pacto lo rompe.</t>
  </si>
  <si>
    <t xml:space="preserve">REL(sindicatos)≥50 · REL(industria)≥50 · REL(pymes)≥45 · reunión con los 3 en últimos 4 turnos</t>
  </si>
  <si>
    <t xml:space="preserve">Ruptura del pacto: −15 relación con los 3.</t>
  </si>
  <si>
    <t xml:space="preserve">+5 relación con sindicatos, industria y pymes (acuerdo explícito)</t>
  </si>
  <si>
    <t xml:space="preserve">Es la prueba de que 'gobernar sin actores es posible pero más difícil'.</t>
  </si>
  <si>
    <t xml:space="preserve">cobertura_social</t>
  </si>
  <si>
    <t xml:space="preserve">Ampliación de transferencias sociales</t>
  </si>
  <si>
    <t xml:space="preserve">Asignaciones y programas de ingreso permanentes.</t>
  </si>
  <si>
    <t xml:space="preserve">Social y salud</t>
  </si>
  <si>
    <t xml:space="preserve">PSOC permanente y contención; sube el gasto corriente. Rendimientos decrecientes si se repite.</t>
  </si>
  <si>
    <t xml:space="preserve">Antes: −400 y +20 pop, +12 sectores populares directo.</t>
  </si>
  <si>
    <t xml:space="preserve">asistencia_alimentaria</t>
  </si>
  <si>
    <t xml:space="preserve">Asistencia alimentaria de emergencia</t>
  </si>
  <si>
    <t xml:space="preserve">Refuerzo alimentario inmediato.</t>
  </si>
  <si>
    <t xml:space="preserve">programa_alimentario</t>
  </si>
  <si>
    <t xml:space="preserve">FEDERAL</t>
  </si>
  <si>
    <t xml:space="preserve">Rápida y temporal: apaga incendios (CONF) sin gasto permanente.</t>
  </si>
  <si>
    <t xml:space="preserve">Función distinta de cobertura_social: timing corto.</t>
  </si>
  <si>
    <t xml:space="preserve">bono_jubilados</t>
  </si>
  <si>
    <t xml:space="preserve">Bono a jubilados</t>
  </si>
  <si>
    <t xml:space="preserve">Refuerzo de haberes previsionales.</t>
  </si>
  <si>
    <t xml:space="preserve">tercera_edad</t>
  </si>
  <si>
    <t xml:space="preserve">Alivio temporal de PODA/PSOC, sin gasto permanente. Con inflación alta se licúa.</t>
  </si>
  <si>
    <t xml:space="preserve">plan_viviendas</t>
  </si>
  <si>
    <t xml:space="preserve">Plan federal de viviendas</t>
  </si>
  <si>
    <t xml:space="preserve">Construcción de vivienda social urbana y rural.</t>
  </si>
  <si>
    <t xml:space="preserve">plan_viviendas + viviendas_rurales</t>
  </si>
  <si>
    <t xml:space="preserve">Actividad inmediata por la obra y PSOC al entregar. Ejecución federal: depende de gobernadores.</t>
  </si>
  <si>
    <t xml:space="preserve">CAJA≥400 · acuerdo con gobernadores (bonificación)</t>
  </si>
  <si>
    <t xml:space="preserve">salud_preventiva</t>
  </si>
  <si>
    <t xml:space="preserve">Atención primaria de la salud</t>
  </si>
  <si>
    <t xml:space="preserve">Centros de salud, vacunación, prevención.</t>
  </si>
  <si>
    <t xml:space="preserve">PSOC barato con gasto recurrente moderado.</t>
  </si>
  <si>
    <t xml:space="preserve">construccion_hospitales</t>
  </si>
  <si>
    <t xml:space="preserve">Construcción de hospitales</t>
  </si>
  <si>
    <t xml:space="preserve">Nuevos hospitales regionales.</t>
  </si>
  <si>
    <t xml:space="preserve">PSOC grande pero tardío y con gasto de funcionamiento permanente.</t>
  </si>
  <si>
    <t xml:space="preserve">FLAG(estudio_vigente)</t>
  </si>
  <si>
    <t xml:space="preserve">empleo_joven</t>
  </si>
  <si>
    <t xml:space="preserve">Programa de empleo y formación joven</t>
  </si>
  <si>
    <t xml:space="preserve">Capacitación y primer empleo.</t>
  </si>
  <si>
    <t xml:space="preserve">Pequeño efecto en varios indicadores; útil para estudiantes y seguridad a mediano plazo.</t>
  </si>
  <si>
    <t xml:space="preserve">genero_y_cuidados</t>
  </si>
  <si>
    <t xml:space="preserve">Políticas de género y cuidados</t>
  </si>
  <si>
    <t xml:space="preserve">Sistema de cuidados, prevención de violencias, paridad.</t>
  </si>
  <si>
    <t xml:space="preserve">igualdad_genero</t>
  </si>
  <si>
    <t xml:space="preserve">Derechos (INST) + PSOC + participación laboral a mediano plazo.</t>
  </si>
  <si>
    <t xml:space="preserve">Cubre el hueco de 'cuidados'.</t>
  </si>
  <si>
    <t xml:space="preserve">congelar_tarifas</t>
  </si>
  <si>
    <t xml:space="preserve">Congelar tarifas (subsidios a servicios)</t>
  </si>
  <si>
    <t xml:space="preserve">Subsidios a energía y transporte para contener tarifas.</t>
  </si>
  <si>
    <t xml:space="preserve">Alivia PODA e INFL mientras dura, a costa de caja recurrente, infraestructura y divisas. Repetido deja atraso.</t>
  </si>
  <si>
    <t xml:space="preserve">Crisis energética.</t>
  </si>
  <si>
    <t xml:space="preserve">Palanca central ausente en el código.</t>
  </si>
  <si>
    <t xml:space="preserve">actualizar_tarifas</t>
  </si>
  <si>
    <t xml:space="preserve">Actualizar tarifas (quita de subsidios)</t>
  </si>
  <si>
    <t xml:space="preserve">Reducción de subsidios a servicios públicos.</t>
  </si>
  <si>
    <t xml:space="preserve">Mejora caja e infraestructura; golpe inmediato a PODA e INFL.</t>
  </si>
  <si>
    <t xml:space="preserve">Protestas.</t>
  </si>
  <si>
    <t xml:space="preserve">inversion_educativa</t>
  </si>
  <si>
    <t xml:space="preserve">Inversión educativa</t>
  </si>
  <si>
    <t xml:space="preserve">Infraestructura escolar, alfabetización, bibliotecas, financiamiento universitario.</t>
  </si>
  <si>
    <t xml:space="preserve">Educación, ciencia y cultura</t>
  </si>
  <si>
    <t xml:space="preserve">programa_educativo + alfabetizacion + red_bibliotecas</t>
  </si>
  <si>
    <t xml:space="preserve">EDUC con rezago y gasto recurrente. Con docentes satisfechos rinde más.</t>
  </si>
  <si>
    <t xml:space="preserve">Bonifica reforma_educativa</t>
  </si>
  <si>
    <t xml:space="preserve">reforma_educativa</t>
  </si>
  <si>
    <t xml:space="preserve">Reforma educativa</t>
  </si>
  <si>
    <t xml:space="preserve">Cambios curriculares y de gestión.</t>
  </si>
  <si>
    <t xml:space="preserve">promover_educacion</t>
  </si>
  <si>
    <t xml:space="preserve">EDUC lento y duradero; sin diálogo con docentes genera conflicto.</t>
  </si>
  <si>
    <t xml:space="preserve">LEG≥50 · reunión con docentes (bonificación)</t>
  </si>
  <si>
    <t xml:space="preserve">Paro docente.</t>
  </si>
  <si>
    <t xml:space="preserve">financiamiento_ciencia</t>
  </si>
  <si>
    <t xml:space="preserve">Financiamiento científico</t>
  </si>
  <si>
    <t xml:space="preserve">Presupuesto para organismos de ciencia y becas.</t>
  </si>
  <si>
    <t xml:space="preserve">desarrollar_tecnologia</t>
  </si>
  <si>
    <t xml:space="preserve">CIEN con gasto recurrente. Repetirlo tiene retornos CRECIENTES (masa crítica): contraejemplo deliberado.</t>
  </si>
  <si>
    <t xml:space="preserve">Bonifica economia_conocimiento</t>
  </si>
  <si>
    <t xml:space="preserve">economia_conocimiento</t>
  </si>
  <si>
    <t xml:space="preserve">Ley de economía del conocimiento</t>
  </si>
  <si>
    <t xml:space="preserve">Beneficios a software, servicios profesionales, biotecnología.</t>
  </si>
  <si>
    <t xml:space="preserve">INVC y EXTE de mediano plazo; más fuerte si ya invertiste en ciencia.</t>
  </si>
  <si>
    <t xml:space="preserve">LEG≥50 · CIEN≥55 (bonificación)</t>
  </si>
  <si>
    <t xml:space="preserve">fomento_cultural</t>
  </si>
  <si>
    <t xml:space="preserve">Fomento cultural federal</t>
  </si>
  <si>
    <t xml:space="preserve">Fondos, centros culturales y festivales en todo el país.</t>
  </si>
  <si>
    <t xml:space="preserve">FUSIONAR</t>
  </si>
  <si>
    <t xml:space="preserve">programa_cultural + festival_arte + centros_culturales + festivales_regionales + escuelas_arte + museos_interactivos</t>
  </si>
  <si>
    <t xml:space="preserve">Efecto chico en indicadores: su valor principal es atender la demanda del sector cultural (relación) y economía creativa.</t>
  </si>
  <si>
    <t xml:space="preserve">8 acciones culturales → 1. Culturales sin indicador propio: se canalizan como 'demanda' (tab 08).</t>
  </si>
  <si>
    <t xml:space="preserve">turismo_y_patrimonio</t>
  </si>
  <si>
    <t xml:space="preserve">Turismo y patrimonio</t>
  </si>
  <si>
    <t xml:space="preserve">Promoción turística y puesta en valor del patrimonio.</t>
  </si>
  <si>
    <t xml:space="preserve">Exterior</t>
  </si>
  <si>
    <t xml:space="preserve">fomentar_turismo + patrimonio_historico</t>
  </si>
  <si>
    <t xml:space="preserve">Divisas baratas; rinde más después de una devaluación.</t>
  </si>
  <si>
    <t xml:space="preserve">estudio_factibilidad</t>
  </si>
  <si>
    <t xml:space="preserve">Estudio de factibilidad</t>
  </si>
  <si>
    <t xml:space="preserve">Evaluación técnica previa de grandes obras.</t>
  </si>
  <si>
    <t xml:space="preserve">CONSERVAR</t>
  </si>
  <si>
    <t xml:space="preserve">Raíz del árbol de obras: habilita y abarata 6 turnos.</t>
  </si>
  <si>
    <t xml:space="preserve">infraestructura_vial, infraestructura_energetica, energia_renovable, obras_hidricas, construccion_hospitales, desarrollo_energetico_minero</t>
  </si>
  <si>
    <t xml:space="preserve">Formalizado como FLAG con vencimiento.</t>
  </si>
  <si>
    <t xml:space="preserve">infraestructura_vial</t>
  </si>
  <si>
    <t xml:space="preserve">Infraestructura vial y de transporte</t>
  </si>
  <si>
    <t xml:space="preserve">Rutas, autopistas, trenes y transporte.</t>
  </si>
  <si>
    <t xml:space="preserve">infraestructura_vial + transporte_publico</t>
  </si>
  <si>
    <t xml:space="preserve">FEDERAL, AMBIENTAL</t>
  </si>
  <si>
    <t xml:space="preserve">Activa empleo ya; INFR a los 2-3 turnos; mantenimiento para siempre; logística exportadora a t+4.</t>
  </si>
  <si>
    <t xml:space="preserve">Caso de prueba de la cadena causal (tab 11).</t>
  </si>
  <si>
    <t xml:space="preserve">infraestructura_energetica</t>
  </si>
  <si>
    <t xml:space="preserve">Infraestructura energética (gasoductos, redes)</t>
  </si>
  <si>
    <t xml:space="preserve">Gasoductos, redes eléctricas y de gas.</t>
  </si>
  <si>
    <t xml:space="preserve">red_gas</t>
  </si>
  <si>
    <t xml:space="preserve">INFR + sustitución de importaciones de energía (EXTE).</t>
  </si>
  <si>
    <t xml:space="preserve">energia_renovable</t>
  </si>
  <si>
    <t xml:space="preserve">Energías renovables</t>
  </si>
  <si>
    <t xml:space="preserve">Parques solares y eólicos.</t>
  </si>
  <si>
    <t xml:space="preserve">AMBI + INFR + algo de EXTE.</t>
  </si>
  <si>
    <t xml:space="preserve">obras_hidricas</t>
  </si>
  <si>
    <t xml:space="preserve">Obras hídricas y saneamiento</t>
  </si>
  <si>
    <t xml:space="preserve">Riego, canales, agua potable y cloacas.</t>
  </si>
  <si>
    <t xml:space="preserve">plan_hidrico + tratamiento_agua</t>
  </si>
  <si>
    <t xml:space="preserve">INFR + PSOC (agua segura) + EXTE (riego).</t>
  </si>
  <si>
    <t xml:space="preserve">plan_conectividad</t>
  </si>
  <si>
    <t xml:space="preserve">Plan de conectividad</t>
  </si>
  <si>
    <t xml:space="preserve">Fibra óptica, 4G/5G, dispositivos.</t>
  </si>
  <si>
    <t xml:space="preserve">plan_conectividad + inclusion_digital + red_comunicaciones</t>
  </si>
  <si>
    <t xml:space="preserve">INFR + EDUC + CIEN pequeños.</t>
  </si>
  <si>
    <t xml:space="preserve">mantenimiento_infraestructura</t>
  </si>
  <si>
    <t xml:space="preserve">Mantenimiento de infraestructura</t>
  </si>
  <si>
    <t xml:space="preserve">Conservación de la infraestructura existente.</t>
  </si>
  <si>
    <t xml:space="preserve">mantenimiento_urbano</t>
  </si>
  <si>
    <t xml:space="preserve">Frena la depreciación 3 turnos. Trade-off inaugurar vs. conservar.</t>
  </si>
  <si>
    <t xml:space="preserve">seguridad_ciudadana</t>
  </si>
  <si>
    <t xml:space="preserve">Plan de seguridad (fuerzas y tecnología)</t>
  </si>
  <si>
    <t xml:space="preserve">Más efectivos, equipamiento y videovigilancia.</t>
  </si>
  <si>
    <t xml:space="preserve">Seguridad y justicia</t>
  </si>
  <si>
    <t xml:space="preserve">seguridad_ciudadana + sistema_vigilancia</t>
  </si>
  <si>
    <t xml:space="preserve">SEGU con gasto recurrente. Leve costo en INST por vigilancia.</t>
  </si>
  <si>
    <t xml:space="preserve">prevencion_comunitaria</t>
  </si>
  <si>
    <t xml:space="preserve">Prevención comunitaria del delito</t>
  </si>
  <si>
    <t xml:space="preserve">Policía de proximidad, desarme, prevención en barrios.</t>
  </si>
  <si>
    <t xml:space="preserve">policia_proximidad + prevencion_delito + programa_desarme</t>
  </si>
  <si>
    <t xml:space="preserve">SEGU lento pero sostenido, sin costo institucional.</t>
  </si>
  <si>
    <t xml:space="preserve">lucha_narcotrafico</t>
  </si>
  <si>
    <t xml:space="preserve">Lucha contra el narcotráfico</t>
  </si>
  <si>
    <t xml:space="preserve">Operativos federales y desarticulación de redes.</t>
  </si>
  <si>
    <t xml:space="preserve">Empeora antes de mejorar (reacción violenta); sin instituciones rinde la mitad.</t>
  </si>
  <si>
    <t xml:space="preserve">DONE(fortalecimiento_justicia)</t>
  </si>
  <si>
    <t xml:space="preserve">Escalada violenta.</t>
  </si>
  <si>
    <t xml:space="preserve">mano_dura</t>
  </si>
  <si>
    <t xml:space="preserve">Endurecimiento: protocolo antipiquetes</t>
  </si>
  <si>
    <t xml:space="preserve">Protocolo de orden público y ampliación de facultades policiales.</t>
  </si>
  <si>
    <t xml:space="preserve">Baja CONF y da sensación de orden ya (BONUS), a costa de INST. Repetido radicaliza el conflicto.</t>
  </si>
  <si>
    <t xml:space="preserve">Judicialización; radicalización.</t>
  </si>
  <si>
    <t xml:space="preserve">Crea el trade-off orden vs derechos que faltaba.</t>
  </si>
  <si>
    <t xml:space="preserve">fortalecimiento_justicia</t>
  </si>
  <si>
    <t xml:space="preserve">Fortalecimiento de la justicia</t>
  </si>
  <si>
    <t xml:space="preserve">Reforma procesal, fiscalías, transparencia judicial.</t>
  </si>
  <si>
    <t xml:space="preserve">INST + SEGU a mediano plazo; habilita narcotráfico.</t>
  </si>
  <si>
    <t xml:space="preserve">transparencia_anticorrupcion</t>
  </si>
  <si>
    <t xml:space="preserve">Transparencia y anticorrupción</t>
  </si>
  <si>
    <t xml:space="preserve">Oficina anticorrupción, datos abiertos, compras públicas transparentes.</t>
  </si>
  <si>
    <t xml:space="preserve">Instituciones y ambiente</t>
  </si>
  <si>
    <t xml:space="preserve">INST barato; el costo es político: el propio partido pierde discrecionalidad.</t>
  </si>
  <si>
    <t xml:space="preserve">Oficialismo −5 (pierde discrecionalidad: concesión política explícita). ABIERTO.</t>
  </si>
  <si>
    <t xml:space="preserve">proteccion_ambiental</t>
  </si>
  <si>
    <t xml:space="preserve">Ley de protección ambiental</t>
  </si>
  <si>
    <t xml:space="preserve">Bosques, glaciares, compromisos climáticos.</t>
  </si>
  <si>
    <t xml:space="preserve">reforestacion + acuerdo_ambiental</t>
  </si>
  <si>
    <t xml:space="preserve">AMBI sostenido; restricciones productivas; mitiga daño de proyectos extractivos.</t>
  </si>
  <si>
    <t xml:space="preserve">Modifica desarrollo_energetico_minero</t>
  </si>
  <si>
    <t xml:space="preserve">dnu</t>
  </si>
  <si>
    <t xml:space="preserve">Decreto de necesidad y urgencia</t>
  </si>
  <si>
    <t xml:space="preserve">Gobernar por decreto.</t>
  </si>
  <si>
    <t xml:space="preserve">Atajo para gobernar sin Congreso: posible, pero cuesta INST, relación con oposición y, repetido, judicialización.</t>
  </si>
  <si>
    <t xml:space="preserve">Permite ejecutar 1 acción LEY este turno sin LEG (salvo 'no admite DNU')</t>
  </si>
  <si>
    <t xml:space="preserve">Judicialización: con 3 DNU en 6 turnos, 30% de chance de suspensión de la acción decretada.</t>
  </si>
  <si>
    <t xml:space="preserve">Oposición −8 (bypass del Congreso: conflicto político directo)</t>
  </si>
  <si>
    <t xml:space="preserve">Implementa 'gobernar desde arriba es posible pero más difícil'.</t>
  </si>
  <si>
    <t xml:space="preserve">agenda_internacional</t>
  </si>
  <si>
    <t xml:space="preserve">Agenda internacional (cumbres y cooperación)</t>
  </si>
  <si>
    <t xml:space="preserve">Giras, cumbres, cooperación.</t>
  </si>
  <si>
    <t xml:space="preserve">cooperacion_internacional + participacion_cumbres + mediacion_conflictos</t>
  </si>
  <si>
    <t xml:space="preserve">Acción habilitante: casi no mueve indicadores, abre puertas.</t>
  </si>
  <si>
    <t xml:space="preserve">tratado_comercio (obligatoria); bonifica prestamo_internacional y regimen_grandes_inversiones</t>
  </si>
  <si>
    <t xml:space="preserve">3 acciones sin sistema → 1 habilitante.</t>
  </si>
  <si>
    <t xml:space="preserve">reunion</t>
  </si>
  <si>
    <t xml:space="preserve">Reunirse con un actor</t>
  </si>
  <si>
    <t xml:space="preserve">Encuentro formal. Valor principal: información.</t>
  </si>
  <si>
    <t xml:space="preserve">Política y relaciones</t>
  </si>
  <si>
    <t xml:space="preserve">0 (1 gratis/turno) / 1</t>
  </si>
  <si>
    <t xml:space="preserve">1 por actor por turno</t>
  </si>
  <si>
    <t xml:space="preserve">Revela sat exacta, indicadores que le preocupan, demanda activa y tendencia. No compra apoyo.</t>
  </si>
  <si>
    <t xml:space="preserve">Actor organizado (no clase_media ni sectores_populares). Oposición con REL&lt;25: cuesta 1 PA siempre.</t>
  </si>
  <si>
    <t xml:space="preserve">negociacion(actor) por 3 turnos</t>
  </si>
  <si>
    <t xml:space="preserve">Reuniones vacías: 3 en 6 turnos sin negociar ni atender demanda → REL −3.</t>
  </si>
  <si>
    <t xml:space="preserve">REL +2 sólo si REL&lt;40 y no hubo reunión en 4 turnos (gesto de apertura).</t>
  </si>
  <si>
    <t xml:space="preserve">Ver tab 08.</t>
  </si>
  <si>
    <t xml:space="preserve">negociacion</t>
  </si>
  <si>
    <t xml:space="preserve">Negociar con un actor</t>
  </si>
  <si>
    <t xml:space="preserve">Discusión de una demanda concreta.</t>
  </si>
  <si>
    <t xml:space="preserve">acuerdo_sindical (parcial)</t>
  </si>
  <si>
    <t xml:space="preserve">Probabilidad de éxito = 0.5 + (REL−50)/100 − 0.04×interactionDifficulty + 0.1 si se ofrece la demanda revelada.</t>
  </si>
  <si>
    <t xml:space="preserve">FLAG(reunido_[actor])</t>
  </si>
  <si>
    <t xml:space="preserve">acuerdo(actor)</t>
  </si>
  <si>
    <t xml:space="preserve">Fracaso: REL −3.</t>
  </si>
  <si>
    <t xml:space="preserve">Diseño detallado pendiente.</t>
  </si>
  <si>
    <t xml:space="preserve">acuerdo</t>
  </si>
  <si>
    <t xml:space="preserve">Acuerdo / compromiso</t>
  </si>
  <si>
    <t xml:space="preserve">Compromiso con plazo: el gobierno se obliga a X; el actor ofrece su canal (tregua, inversión, votos, liquidación).</t>
  </si>
  <si>
    <t xml:space="preserve">según contenido</t>
  </si>
  <si>
    <t xml:space="preserve">Cumplir: REL +8. Incumplir: REL −20 y CREDIBILIDAD −5 (todas las negociaciones futuras −5%).</t>
  </si>
  <si>
    <t xml:space="preserve">negociacion exitosa</t>
  </si>
  <si>
    <t xml:space="preserve">Bonificaciones por FLAG(acuerdo_[actor]) (tab 06)</t>
  </si>
  <si>
    <t xml:space="preserve">Incumplimiento.</t>
  </si>
  <si>
    <t xml:space="preserve">REL +6 al firmar</t>
  </si>
  <si>
    <t xml:space="preserve">La relación se gana cumpliendo, no pagando.</t>
  </si>
  <si>
    <t xml:space="preserve">encuesta</t>
  </si>
  <si>
    <t xml:space="preserve">Encuesta / focus group</t>
  </si>
  <si>
    <t xml:space="preserve">Estudio de opinión sobre segmentos electorales.</t>
  </si>
  <si>
    <t xml:space="preserve">Equivalente de la reunión para clase media y sectores populares: revela satisfacción y los 2 indicadores que más la mueven.</t>
  </si>
  <si>
    <t xml:space="preserve">ampliar_coalicion</t>
  </si>
  <si>
    <t xml:space="preserve">Ampliar la coalición</t>
  </si>
  <si>
    <t xml:space="preserve">Ceder espacios de gestión a socios.</t>
  </si>
  <si>
    <t xml:space="preserve">alianza_politica</t>
  </si>
  <si>
    <t xml:space="preserve">Compra LEG permanente con costo en cohesión propia.</t>
  </si>
  <si>
    <t xml:space="preserve">FLAG(reunido_aliados) o FLAG(reunido_oposicion)</t>
  </si>
  <si>
    <t xml:space="preserve">Celos internos.</t>
  </si>
  <si>
    <t xml:space="preserve">Aliados +10, Oficialismo −4 (reparto de cargos: concesión explícita)</t>
  </si>
  <si>
    <t xml:space="preserve">Antes CD 1 y +10 pop: spam.</t>
  </si>
  <si>
    <t xml:space="preserve">transferencias_provincias</t>
  </si>
  <si>
    <t xml:space="preserve">Transferencias discrecionales a provincias</t>
  </si>
  <si>
    <t xml:space="preserve">Aportes del Tesoro y obras a provincias.</t>
  </si>
  <si>
    <t xml:space="preserve">Compra relación con gobernadores (y votos en el Senado) con caja; rinde menos si se vuelve habitual.</t>
  </si>
  <si>
    <t xml:space="preserve">Gobernadores +8 (transferencia directa = concesión explícita)</t>
  </si>
  <si>
    <t xml:space="preserve">Efectos de acciones (tabla normalizada, una fila por efecto)</t>
  </si>
  <si>
    <t xml:space="preserve">DELTA = suma permanente al valor base · BONUS = modificador temporal (se retira) · SET = flag. Inicio = turnos después del cierre del turno de ejecución (0 = mismo cierre). PERSISTENT con DELTA = se aplica cada turno de la duración.</t>
  </si>
  <si>
    <t xml:space="preserve">effectId</t>
  </si>
  <si>
    <t xml:space="preserve">Objetivo</t>
  </si>
  <si>
    <t xml:space="preserve">Tipo objetivo</t>
  </si>
  <si>
    <t xml:space="preserve">Modo</t>
  </si>
  <si>
    <t xml:space="preserve">Magnitud</t>
  </si>
  <si>
    <t xml:space="preserve">Timing</t>
  </si>
  <si>
    <t xml:space="preserve">Turno inicio (offset)</t>
  </si>
  <si>
    <t xml:space="preserve">Duración</t>
  </si>
  <si>
    <t xml:space="preserve">Tipo de efecto</t>
  </si>
  <si>
    <t xml:space="preserve">Evalúa</t>
  </si>
  <si>
    <t xml:space="preserve">Regla de repetición</t>
  </si>
  <si>
    <t xml:space="preserve">Ventana</t>
  </si>
  <si>
    <t xml:space="preserve">Cap / piso</t>
  </si>
  <si>
    <t xml:space="preserve">emitir_dinero.01</t>
  </si>
  <si>
    <t xml:space="preserve">BONUS</t>
  </si>
  <si>
    <t xml:space="preserve">t+0 → t+1</t>
  </si>
  <si>
    <t xml:space="preserve">IMMEDIATE</t>
  </si>
  <si>
    <t xml:space="preserve">Impulso de liquidez: más consumo por 2 turnos (se retira después).</t>
  </si>
  <si>
    <t xml:space="preserve">emitir_dinero.02</t>
  </si>
  <si>
    <t xml:space="preserve">DELTA</t>
  </si>
  <si>
    <t xml:space="preserve">t+0</t>
  </si>
  <si>
    <t xml:space="preserve">Presión inflacionaria base de cada emisión.</t>
  </si>
  <si>
    <t xml:space="preserve">emitir_dinero.03</t>
  </si>
  <si>
    <t xml:space="preserve">CONDITIONAL</t>
  </si>
  <si>
    <t xml:space="preserve">INFL&gt;=60</t>
  </si>
  <si>
    <t xml:space="preserve">EXEC</t>
  </si>
  <si>
    <t xml:space="preserve">Con inflación alta la emisión se traslada más rápido a precios.</t>
  </si>
  <si>
    <t xml:space="preserve">emitir_dinero.04</t>
  </si>
  <si>
    <t xml:space="preserve">INFL&gt;=75</t>
  </si>
  <si>
    <t xml:space="preserve">Con inflación muy alta, traslado todavía mayor (se suma al anterior).</t>
  </si>
  <si>
    <t xml:space="preserve">emitir_dinero.05</t>
  </si>
  <si>
    <t xml:space="preserve">Cada emisión erosiona expectativas (sube el ancla de R01).</t>
  </si>
  <si>
    <t xml:space="preserve">emitir_dinero.06</t>
  </si>
  <si>
    <t xml:space="preserve">t+1 → t+3</t>
  </si>
  <si>
    <t xml:space="preserve">REPETITION</t>
  </si>
  <si>
    <t xml:space="preserve">COUNT(emitir_dinero,6)&gt;=3</t>
  </si>
  <si>
    <t xml:space="preserve">3ª emisión en 6 turnos: la inflación se acelera 3 turnos seguidos.</t>
  </si>
  <si>
    <t xml:space="preserve">emitir_dinero.07</t>
  </si>
  <si>
    <t xml:space="preserve">Desanclaje de expectativas: el efecto sobrevive a la acción.</t>
  </si>
  <si>
    <t xml:space="preserve">emitir_dinero.08</t>
  </si>
  <si>
    <t xml:space="preserve">COUNT(emitir_dinero,6)&gt;=4</t>
  </si>
  <si>
    <t xml:space="preserve">4ª emisión: aceleración fuerte (se suma a la anterior).</t>
  </si>
  <si>
    <t xml:space="preserve">emitir_dinero.09</t>
  </si>
  <si>
    <t xml:space="preserve">Huida al dólar.</t>
  </si>
  <si>
    <t xml:space="preserve">emitir_dinero.10</t>
  </si>
  <si>
    <t xml:space="preserve">Nadie presta a plazo en una moneda que se deprecia.</t>
  </si>
  <si>
    <t xml:space="preserve">emitir_dinero.11</t>
  </si>
  <si>
    <t xml:space="preserve">COUNT(emitir_dinero,6)&gt;=5</t>
  </si>
  <si>
    <t xml:space="preserve">Impuesto inflacionario rinde menos: la 5ª emisión aporta menos caja.</t>
  </si>
  <si>
    <t xml:space="preserve">politica_monetaria_contractiva.01</t>
  </si>
  <si>
    <t xml:space="preserve">t+1</t>
  </si>
  <si>
    <t xml:space="preserve">DELAYED</t>
  </si>
  <si>
    <t xml:space="preserve">Efecto con rezago de 1 turno.</t>
  </si>
  <si>
    <t xml:space="preserve">politica_monetaria_contractiva.02</t>
  </si>
  <si>
    <t xml:space="preserve">t+2</t>
  </si>
  <si>
    <t xml:space="preserve">Segundo tramo del efecto.</t>
  </si>
  <si>
    <t xml:space="preserve">politica_monetaria_contractiva.03</t>
  </si>
  <si>
    <t xml:space="preserve">piso 0</t>
  </si>
  <si>
    <t xml:space="preserve">Señal antiinflacionaria.</t>
  </si>
  <si>
    <t xml:space="preserve">politica_monetaria_contractiva.04</t>
  </si>
  <si>
    <t xml:space="preserve">t+0 → t+2</t>
  </si>
  <si>
    <t xml:space="preserve">Crédito caro mientras duran las tasas altas.</t>
  </si>
  <si>
    <t xml:space="preserve">politica_monetaria_contractiva.05</t>
  </si>
  <si>
    <t xml:space="preserve">Parte del daño al crédito queda.</t>
  </si>
  <si>
    <t xml:space="preserve">politica_monetaria_contractiva.06</t>
  </si>
  <si>
    <t xml:space="preserve">t+1 → t+2</t>
  </si>
  <si>
    <t xml:space="preserve">Enfriamiento de la demanda.</t>
  </si>
  <si>
    <t xml:space="preserve">politica_monetaria_contractiva.07</t>
  </si>
  <si>
    <t xml:space="preserve">Tasas en pesos atraen dólares (carry).</t>
  </si>
  <si>
    <t xml:space="preserve">politica_monetaria_contractiva.08</t>
  </si>
  <si>
    <t xml:space="preserve">COUNT(politica_monetaria_contractiva,6)&gt;=3</t>
  </si>
  <si>
    <t xml:space="preserve">Recesión por tasas sostenidas.</t>
  </si>
  <si>
    <t xml:space="preserve">politica_monetaria_contractiva.09</t>
  </si>
  <si>
    <t xml:space="preserve">Costo cuasifiscal de los pasivos remunerados (3 turnos).</t>
  </si>
  <si>
    <t xml:space="preserve">devaluacion.01</t>
  </si>
  <si>
    <t xml:space="preserve">Mejora competitividad y reservas.</t>
  </si>
  <si>
    <t xml:space="preserve">devaluacion.02</t>
  </si>
  <si>
    <t xml:space="preserve">Traslado a precios (pass-through).</t>
  </si>
  <si>
    <t xml:space="preserve">devaluacion.03</t>
  </si>
  <si>
    <t xml:space="preserve">Segunda ronda de traslado.</t>
  </si>
  <si>
    <t xml:space="preserve">devaluacion.04</t>
  </si>
  <si>
    <t xml:space="preserve">INFL&gt;=65</t>
  </si>
  <si>
    <t xml:space="preserve">Con inflación alta el traslado es mayor.</t>
  </si>
  <si>
    <t xml:space="preserve">devaluacion.05</t>
  </si>
  <si>
    <t xml:space="preserve">Pérdida de salario real.</t>
  </si>
  <si>
    <t xml:space="preserve">devaluacion.06</t>
  </si>
  <si>
    <t xml:space="preserve">Shock recesivo de corto plazo.</t>
  </si>
  <si>
    <t xml:space="preserve">devaluacion.07</t>
  </si>
  <si>
    <t xml:space="preserve">COUNT(devaluacion,8)&gt;=2</t>
  </si>
  <si>
    <t xml:space="preserve">Devaluaciones seguidas: la mitad del efecto se licúa.</t>
  </si>
  <si>
    <t xml:space="preserve">devaluacion.08</t>
  </si>
  <si>
    <t xml:space="preserve">Y se indexan más rápido.</t>
  </si>
  <si>
    <t xml:space="preserve">control_cambios.01</t>
  </si>
  <si>
    <t xml:space="preserve">FLAG:cepo</t>
  </si>
  <si>
    <t xml:space="preserve">Flag</t>
  </si>
  <si>
    <t xml:space="preserve">SET</t>
  </si>
  <si>
    <t xml:space="preserve">t+0 (permanente)</t>
  </si>
  <si>
    <t xml:space="preserve">PERM</t>
  </si>
  <si>
    <t xml:space="preserve">Queda vigente hasta liberar_cambios.</t>
  </si>
  <si>
    <t xml:space="preserve">control_cambios.02</t>
  </si>
  <si>
    <t xml:space="preserve">Frena la salida de dólares.</t>
  </si>
  <si>
    <t xml:space="preserve">control_cambios.03</t>
  </si>
  <si>
    <t xml:space="preserve">Restricción a la libertad de operar.</t>
  </si>
  <si>
    <t xml:space="preserve">control_cambios.04</t>
  </si>
  <si>
    <t xml:space="preserve">t+1 → mientras cond.</t>
  </si>
  <si>
    <t xml:space="preserve">PERSISTENT</t>
  </si>
  <si>
    <t xml:space="preserve">FLAG(cepo)</t>
  </si>
  <si>
    <t xml:space="preserve">APPLY</t>
  </si>
  <si>
    <t xml:space="preserve">acumulado máx −8</t>
  </si>
  <si>
    <t xml:space="preserve">Cada turno con cepo desalienta inversión.</t>
  </si>
  <si>
    <t xml:space="preserve">control_cambios.05</t>
  </si>
  <si>
    <t xml:space="preserve">Sub-facturación de exportaciones.</t>
  </si>
  <si>
    <t xml:space="preserve">liberar_cambios.01</t>
  </si>
  <si>
    <t xml:space="preserve">Fin del cepo.</t>
  </si>
  <si>
    <t xml:space="preserve">liberar_cambios.02</t>
  </si>
  <si>
    <t xml:space="preserve">Vuelve el crédito y la inversión.</t>
  </si>
  <si>
    <t xml:space="preserve">liberar_cambios.03</t>
  </si>
  <si>
    <t xml:space="preserve">Normalización.</t>
  </si>
  <si>
    <t xml:space="preserve">liberar_cambios.04</t>
  </si>
  <si>
    <t xml:space="preserve">Salto por demanda contenida.</t>
  </si>
  <si>
    <t xml:space="preserve">liberar_cambios.05</t>
  </si>
  <si>
    <t xml:space="preserve">EXTE&lt;55</t>
  </si>
  <si>
    <t xml:space="preserve">Sin reservas suficientes el salto va a precios.</t>
  </si>
  <si>
    <t xml:space="preserve">liberar_cambios.06</t>
  </si>
  <si>
    <t xml:space="preserve">EXTE&gt;=55</t>
  </si>
  <si>
    <t xml:space="preserve">Con reservas, traslado menor.</t>
  </si>
  <si>
    <t xml:space="preserve">liberar_cambios.07</t>
  </si>
  <si>
    <t xml:space="preserve">SOLV&gt;=50</t>
  </si>
  <si>
    <t xml:space="preserve">Bonificación: con solvencia el salto es menor.</t>
  </si>
  <si>
    <t xml:space="preserve">control_precios.01</t>
  </si>
  <si>
    <t xml:space="preserve">Represión de precios: el dato mejora 2 turnos, el fondo no.</t>
  </si>
  <si>
    <t xml:space="preserve">control_precios.02</t>
  </si>
  <si>
    <t xml:space="preserve">Alivio transitorio del bolsillo.</t>
  </si>
  <si>
    <t xml:space="preserve">control_precios.03</t>
  </si>
  <si>
    <t xml:space="preserve">t+3</t>
  </si>
  <si>
    <t xml:space="preserve">Rebote al liberarse.</t>
  </si>
  <si>
    <t xml:space="preserve">control_precios.04</t>
  </si>
  <si>
    <t xml:space="preserve">Empresas postergan inversión.</t>
  </si>
  <si>
    <t xml:space="preserve">control_precios.05</t>
  </si>
  <si>
    <t xml:space="preserve">Con inflación alta los controles se desbordan (anula parte).</t>
  </si>
  <si>
    <t xml:space="preserve">control_precios.06</t>
  </si>
  <si>
    <t xml:space="preserve">COUNT(control_precios,6)&gt;=3</t>
  </si>
  <si>
    <t xml:space="preserve">Desabastecimiento.</t>
  </si>
  <si>
    <t xml:space="preserve">control_precios.07</t>
  </si>
  <si>
    <t xml:space="preserve">Rebote acumulado.</t>
  </si>
  <si>
    <t xml:space="preserve">reduccion_gasto.01</t>
  </si>
  <si>
    <t xml:space="preserve">Baja permanente del gasto corriente.</t>
  </si>
  <si>
    <t xml:space="preserve">reduccion_gasto.02</t>
  </si>
  <si>
    <t xml:space="preserve">Menos prestaciones.</t>
  </si>
  <si>
    <t xml:space="preserve">reduccion_gasto.03</t>
  </si>
  <si>
    <t xml:space="preserve">Mantenimiento diferido.</t>
  </si>
  <si>
    <t xml:space="preserve">reduccion_gasto.04</t>
  </si>
  <si>
    <t xml:space="preserve">Contracción de demanda.</t>
  </si>
  <si>
    <t xml:space="preserve">reduccion_gasto.05</t>
  </si>
  <si>
    <t xml:space="preserve">Señal fiscal.</t>
  </si>
  <si>
    <t xml:space="preserve">reduccion_gasto.06</t>
  </si>
  <si>
    <t xml:space="preserve">PSOC&lt;35</t>
  </si>
  <si>
    <t xml:space="preserve">Ajustar sobre una red ya rota enciende la calle.</t>
  </si>
  <si>
    <t xml:space="preserve">reduccion_gasto.07</t>
  </si>
  <si>
    <t xml:space="preserve">COUNT(reduccion_gasto,6)&gt;=3</t>
  </si>
  <si>
    <t xml:space="preserve">Ajuste acumulado.</t>
  </si>
  <si>
    <t xml:space="preserve">reduccion_gasto.08</t>
  </si>
  <si>
    <t xml:space="preserve">privatizacion.01</t>
  </si>
  <si>
    <t xml:space="preserve">Menos transferencias a empresas deficitarias.</t>
  </si>
  <si>
    <t xml:space="preserve">privatizacion.02</t>
  </si>
  <si>
    <t xml:space="preserve">Inversión privada en el sector.</t>
  </si>
  <si>
    <t xml:space="preserve">privatizacion.03</t>
  </si>
  <si>
    <t xml:space="preserve">Inversión en servicios.</t>
  </si>
  <si>
    <t xml:space="preserve">privatizacion.04</t>
  </si>
  <si>
    <t xml:space="preserve">Tarifas más altas.</t>
  </si>
  <si>
    <t xml:space="preserve">privatizacion.05</t>
  </si>
  <si>
    <t xml:space="preserve">Resistencia de trabajadores del sector.</t>
  </si>
  <si>
    <t xml:space="preserve">privatizacion.06</t>
  </si>
  <si>
    <t xml:space="preserve">Reestructuración y despidos.</t>
  </si>
  <si>
    <t xml:space="preserve">privatizacion.07</t>
  </si>
  <si>
    <t xml:space="preserve">COUNT(privatizacion,16)&gt;=2</t>
  </si>
  <si>
    <t xml:space="preserve">Quedan activos menos valiosos.</t>
  </si>
  <si>
    <t xml:space="preserve">prestamo_internacional.01</t>
  </si>
  <si>
    <t xml:space="preserve">Stock de deuda.</t>
  </si>
  <si>
    <t xml:space="preserve">prestamo_internacional.02</t>
  </si>
  <si>
    <t xml:space="preserve">DONE(agenda_internacional,6)</t>
  </si>
  <si>
    <t xml:space="preserve">Bonificación: mejores condiciones.</t>
  </si>
  <si>
    <t xml:space="preserve">prestamo_internacional.03</t>
  </si>
  <si>
    <t xml:space="preserve">Reservas.</t>
  </si>
  <si>
    <t xml:space="preserve">prestamo_internacional.04</t>
  </si>
  <si>
    <t xml:space="preserve">Respaldo externo.</t>
  </si>
  <si>
    <t xml:space="preserve">prestamo_internacional.05</t>
  </si>
  <si>
    <t xml:space="preserve">Ancla externa.</t>
  </si>
  <si>
    <t xml:space="preserve">prestamo_internacional.06</t>
  </si>
  <si>
    <t xml:space="preserve">FLAG:meta_fiscal</t>
  </si>
  <si>
    <t xml:space="preserve">t+0 → t+3</t>
  </si>
  <si>
    <t xml:space="preserve">Compromiso de meta fiscal por 4 turnos.</t>
  </si>
  <si>
    <t xml:space="preserve">prestamo_internacional.07</t>
  </si>
  <si>
    <t xml:space="preserve">t+4 → t+7</t>
  </si>
  <si>
    <t xml:space="preserve">RESULT3&lt;0</t>
  </si>
  <si>
    <t xml:space="preserve">Revisión a t+4: con déficit se cae el desembolso.</t>
  </si>
  <si>
    <t xml:space="preserve">prestamo_internacional.08</t>
  </si>
  <si>
    <t xml:space="preserve">t+4</t>
  </si>
  <si>
    <t xml:space="preserve">Desembolso perdido.</t>
  </si>
  <si>
    <t xml:space="preserve">prestamo_internacional.09</t>
  </si>
  <si>
    <t xml:space="preserve">COUNT(prestamo_internacional,8)&gt;=2</t>
  </si>
  <si>
    <t xml:space="preserve">Segundo programa: peores condiciones.</t>
  </si>
  <si>
    <t xml:space="preserve">prestamo_local.01</t>
  </si>
  <si>
    <t xml:space="preserve">Capital + intereses.</t>
  </si>
  <si>
    <t xml:space="preserve">prestamo_local.02</t>
  </si>
  <si>
    <t xml:space="preserve">SOLV&lt;35</t>
  </si>
  <si>
    <t xml:space="preserve">Tasa alta por riesgo.</t>
  </si>
  <si>
    <t xml:space="preserve">prestamo_local.03</t>
  </si>
  <si>
    <t xml:space="preserve">El Estado absorbe el crédito (crowding-out).</t>
  </si>
  <si>
    <t xml:space="preserve">prestamo_local.04</t>
  </si>
  <si>
    <t xml:space="preserve">COUNT(prestamo_local,8)&gt;=3</t>
  </si>
  <si>
    <t xml:space="preserve">Riesgo de rollover.</t>
  </si>
  <si>
    <t xml:space="preserve">mejorar_recaudacion.01</t>
  </si>
  <si>
    <t xml:space="preserve">Formalización: recaudación permanente +4%.</t>
  </si>
  <si>
    <t xml:space="preserve">mejorar_recaudacion.02</t>
  </si>
  <si>
    <t xml:space="preserve">Presión efectiva sube sobre quien evadía.</t>
  </si>
  <si>
    <t xml:space="preserve">mejorar_recaudacion.03</t>
  </si>
  <si>
    <t xml:space="preserve">Costo de formalizarse para informales.</t>
  </si>
  <si>
    <t xml:space="preserve">mejorar_recaudacion.04</t>
  </si>
  <si>
    <t xml:space="preserve">COUNT(mejorar_recaudacion,8)&gt;=3</t>
  </si>
  <si>
    <t xml:space="preserve">Rendimientos decrecientes.</t>
  </si>
  <si>
    <t xml:space="preserve">reforma_tributaria.01</t>
  </si>
  <si>
    <t xml:space="preserve">Suben alícuotas (la recaudación sale sola por PRES/50).</t>
  </si>
  <si>
    <t xml:space="preserve">reforma_tributaria.02</t>
  </si>
  <si>
    <t xml:space="preserve">Menor rentabilidad esperada.</t>
  </si>
  <si>
    <t xml:space="preserve">reforma_tributaria.03</t>
  </si>
  <si>
    <t xml:space="preserve">Menor ingreso disponible.</t>
  </si>
  <si>
    <t xml:space="preserve">reforma_tributaria.04</t>
  </si>
  <si>
    <t xml:space="preserve">ACTV&lt;40</t>
  </si>
  <si>
    <t xml:space="preserve">Subir impuestos en recesión profundiza la caída.</t>
  </si>
  <si>
    <t xml:space="preserve">reduccion_impuestos.01</t>
  </si>
  <si>
    <t xml:space="preserve">Bajan alícuotas.</t>
  </si>
  <si>
    <t xml:space="preserve">reduccion_impuestos.02</t>
  </si>
  <si>
    <t xml:space="preserve">Mejora la rentabilidad esperada.</t>
  </si>
  <si>
    <t xml:space="preserve">reduccion_impuestos.03</t>
  </si>
  <si>
    <t xml:space="preserve">Más ingreso disponible.</t>
  </si>
  <si>
    <t xml:space="preserve">reduccion_impuestos.04</t>
  </si>
  <si>
    <t xml:space="preserve">Baja sin financiamiento: desconfianza.</t>
  </si>
  <si>
    <t xml:space="preserve">subir_retenciones.01</t>
  </si>
  <si>
    <t xml:space="preserve">Más carga sobre exportadores.</t>
  </si>
  <si>
    <t xml:space="preserve">subir_retenciones.02</t>
  </si>
  <si>
    <t xml:space="preserve">Recaudación permanente.</t>
  </si>
  <si>
    <t xml:space="preserve">subir_retenciones.03</t>
  </si>
  <si>
    <t xml:space="preserve">Menos siembra y liquidación.</t>
  </si>
  <si>
    <t xml:space="preserve">subir_retenciones.04</t>
  </si>
  <si>
    <t xml:space="preserve">COUNT(subir_retenciones,8)&gt;=2</t>
  </si>
  <si>
    <t xml:space="preserve">Retención de cosecha.</t>
  </si>
  <si>
    <t xml:space="preserve">subir_retenciones.05</t>
  </si>
  <si>
    <t xml:space="preserve">Conflicto con el campo.</t>
  </si>
  <si>
    <t xml:space="preserve">bajar_retenciones.01</t>
  </si>
  <si>
    <t xml:space="preserve">Menos carga.</t>
  </si>
  <si>
    <t xml:space="preserve">bajar_retenciones.02</t>
  </si>
  <si>
    <t xml:space="preserve">Pérdida de recaudación permanente.</t>
  </si>
  <si>
    <t xml:space="preserve">bajar_retenciones.03</t>
  </si>
  <si>
    <t xml:space="preserve">Más liquidación.</t>
  </si>
  <si>
    <t xml:space="preserve">bajar_retenciones.04</t>
  </si>
  <si>
    <t xml:space="preserve">Más siembra.</t>
  </si>
  <si>
    <t xml:space="preserve">bajar_retenciones.05</t>
  </si>
  <si>
    <t xml:space="preserve">Economías regionales.</t>
  </si>
  <si>
    <t xml:space="preserve">promocion_industrial.01</t>
  </si>
  <si>
    <t xml:space="preserve">Inversión subsidiada.</t>
  </si>
  <si>
    <t xml:space="preserve">promocion_industrial.02</t>
  </si>
  <si>
    <t xml:space="preserve">Actividad sostenida mientras dura el beneficio.</t>
  </si>
  <si>
    <t xml:space="preserve">promocion_industrial.03</t>
  </si>
  <si>
    <t xml:space="preserve">Parte queda.</t>
  </si>
  <si>
    <t xml:space="preserve">promocion_industrial.04</t>
  </si>
  <si>
    <t xml:space="preserve">EXTE&lt;35</t>
  </si>
  <si>
    <t xml:space="preserve">Sin dólares para insumos rinde la mitad.</t>
  </si>
  <si>
    <t xml:space="preserve">promocion_industrial.05</t>
  </si>
  <si>
    <t xml:space="preserve">COUNT(promocion_industrial,8)&gt;=3</t>
  </si>
  <si>
    <t xml:space="preserve">Dependencia: la inversión espera el subsidio.</t>
  </si>
  <si>
    <t xml:space="preserve">credito_pyme.01</t>
  </si>
  <si>
    <t xml:space="preserve">Línea vigente 4 turnos.</t>
  </si>
  <si>
    <t xml:space="preserve">credito_pyme.02</t>
  </si>
  <si>
    <t xml:space="preserve">Contrataciones.</t>
  </si>
  <si>
    <t xml:space="preserve">credito_pyme.03</t>
  </si>
  <si>
    <t xml:space="preserve">credito_pyme.04</t>
  </si>
  <si>
    <t xml:space="preserve">t+4 → t+6</t>
  </si>
  <si>
    <t xml:space="preserve">Recupero de cuotas.</t>
  </si>
  <si>
    <t xml:space="preserve">credito_pyme.05</t>
  </si>
  <si>
    <t xml:space="preserve">INFL&gt;=70</t>
  </si>
  <si>
    <t xml:space="preserve">Con inflación alta el crédito se licúa.</t>
  </si>
  <si>
    <t xml:space="preserve">incentivos_exportacion.01</t>
  </si>
  <si>
    <t xml:space="preserve">Más ventas externas.</t>
  </si>
  <si>
    <t xml:space="preserve">incentivos_exportacion.02</t>
  </si>
  <si>
    <t xml:space="preserve">Segundo tramo.</t>
  </si>
  <si>
    <t xml:space="preserve">incentivos_exportacion.03</t>
  </si>
  <si>
    <t xml:space="preserve">Producción exportable.</t>
  </si>
  <si>
    <t xml:space="preserve">regimen_grandes_inversiones.01</t>
  </si>
  <si>
    <t xml:space="preserve">t+1 → t+4</t>
  </si>
  <si>
    <t xml:space="preserve">+2/turno durante 4 turnos (+8).</t>
  </si>
  <si>
    <t xml:space="preserve">regimen_grandes_inversiones.02</t>
  </si>
  <si>
    <t xml:space="preserve">Exenciones.</t>
  </si>
  <si>
    <t xml:space="preserve">regimen_grandes_inversiones.03</t>
  </si>
  <si>
    <t xml:space="preserve">t+3 → t+6</t>
  </si>
  <si>
    <t xml:space="preserve">Exportaciones de los proyectos.</t>
  </si>
  <si>
    <t xml:space="preserve">regimen_grandes_inversiones.04</t>
  </si>
  <si>
    <t xml:space="preserve">INST&lt;40</t>
  </si>
  <si>
    <t xml:space="preserve">Inseguridad jurídica: rinde la mitad.</t>
  </si>
  <si>
    <t xml:space="preserve">regimen_grandes_inversiones.05</t>
  </si>
  <si>
    <t xml:space="preserve">FLAG:rigi</t>
  </si>
  <si>
    <t xml:space="preserve">Régimen vigente.</t>
  </si>
  <si>
    <t xml:space="preserve">desarrollo_energetico_minero.01</t>
  </si>
  <si>
    <t xml:space="preserve">t+2 → t+7</t>
  </si>
  <si>
    <t xml:space="preserve">Divisas: +3/turno durante 6 turnos a partir de t+2.</t>
  </si>
  <si>
    <t xml:space="preserve">desarrollo_energetico_minero.02</t>
  </si>
  <si>
    <t xml:space="preserve">Inversión en los proyectos.</t>
  </si>
  <si>
    <t xml:space="preserve">desarrollo_energetico_minero.03</t>
  </si>
  <si>
    <t xml:space="preserve">t+2 → t+5</t>
  </si>
  <si>
    <t xml:space="preserve">desarrollo_energetico_minero.04</t>
  </si>
  <si>
    <t xml:space="preserve">Impacto inicial.</t>
  </si>
  <si>
    <t xml:space="preserve">desarrollo_energetico_minero.05</t>
  </si>
  <si>
    <t xml:space="preserve">Impacto de operación.</t>
  </si>
  <si>
    <t xml:space="preserve">desarrollo_energetico_minero.06</t>
  </si>
  <si>
    <t xml:space="preserve">FLAG(ley_ambiental)</t>
  </si>
  <si>
    <t xml:space="preserve">Con ley ambiental el daño se mitiga.</t>
  </si>
  <si>
    <t xml:space="preserve">desarrollo_energetico_minero.07</t>
  </si>
  <si>
    <t xml:space="preserve">…pero con más requisitos.</t>
  </si>
  <si>
    <t xml:space="preserve">desarrollo_energetico_minero.08</t>
  </si>
  <si>
    <t xml:space="preserve">FLAG(rigi)</t>
  </si>
  <si>
    <t xml:space="preserve">Bonificación RIGI.</t>
  </si>
  <si>
    <t xml:space="preserve">desarrollo_energetico_minero.09</t>
  </si>
  <si>
    <t xml:space="preserve">DONE(infraestructura_energetica,99)</t>
  </si>
  <si>
    <t xml:space="preserve">Con gasoducto se exporta más.</t>
  </si>
  <si>
    <t xml:space="preserve">tratado_comercio.01</t>
  </si>
  <si>
    <t xml:space="preserve">Nuevos mercados.</t>
  </si>
  <si>
    <t xml:space="preserve">tratado_comercio.02</t>
  </si>
  <si>
    <t xml:space="preserve">Inversión orientada a exportar.</t>
  </si>
  <si>
    <t xml:space="preserve">tratado_comercio.03</t>
  </si>
  <si>
    <t xml:space="preserve">Competencia importada: reconversión.</t>
  </si>
  <si>
    <t xml:space="preserve">tratado_comercio.04</t>
  </si>
  <si>
    <t xml:space="preserve">Ganancia de eficiencia.</t>
  </si>
  <si>
    <t xml:space="preserve">tratado_comercio.05</t>
  </si>
  <si>
    <t xml:space="preserve">Apertura en recesión.</t>
  </si>
  <si>
    <t xml:space="preserve">aumento_salarial.01</t>
  </si>
  <si>
    <t xml:space="preserve">Costo permanente.</t>
  </si>
  <si>
    <t xml:space="preserve">aumento_salarial.02</t>
  </si>
  <si>
    <t xml:space="preserve">Salario real.</t>
  </si>
  <si>
    <t xml:space="preserve">aumento_salarial.03</t>
  </si>
  <si>
    <t xml:space="preserve">Consumo.</t>
  </si>
  <si>
    <t xml:space="preserve">aumento_salarial.04</t>
  </si>
  <si>
    <t xml:space="preserve">Docentes: menos conflicto en aulas.</t>
  </si>
  <si>
    <t xml:space="preserve">aumento_salarial.05</t>
  </si>
  <si>
    <t xml:space="preserve">Personal de salud.</t>
  </si>
  <si>
    <t xml:space="preserve">aumento_salarial.06</t>
  </si>
  <si>
    <t xml:space="preserve">Inercia salarios-precios.</t>
  </si>
  <si>
    <t xml:space="preserve">aumento_salarial.07</t>
  </si>
  <si>
    <t xml:space="preserve">SOLV&lt;30</t>
  </si>
  <si>
    <t xml:space="preserve">Sin solvencia se lee como emisión futura.</t>
  </si>
  <si>
    <t xml:space="preserve">suba_salario_minimo.01</t>
  </si>
  <si>
    <t xml:space="preserve">Ingreso de trabajadores de menores salarios.</t>
  </si>
  <si>
    <t xml:space="preserve">suba_salario_minimo.02</t>
  </si>
  <si>
    <t xml:space="preserve">Traslado de costos.</t>
  </si>
  <si>
    <t xml:space="preserve">suba_salario_minimo.03</t>
  </si>
  <si>
    <t xml:space="preserve">suba_salario_minimo.04</t>
  </si>
  <si>
    <t xml:space="preserve">Costo laboral.</t>
  </si>
  <si>
    <t xml:space="preserve">suba_salario_minimo.05</t>
  </si>
  <si>
    <t xml:space="preserve">La inflación se come la suba.</t>
  </si>
  <si>
    <t xml:space="preserve">suba_salario_minimo.06</t>
  </si>
  <si>
    <t xml:space="preserve">En recesión, PyMEs no pueden pagar: informalidad.</t>
  </si>
  <si>
    <t xml:space="preserve">reforma_laboral.01</t>
  </si>
  <si>
    <t xml:space="preserve">Menor costo de contratar.</t>
  </si>
  <si>
    <t xml:space="preserve">reforma_laboral.02</t>
  </si>
  <si>
    <t xml:space="preserve">Formalización gradual.</t>
  </si>
  <si>
    <t xml:space="preserve">reforma_laboral.03</t>
  </si>
  <si>
    <t xml:space="preserve">Menor poder de negociación.</t>
  </si>
  <si>
    <t xml:space="preserve">reforma_laboral.04</t>
  </si>
  <si>
    <t xml:space="preserve">Movilización.</t>
  </si>
  <si>
    <t xml:space="preserve">reforma_laboral.05</t>
  </si>
  <si>
    <t xml:space="preserve">REL:sindicatos</t>
  </si>
  <si>
    <t xml:space="preserve">Relación directa: la reforma es contra la estructura sindical.</t>
  </si>
  <si>
    <t xml:space="preserve">reforma_laboral.06</t>
  </si>
  <si>
    <t xml:space="preserve">FLAG(acuerdo_sindicatos)</t>
  </si>
  <si>
    <t xml:space="preserve">Con acuerdo previo se mitiga el conflicto.</t>
  </si>
  <si>
    <t xml:space="preserve">reforma_laboral.07</t>
  </si>
  <si>
    <t xml:space="preserve">…y la ruptura.</t>
  </si>
  <si>
    <t xml:space="preserve">pacto_social.01</t>
  </si>
  <si>
    <t xml:space="preserve">−3/turno durante 4 turnos.</t>
  </si>
  <si>
    <t xml:space="preserve">pacto_social.02</t>
  </si>
  <si>
    <t xml:space="preserve">Coordinación de expectativas.</t>
  </si>
  <si>
    <t xml:space="preserve">pacto_social.03</t>
  </si>
  <si>
    <t xml:space="preserve">Tregua.</t>
  </si>
  <si>
    <t xml:space="preserve">pacto_social.04</t>
  </si>
  <si>
    <t xml:space="preserve">FLAG:pacto_social</t>
  </si>
  <si>
    <t xml:space="preserve">Compromiso: no emitir ni devaluar 4 turnos.</t>
  </si>
  <si>
    <t xml:space="preserve">pacto_social.05</t>
  </si>
  <si>
    <t xml:space="preserve">Acuerdo directo.</t>
  </si>
  <si>
    <t xml:space="preserve">pacto_social.06</t>
  </si>
  <si>
    <t xml:space="preserve">REL:industria</t>
  </si>
  <si>
    <t xml:space="preserve">pacto_social.07</t>
  </si>
  <si>
    <t xml:space="preserve">REL:pymes</t>
  </si>
  <si>
    <t xml:space="preserve">cobertura_social.01</t>
  </si>
  <si>
    <t xml:space="preserve">Programa permanente.</t>
  </si>
  <si>
    <t xml:space="preserve">cobertura_social.02</t>
  </si>
  <si>
    <t xml:space="preserve">Cobertura.</t>
  </si>
  <si>
    <t xml:space="preserve">cobertura_social.03</t>
  </si>
  <si>
    <t xml:space="preserve">Ingreso de hogares vulnerables.</t>
  </si>
  <si>
    <t xml:space="preserve">cobertura_social.04</t>
  </si>
  <si>
    <t xml:space="preserve">Contención.</t>
  </si>
  <si>
    <t xml:space="preserve">cobertura_social.05</t>
  </si>
  <si>
    <t xml:space="preserve">Consumo popular.</t>
  </si>
  <si>
    <t xml:space="preserve">cobertura_social.06</t>
  </si>
  <si>
    <t xml:space="preserve">COUNT(cobertura_social,8)&gt;=3</t>
  </si>
  <si>
    <t xml:space="preserve">asistencia_alimentaria.01</t>
  </si>
  <si>
    <t xml:space="preserve">Alivio temporal.</t>
  </si>
  <si>
    <t xml:space="preserve">asistencia_alimentaria.02</t>
  </si>
  <si>
    <t xml:space="preserve">Contención inmediata.</t>
  </si>
  <si>
    <t xml:space="preserve">asistencia_alimentaria.03</t>
  </si>
  <si>
    <t xml:space="preserve">CONF&gt;=60</t>
  </si>
  <si>
    <t xml:space="preserve">Más efecto en plena crisis.</t>
  </si>
  <si>
    <t xml:space="preserve">bono_jubilados.01</t>
  </si>
  <si>
    <t xml:space="preserve">Ingreso de jubilados.</t>
  </si>
  <si>
    <t xml:space="preserve">bono_jubilados.02</t>
  </si>
  <si>
    <t xml:space="preserve">Contención de adultos mayores.</t>
  </si>
  <si>
    <t xml:space="preserve">bono_jubilados.03</t>
  </si>
  <si>
    <t xml:space="preserve">Licuación.</t>
  </si>
  <si>
    <t xml:space="preserve">plan_viviendas.01</t>
  </si>
  <si>
    <t xml:space="preserve">Construcción.</t>
  </si>
  <si>
    <t xml:space="preserve">plan_viviendas.02</t>
  </si>
  <si>
    <t xml:space="preserve">Primeras entregas.</t>
  </si>
  <si>
    <t xml:space="preserve">plan_viviendas.03</t>
  </si>
  <si>
    <t xml:space="preserve">Segunda tanda.</t>
  </si>
  <si>
    <t xml:space="preserve">plan_viviendas.04</t>
  </si>
  <si>
    <t xml:space="preserve">FLAG(acuerdo_gobernadores)</t>
  </si>
  <si>
    <t xml:space="preserve">Ejecución federal eficiente.</t>
  </si>
  <si>
    <t xml:space="preserve">plan_viviendas.05</t>
  </si>
  <si>
    <t xml:space="preserve">Mantenimiento.</t>
  </si>
  <si>
    <t xml:space="preserve">salud_preventiva.01</t>
  </si>
  <si>
    <t xml:space="preserve">Cobertura sanitaria.</t>
  </si>
  <si>
    <t xml:space="preserve">salud_preventiva.02</t>
  </si>
  <si>
    <t xml:space="preserve">Personal y funcionamiento.</t>
  </si>
  <si>
    <t xml:space="preserve">salud_preventiva.03</t>
  </si>
  <si>
    <t xml:space="preserve">Mayor impacto marginal en crisis.</t>
  </si>
  <si>
    <t xml:space="preserve">construccion_hospitales.01</t>
  </si>
  <si>
    <t xml:space="preserve">Obra.</t>
  </si>
  <si>
    <t xml:space="preserve">construccion_hospitales.02</t>
  </si>
  <si>
    <t xml:space="preserve">Primeras áreas.</t>
  </si>
  <si>
    <t xml:space="preserve">construccion_hospitales.03</t>
  </si>
  <si>
    <t xml:space="preserve">Inauguración.</t>
  </si>
  <si>
    <t xml:space="preserve">construccion_hospitales.04</t>
  </si>
  <si>
    <t xml:space="preserve">Funcionamiento.</t>
  </si>
  <si>
    <t xml:space="preserve">construccion_hospitales.05</t>
  </si>
  <si>
    <t xml:space="preserve">Ejecución federal.</t>
  </si>
  <si>
    <t xml:space="preserve">empleo_joven.01</t>
  </si>
  <si>
    <t xml:space="preserve">Inserción laboral.</t>
  </si>
  <si>
    <t xml:space="preserve">empleo_joven.02</t>
  </si>
  <si>
    <t xml:space="preserve">Formación.</t>
  </si>
  <si>
    <t xml:space="preserve">empleo_joven.03</t>
  </si>
  <si>
    <t xml:space="preserve">Becas.</t>
  </si>
  <si>
    <t xml:space="preserve">empleo_joven.04</t>
  </si>
  <si>
    <t xml:space="preserve">Prevención.</t>
  </si>
  <si>
    <t xml:space="preserve">genero_y_cuidados.01</t>
  </si>
  <si>
    <t xml:space="preserve">Ampliación de derechos.</t>
  </si>
  <si>
    <t xml:space="preserve">genero_y_cuidados.02</t>
  </si>
  <si>
    <t xml:space="preserve">Cuidados.</t>
  </si>
  <si>
    <t xml:space="preserve">genero_y_cuidados.03</t>
  </si>
  <si>
    <t xml:space="preserve">Participación laboral.</t>
  </si>
  <si>
    <t xml:space="preserve">congelar_tarifas.01</t>
  </si>
  <si>
    <t xml:space="preserve">Costo del subsidio 4 turnos.</t>
  </si>
  <si>
    <t xml:space="preserve">congelar_tarifas.02</t>
  </si>
  <si>
    <t xml:space="preserve">Alivio en el bolsillo.</t>
  </si>
  <si>
    <t xml:space="preserve">congelar_tarifas.03</t>
  </si>
  <si>
    <t xml:space="preserve">Precios regulados.</t>
  </si>
  <si>
    <t xml:space="preserve">congelar_tarifas.04</t>
  </si>
  <si>
    <t xml:space="preserve">Desinversión en energía.</t>
  </si>
  <si>
    <t xml:space="preserve">congelar_tarifas.05</t>
  </si>
  <si>
    <t xml:space="preserve">Importación de energía por demanda subsidiada.</t>
  </si>
  <si>
    <t xml:space="preserve">congelar_tarifas.06</t>
  </si>
  <si>
    <t xml:space="preserve">t+5</t>
  </si>
  <si>
    <t xml:space="preserve">COUNT(congelar_tarifas,8)&gt;=2</t>
  </si>
  <si>
    <t xml:space="preserve">Atraso tarifario acumulado.</t>
  </si>
  <si>
    <t xml:space="preserve">actualizar_tarifas.01</t>
  </si>
  <si>
    <t xml:space="preserve">Menos subsidios.</t>
  </si>
  <si>
    <t xml:space="preserve">actualizar_tarifas.02</t>
  </si>
  <si>
    <t xml:space="preserve">Suben precios regulados.</t>
  </si>
  <si>
    <t xml:space="preserve">actualizar_tarifas.03</t>
  </si>
  <si>
    <t xml:space="preserve">Golpe al bolsillo.</t>
  </si>
  <si>
    <t xml:space="preserve">actualizar_tarifas.04</t>
  </si>
  <si>
    <t xml:space="preserve">t+2 → t+4</t>
  </si>
  <si>
    <t xml:space="preserve">Inversión en el sector.</t>
  </si>
  <si>
    <t xml:space="preserve">actualizar_tarifas.05</t>
  </si>
  <si>
    <t xml:space="preserve">Menos importación de energía.</t>
  </si>
  <si>
    <t xml:space="preserve">actualizar_tarifas.06</t>
  </si>
  <si>
    <t xml:space="preserve">PSOC&gt;=55</t>
  </si>
  <si>
    <t xml:space="preserve">Tarifa social amortigua.</t>
  </si>
  <si>
    <t xml:space="preserve">actualizar_tarifas.07</t>
  </si>
  <si>
    <t xml:space="preserve">inversion_educativa.01</t>
  </si>
  <si>
    <t xml:space="preserve">Primer efecto.</t>
  </si>
  <si>
    <t xml:space="preserve">inversion_educativa.02</t>
  </si>
  <si>
    <t xml:space="preserve">Maduración.</t>
  </si>
  <si>
    <t xml:space="preserve">inversion_educativa.03</t>
  </si>
  <si>
    <t xml:space="preserve">inversion_educativa.04</t>
  </si>
  <si>
    <t xml:space="preserve">COUNT(inversion_educativa,6)&gt;=3</t>
  </si>
  <si>
    <t xml:space="preserve">reforma_educativa.01</t>
  </si>
  <si>
    <t xml:space="preserve">+1/turno durante 6 turnos.</t>
  </si>
  <si>
    <t xml:space="preserve">reforma_educativa.02</t>
  </si>
  <si>
    <t xml:space="preserve">Resistencia inicial.</t>
  </si>
  <si>
    <t xml:space="preserve">reforma_educativa.03</t>
  </si>
  <si>
    <t xml:space="preserve">not DONE(reunion_docentes,4)</t>
  </si>
  <si>
    <t xml:space="preserve">Sin diálogo previo con docentes.</t>
  </si>
  <si>
    <t xml:space="preserve">financiamiento_ciencia.01</t>
  </si>
  <si>
    <t xml:space="preserve">Proyectos y becas.</t>
  </si>
  <si>
    <t xml:space="preserve">financiamiento_ciencia.02</t>
  </si>
  <si>
    <t xml:space="preserve">Salarios y becas.</t>
  </si>
  <si>
    <t xml:space="preserve">financiamiento_ciencia.03</t>
  </si>
  <si>
    <t xml:space="preserve">COUNT(financiamiento_ciencia,8)&gt;=3</t>
  </si>
  <si>
    <t xml:space="preserve">Masa crítica: la continuidad rinde más.</t>
  </si>
  <si>
    <t xml:space="preserve">economia_conocimiento.01</t>
  </si>
  <si>
    <t xml:space="preserve">Beneficio fiscal.</t>
  </si>
  <si>
    <t xml:space="preserve">economia_conocimiento.02</t>
  </si>
  <si>
    <t xml:space="preserve">Inversión tecnológica.</t>
  </si>
  <si>
    <t xml:space="preserve">economia_conocimiento.03</t>
  </si>
  <si>
    <t xml:space="preserve">Exportación de servicios.</t>
  </si>
  <si>
    <t xml:space="preserve">economia_conocimiento.04</t>
  </si>
  <si>
    <t xml:space="preserve">Demanda de conocimiento.</t>
  </si>
  <si>
    <t xml:space="preserve">economia_conocimiento.05</t>
  </si>
  <si>
    <t xml:space="preserve">CIEN&gt;=55</t>
  </si>
  <si>
    <t xml:space="preserve">Bonificación por base científica.</t>
  </si>
  <si>
    <t xml:space="preserve">fomento_cultural.01</t>
  </si>
  <si>
    <t xml:space="preserve">Acceso cultural.</t>
  </si>
  <si>
    <t xml:space="preserve">fomento_cultural.02</t>
  </si>
  <si>
    <t xml:space="preserve">Economía creativa.</t>
  </si>
  <si>
    <t xml:space="preserve">turismo_y_patrimonio.01</t>
  </si>
  <si>
    <t xml:space="preserve">Turismo receptivo.</t>
  </si>
  <si>
    <t xml:space="preserve">turismo_y_patrimonio.02</t>
  </si>
  <si>
    <t xml:space="preserve">turismo_y_patrimonio.03</t>
  </si>
  <si>
    <t xml:space="preserve">DONE(devaluacion,4)</t>
  </si>
  <si>
    <t xml:space="preserve">Tipo de cambio competitivo.</t>
  </si>
  <si>
    <t xml:space="preserve">estudio_factibilidad.01</t>
  </si>
  <si>
    <t xml:space="preserve">FLAG:estudio_vigente</t>
  </si>
  <si>
    <t xml:space="preserve">t+0 → t+5</t>
  </si>
  <si>
    <t xml:space="preserve">Habilita grandes obras 6 turnos.</t>
  </si>
  <si>
    <t xml:space="preserve">estudio_factibilidad.02</t>
  </si>
  <si>
    <t xml:space="preserve">COSTO_MULT:infra</t>
  </si>
  <si>
    <t xml:space="preserve">−20% costo de caja en obras.</t>
  </si>
  <si>
    <t xml:space="preserve">infraestructura_vial.01</t>
  </si>
  <si>
    <t xml:space="preserve">Obra en ejecución.</t>
  </si>
  <si>
    <t xml:space="preserve">infraestructura_vial.02</t>
  </si>
  <si>
    <t xml:space="preserve">Primeros tramos.</t>
  </si>
  <si>
    <t xml:space="preserve">infraestructura_vial.03</t>
  </si>
  <si>
    <t xml:space="preserve">Finalización.</t>
  </si>
  <si>
    <t xml:space="preserve">infraestructura_vial.04</t>
  </si>
  <si>
    <t xml:space="preserve">Mantenimiento permanente.</t>
  </si>
  <si>
    <t xml:space="preserve">infraestructura_vial.05</t>
  </si>
  <si>
    <t xml:space="preserve">Logística exportadora.</t>
  </si>
  <si>
    <t xml:space="preserve">infraestructura_vial.06</t>
  </si>
  <si>
    <t xml:space="preserve">infraestructura_vial.07</t>
  </si>
  <si>
    <t xml:space="preserve">Impacto de obra.</t>
  </si>
  <si>
    <t xml:space="preserve">infraestructura_energetica.01</t>
  </si>
  <si>
    <t xml:space="preserve">infraestructura_energetica.02</t>
  </si>
  <si>
    <t xml:space="preserve">Primera etapa.</t>
  </si>
  <si>
    <t xml:space="preserve">infraestructura_energetica.03</t>
  </si>
  <si>
    <t xml:space="preserve">Segunda etapa.</t>
  </si>
  <si>
    <t xml:space="preserve">infraestructura_energetica.04</t>
  </si>
  <si>
    <t xml:space="preserve">infraestructura_energetica.05</t>
  </si>
  <si>
    <t xml:space="preserve">infraestructura_energetica.06</t>
  </si>
  <si>
    <t xml:space="preserve">Operación y mantenimiento.</t>
  </si>
  <si>
    <t xml:space="preserve">energia_renovable.01</t>
  </si>
  <si>
    <t xml:space="preserve">Matriz más limpia.</t>
  </si>
  <si>
    <t xml:space="preserve">energia_renovable.02</t>
  </si>
  <si>
    <t xml:space="preserve">Capacidad instalada.</t>
  </si>
  <si>
    <t xml:space="preserve">energia_renovable.03</t>
  </si>
  <si>
    <t xml:space="preserve">t+3 → t+5</t>
  </si>
  <si>
    <t xml:space="preserve">Sustitución de importaciones.</t>
  </si>
  <si>
    <t xml:space="preserve">energia_renovable.04</t>
  </si>
  <si>
    <t xml:space="preserve">obras_hidricas.01</t>
  </si>
  <si>
    <t xml:space="preserve">Obras.</t>
  </si>
  <si>
    <t xml:space="preserve">obras_hidricas.02</t>
  </si>
  <si>
    <t xml:space="preserve">Agua segura.</t>
  </si>
  <si>
    <t xml:space="preserve">obras_hidricas.03</t>
  </si>
  <si>
    <t xml:space="preserve">Riego.</t>
  </si>
  <si>
    <t xml:space="preserve">obras_hidricas.04</t>
  </si>
  <si>
    <t xml:space="preserve">Saneamiento.</t>
  </si>
  <si>
    <t xml:space="preserve">obras_hidricas.05</t>
  </si>
  <si>
    <t xml:space="preserve">plan_conectividad.01</t>
  </si>
  <si>
    <t xml:space="preserve">Redes.</t>
  </si>
  <si>
    <t xml:space="preserve">plan_conectividad.02</t>
  </si>
  <si>
    <t xml:space="preserve">Inclusión digital.</t>
  </si>
  <si>
    <t xml:space="preserve">plan_conectividad.03</t>
  </si>
  <si>
    <t xml:space="preserve">Base tecnológica.</t>
  </si>
  <si>
    <t xml:space="preserve">plan_conectividad.04</t>
  </si>
  <si>
    <t xml:space="preserve">mantenimiento_infraestructura.01</t>
  </si>
  <si>
    <t xml:space="preserve">Reparaciones.</t>
  </si>
  <si>
    <t xml:space="preserve">mantenimiento_infraestructura.02</t>
  </si>
  <si>
    <t xml:space="preserve">FLAG:mant_activo</t>
  </si>
  <si>
    <t xml:space="preserve">Anula R09 (depreciación) 3 turnos.</t>
  </si>
  <si>
    <t xml:space="preserve">mantenimiento_infraestructura.03</t>
  </si>
  <si>
    <t xml:space="preserve">INFR&lt;35</t>
  </si>
  <si>
    <t xml:space="preserve">Más valor cuando está deteriorada.</t>
  </si>
  <si>
    <t xml:space="preserve">seguridad_ciudadana.01</t>
  </si>
  <si>
    <t xml:space="preserve">Presencia policial.</t>
  </si>
  <si>
    <t xml:space="preserve">seguridad_ciudadana.02</t>
  </si>
  <si>
    <t xml:space="preserve">Personal.</t>
  </si>
  <si>
    <t xml:space="preserve">seguridad_ciudadana.03</t>
  </si>
  <si>
    <t xml:space="preserve">Vigilancia masiva.</t>
  </si>
  <si>
    <t xml:space="preserve">seguridad_ciudadana.04</t>
  </si>
  <si>
    <t xml:space="preserve">Coordinación con policías provinciales.</t>
  </si>
  <si>
    <t xml:space="preserve">seguridad_ciudadana.05</t>
  </si>
  <si>
    <t xml:space="preserve">COUNT(seguridad_ciudadana,6)&gt;=3</t>
  </si>
  <si>
    <t xml:space="preserve">prevencion_comunitaria.01</t>
  </si>
  <si>
    <t xml:space="preserve">prevencion_comunitaria.02</t>
  </si>
  <si>
    <t xml:space="preserve">+1/turno 3 turnos.</t>
  </si>
  <si>
    <t xml:space="preserve">prevencion_comunitaria.03</t>
  </si>
  <si>
    <t xml:space="preserve">Enfoque de derechos.</t>
  </si>
  <si>
    <t xml:space="preserve">prevencion_comunitaria.04</t>
  </si>
  <si>
    <t xml:space="preserve">Vínculo con barrios.</t>
  </si>
  <si>
    <t xml:space="preserve">lucha_narcotrafico.01</t>
  </si>
  <si>
    <t xml:space="preserve">Reacción violenta de corto plazo.</t>
  </si>
  <si>
    <t xml:space="preserve">lucha_narcotrafico.02</t>
  </si>
  <si>
    <t xml:space="preserve">+3/turno 3 turnos.</t>
  </si>
  <si>
    <t xml:space="preserve">lucha_narcotrafico.03</t>
  </si>
  <si>
    <t xml:space="preserve">Corrupción policial: rinde menos.</t>
  </si>
  <si>
    <t xml:space="preserve">mano_dura.01</t>
  </si>
  <si>
    <t xml:space="preserve">Represión inmediata.</t>
  </si>
  <si>
    <t xml:space="preserve">mano_dura.02</t>
  </si>
  <si>
    <t xml:space="preserve">Sensación de orden.</t>
  </si>
  <si>
    <t xml:space="preserve">mano_dura.03</t>
  </si>
  <si>
    <t xml:space="preserve">Restricción de derechos.</t>
  </si>
  <si>
    <t xml:space="preserve">mano_dura.04</t>
  </si>
  <si>
    <t xml:space="preserve">CONF&lt;40</t>
  </si>
  <si>
    <t xml:space="preserve">Represión sin conflicto real = arbitrariedad.</t>
  </si>
  <si>
    <t xml:space="preserve">mano_dura.05</t>
  </si>
  <si>
    <t xml:space="preserve">COUNT(mano_dura,6)&gt;=3</t>
  </si>
  <si>
    <t xml:space="preserve">Radicalización.</t>
  </si>
  <si>
    <t xml:space="preserve">mano_dura.06</t>
  </si>
  <si>
    <t xml:space="preserve">Deterioro acumulado.</t>
  </si>
  <si>
    <t xml:space="preserve">fortalecimiento_justicia.01</t>
  </si>
  <si>
    <t xml:space="preserve">Reforma.</t>
  </si>
  <si>
    <t xml:space="preserve">fortalecimiento_justicia.02</t>
  </si>
  <si>
    <t xml:space="preserve">fortalecimiento_justicia.03</t>
  </si>
  <si>
    <t xml:space="preserve">Menos impunidad.</t>
  </si>
  <si>
    <t xml:space="preserve">transparencia_anticorrupcion.01</t>
  </si>
  <si>
    <t xml:space="preserve">Calidad institucional.</t>
  </si>
  <si>
    <t xml:space="preserve">transparencia_anticorrupcion.02</t>
  </si>
  <si>
    <t xml:space="preserve">Seguridad jurídica.</t>
  </si>
  <si>
    <t xml:space="preserve">transparencia_anticorrupcion.03</t>
  </si>
  <si>
    <t xml:space="preserve">REL:oficialismo</t>
  </si>
  <si>
    <t xml:space="preserve">Relación directa (decisión abierta).</t>
  </si>
  <si>
    <t xml:space="preserve">proteccion_ambiental.01</t>
  </si>
  <si>
    <t xml:space="preserve">Protección.</t>
  </si>
  <si>
    <t xml:space="preserve">proteccion_ambiental.02</t>
  </si>
  <si>
    <t xml:space="preserve">proteccion_ambiental.03</t>
  </si>
  <si>
    <t xml:space="preserve">FLAG:ley_ambiental</t>
  </si>
  <si>
    <t xml:space="preserve">Ley vigente.</t>
  </si>
  <si>
    <t xml:space="preserve">proteccion_ambiental.04</t>
  </si>
  <si>
    <t xml:space="preserve">Restricciones de uso.</t>
  </si>
  <si>
    <t xml:space="preserve">proteccion_ambiental.05</t>
  </si>
  <si>
    <t xml:space="preserve">Restricciones productivas.</t>
  </si>
  <si>
    <t xml:space="preserve">proteccion_ambiental.06</t>
  </si>
  <si>
    <t xml:space="preserve">Cumplimiento de compromisos.</t>
  </si>
  <si>
    <t xml:space="preserve">dnu.01</t>
  </si>
  <si>
    <t xml:space="preserve">Concentración de poder.</t>
  </si>
  <si>
    <t xml:space="preserve">dnu.02</t>
  </si>
  <si>
    <t xml:space="preserve">REL:oposicion</t>
  </si>
  <si>
    <t xml:space="preserve">Relación directa: se saltea el Congreso.</t>
  </si>
  <si>
    <t xml:space="preserve">dnu.03</t>
  </si>
  <si>
    <t xml:space="preserve">COUNT(dnu,6)&gt;=3</t>
  </si>
  <si>
    <t xml:space="preserve">Abuso de decretos.</t>
  </si>
  <si>
    <t xml:space="preserve">dnu.04</t>
  </si>
  <si>
    <t xml:space="preserve">FLAG:riesgo_judicial</t>
  </si>
  <si>
    <t xml:space="preserve">30% de suspensión de la acción decretada (motor).</t>
  </si>
  <si>
    <t xml:space="preserve">agenda_internacional.01</t>
  </si>
  <si>
    <t xml:space="preserve">FLAG:agenda_int</t>
  </si>
  <si>
    <t xml:space="preserve">Vigente 6 turnos.</t>
  </si>
  <si>
    <t xml:space="preserve">agenda_internacional.02</t>
  </si>
  <si>
    <t xml:space="preserve">Señal a inversores.</t>
  </si>
  <si>
    <t xml:space="preserve">agenda_internacional.03</t>
  </si>
  <si>
    <t xml:space="preserve">Cooperación.</t>
  </si>
  <si>
    <t xml:space="preserve">reunion.01</t>
  </si>
  <si>
    <t xml:space="preserve">FLAG:reunido_[actor]</t>
  </si>
  <si>
    <t xml:space="preserve">Habilita negociación 3 turnos.</t>
  </si>
  <si>
    <t xml:space="preserve">reunion.02</t>
  </si>
  <si>
    <t xml:space="preserve">REL:[actor]</t>
  </si>
  <si>
    <t xml:space="preserve">REL([actor])&lt;40 and not DONE(reunion_[actor],4)</t>
  </si>
  <si>
    <t xml:space="preserve">Gesto de apertura, una vez.</t>
  </si>
  <si>
    <t xml:space="preserve">reunion.03</t>
  </si>
  <si>
    <t xml:space="preserve">COUNT(reunion_[actor],6)&gt;=3 and not DONE(negociacion_[actor],6)</t>
  </si>
  <si>
    <t xml:space="preserve">Reuniones vacías.</t>
  </si>
  <si>
    <t xml:space="preserve">acuerdo.01</t>
  </si>
  <si>
    <t xml:space="preserve">Firma.</t>
  </si>
  <si>
    <t xml:space="preserve">acuerdo.02</t>
  </si>
  <si>
    <t xml:space="preserve">FLAG:acuerdo_[actor]</t>
  </si>
  <si>
    <t xml:space="preserve">plazo</t>
  </si>
  <si>
    <t xml:space="preserve">Vigente durante el plazo del compromiso.</t>
  </si>
  <si>
    <t xml:space="preserve">ampliar_coalicion.01</t>
  </si>
  <si>
    <t xml:space="preserve">REL:aliados</t>
  </si>
  <si>
    <t xml:space="preserve">Cargos.</t>
  </si>
  <si>
    <t xml:space="preserve">ampliar_coalicion.02</t>
  </si>
  <si>
    <t xml:space="preserve">Cede espacios propios.</t>
  </si>
  <si>
    <t xml:space="preserve">ampliar_coalicion.03</t>
  </si>
  <si>
    <t xml:space="preserve">REL(aliados)&gt;=50</t>
  </si>
  <si>
    <t xml:space="preserve">Bancas que se suman.</t>
  </si>
  <si>
    <t xml:space="preserve">transferencias_provincias.01</t>
  </si>
  <si>
    <t xml:space="preserve">REL:gobernadores</t>
  </si>
  <si>
    <t xml:space="preserve">Concesión directa.</t>
  </si>
  <si>
    <t xml:space="preserve">transferencias_provincias.02</t>
  </si>
  <si>
    <t xml:space="preserve">Obras provinciales.</t>
  </si>
  <si>
    <t xml:space="preserve">transferencias_provincias.03</t>
  </si>
  <si>
    <t xml:space="preserve">Senadores acompañan.</t>
  </si>
  <si>
    <t xml:space="preserve">transferencias_provincias.04</t>
  </si>
  <si>
    <t xml:space="preserve">Discrecionalidad.</t>
  </si>
  <si>
    <t xml:space="preserve">transferencias_provincias.05</t>
  </si>
  <si>
    <t xml:space="preserve">COUNT(transferencias_provincias,6)&gt;=3</t>
  </si>
  <si>
    <t xml:space="preserve">Se vuelve el piso esperado.</t>
  </si>
  <si>
    <t xml:space="preserve">Árbol de desbloqueos (simple: raíces cortas, sin tech-tree)</t>
  </si>
  <si>
    <t xml:space="preserve">Obligatoria = sin esto no aparece. Bonificación = abarata/potencia. Modificador = cambia eficacia o umbral.</t>
  </si>
  <si>
    <t xml:space="preserve">Tipo de condición</t>
  </si>
  <si>
    <t xml:space="preserve">Umbral</t>
  </si>
  <si>
    <t xml:space="preserve">Obligatoria / bonificación</t>
  </si>
  <si>
    <t xml:space="preserve">Efecto de cumplirla</t>
  </si>
  <si>
    <t xml:space="preserve">Acción anterior</t>
  </si>
  <si>
    <t xml:space="preserve">FLAG(estudio_vigente) (6 turnos)</t>
  </si>
  <si>
    <t xml:space="preserve">Obligatoria</t>
  </si>
  <si>
    <t xml:space="preserve">Habilita + costo −20%</t>
  </si>
  <si>
    <t xml:space="preserve">Las grandes obras requieren proyecto. El estudio vence: no se puede 'stockear'.</t>
  </si>
  <si>
    <t xml:space="preserve">Ídem.</t>
  </si>
  <si>
    <t xml:space="preserve">Habilita</t>
  </si>
  <si>
    <t xml:space="preserve">Impacto ambiental evaluado.</t>
  </si>
  <si>
    <t xml:space="preserve">DONE(infraestructura_energetica)</t>
  </si>
  <si>
    <t xml:space="preserve">Bonificación</t>
  </si>
  <si>
    <t xml:space="preserve">EXTE +1/turno extra durante 6 turnos</t>
  </si>
  <si>
    <t xml:space="preserve">Sin gasoducto no se exporta la producción.</t>
  </si>
  <si>
    <t xml:space="preserve">INVC +2 extra</t>
  </si>
  <si>
    <t xml:space="preserve">Marco de estabilidad para proyectos grandes.</t>
  </si>
  <si>
    <t xml:space="preserve">Modificador</t>
  </si>
  <si>
    <t xml:space="preserve">AMBI mitigado +1/turno; INVC −1</t>
  </si>
  <si>
    <t xml:space="preserve">Ley ambiental ordena pero encarece.</t>
  </si>
  <si>
    <t xml:space="preserve">DONE(mejorar_recaudacion)</t>
  </si>
  <si>
    <t xml:space="preserve">No se reforma sin administración tributaria que la aplique.</t>
  </si>
  <si>
    <t xml:space="preserve">reforma_tributaria / reduccion_impuestos / reforma_laboral / privatizacion / regimen_grandes_inversiones / tratado_comercio / reforma_educativa / economia_conocimiento / fortalecimiento_justicia / proteccion_ambiental</t>
  </si>
  <si>
    <t xml:space="preserve">Apoyo legislativo</t>
  </si>
  <si>
    <t xml:space="preserve">LEG ≥ UMBRAL_LEY (50)</t>
  </si>
  <si>
    <t xml:space="preserve">Obligatoria (o DNU)</t>
  </si>
  <si>
    <t xml:space="preserve">Acciones LEY. DNU permite saltearlo (salvo privatización).</t>
  </si>
  <si>
    <t xml:space="preserve">acciones LEY</t>
  </si>
  <si>
    <t xml:space="preserve">Otro</t>
  </si>
  <si>
    <t xml:space="preserve">1 acción LEY en el mismo turno</t>
  </si>
  <si>
    <t xml:space="preserve">Alternativa</t>
  </si>
  <si>
    <t xml:space="preserve">Ignora LEG a cambio de INST −3 y Oposición −8</t>
  </si>
  <si>
    <t xml:space="preserve">Gobernar desde arriba: posible pero caro.</t>
  </si>
  <si>
    <t xml:space="preserve">oposicion (canal)</t>
  </si>
  <si>
    <t xml:space="preserve">Actor</t>
  </si>
  <si>
    <t xml:space="preserve">REL(oposicion)≥60 → umbral 45; SAT/REL&lt;30 → umbral 55</t>
  </si>
  <si>
    <t xml:space="preserve">Cambia el umbral de LEY</t>
  </si>
  <si>
    <t xml:space="preserve">La relación con la oposición abarata o encarece legislar.</t>
  </si>
  <si>
    <t xml:space="preserve">turno</t>
  </si>
  <si>
    <t xml:space="preserve">Turno</t>
  </si>
  <si>
    <t xml:space="preserve">TURN ≤ 3</t>
  </si>
  <si>
    <t xml:space="preserve">LEG +8 para acciones LEY</t>
  </si>
  <si>
    <t xml:space="preserve">Luna de miel: ventana para reformas grandes.</t>
  </si>
  <si>
    <t xml:space="preserve">Sin fiscales y jueces los operativos no condenan.</t>
  </si>
  <si>
    <t xml:space="preserve">FLAG(cepo)=1</t>
  </si>
  <si>
    <t xml:space="preserve">Sólo se libera lo que está cerrado.</t>
  </si>
  <si>
    <t xml:space="preserve">indicador EXTE</t>
  </si>
  <si>
    <t xml:space="preserve">EXTE ≥ 45</t>
  </si>
  <si>
    <t xml:space="preserve">Hay que reconstruir reservas antes de abrir.</t>
  </si>
  <si>
    <t xml:space="preserve">indicador SOLV</t>
  </si>
  <si>
    <t xml:space="preserve">SOLV ≥ 50</t>
  </si>
  <si>
    <t xml:space="preserve">EXTE +3 (salto menor)</t>
  </si>
  <si>
    <t xml:space="preserve">Con solvencia el mercado acompaña.</t>
  </si>
  <si>
    <t xml:space="preserve">SOLV ≥ 25</t>
  </si>
  <si>
    <t xml:space="preserve">Con riesgo país extremo el mercado local se cierra.</t>
  </si>
  <si>
    <t xml:space="preserve">financiero (canal)</t>
  </si>
  <si>
    <t xml:space="preserve">SAT(financiero) &lt; 35</t>
  </si>
  <si>
    <t xml:space="preserve">Bloqueo</t>
  </si>
  <si>
    <t xml:space="preserve">Deshabilita</t>
  </si>
  <si>
    <t xml:space="preserve">El sector financiero cierra el grifo.</t>
  </si>
  <si>
    <t xml:space="preserve">Los tratados requieren gestión diplomática previa.</t>
  </si>
  <si>
    <t xml:space="preserve">DEUDA −100</t>
  </si>
  <si>
    <t xml:space="preserve">Mejores condiciones.</t>
  </si>
  <si>
    <t xml:space="preserve">INVC +1 extra el primer turno</t>
  </si>
  <si>
    <t xml:space="preserve">reunion(sindicatos, industria, pymes)</t>
  </si>
  <si>
    <t xml:space="preserve">Reunión con los 3 en últimos 4 turnos · REL(sind)≥50, REL(ind)≥50, REL(pymes)≥45</t>
  </si>
  <si>
    <t xml:space="preserve">El pacto social sólo existe si construiste relaciones.</t>
  </si>
  <si>
    <t xml:space="preserve">acuerdo(sindicatos)</t>
  </si>
  <si>
    <t xml:space="preserve">Acuerdo</t>
  </si>
  <si>
    <t xml:space="preserve">CONF −5, relación −10 en vez de −20</t>
  </si>
  <si>
    <t xml:space="preserve">Reforma negociada vs. impuesta.</t>
  </si>
  <si>
    <t xml:space="preserve">reunion(docentes)</t>
  </si>
  <si>
    <t xml:space="preserve">DONE(reunion_docentes,4)</t>
  </si>
  <si>
    <t xml:space="preserve">Evita CONF +4</t>
  </si>
  <si>
    <t xml:space="preserve">Reforma dialogada.</t>
  </si>
  <si>
    <t xml:space="preserve">acuerdo(gobernadores)</t>
  </si>
  <si>
    <t xml:space="preserve">plan_viviendas / construccion_hospitales / infraestructura_vial / seguridad_ciudadana</t>
  </si>
  <si>
    <t xml:space="preserve">+1 en el indicador principal</t>
  </si>
  <si>
    <t xml:space="preserve">gobernadores (canal)</t>
  </si>
  <si>
    <t xml:space="preserve">acciones FEDERAL</t>
  </si>
  <si>
    <t xml:space="preserve">SAT/REL gobernadores &lt;35 → ×0.75 · &gt;65 → ×1.25</t>
  </si>
  <si>
    <t xml:space="preserve">Eficacia de efectos de indicadores</t>
  </si>
  <si>
    <t xml:space="preserve">Las provincias ejecutan.</t>
  </si>
  <si>
    <t xml:space="preserve">ambiente (canal)</t>
  </si>
  <si>
    <t xml:space="preserve">acciones AMBIENTAL</t>
  </si>
  <si>
    <t xml:space="preserve">SAT(ambiente)&lt;35 → +2 turnos y +20% costo</t>
  </si>
  <si>
    <t xml:space="preserve">Demora efectos</t>
  </si>
  <si>
    <t xml:space="preserve">Judicialización.</t>
  </si>
  <si>
    <t xml:space="preserve">derechos_cultura (canal)</t>
  </si>
  <si>
    <t xml:space="preserve">acciones RESTRICTIVA</t>
  </si>
  <si>
    <t xml:space="preserve">SAT(derechos_cultura)&lt;35</t>
  </si>
  <si>
    <t xml:space="preserve">Riesgo</t>
  </si>
  <si>
    <t xml:space="preserve">25% de suspensión</t>
  </si>
  <si>
    <t xml:space="preserve">Litigio estratégico.</t>
  </si>
  <si>
    <t xml:space="preserve">reunion(actor)</t>
  </si>
  <si>
    <t xml:space="preserve">negociacion(actor)</t>
  </si>
  <si>
    <t xml:space="preserve">FLAG(reunido_[actor]) (3 turnos)</t>
  </si>
  <si>
    <t xml:space="preserve">Sin reunión no hay negociación.</t>
  </si>
  <si>
    <t xml:space="preserve">Negociación exitosa</t>
  </si>
  <si>
    <t xml:space="preserve">DONE(inversion_educativa,6)</t>
  </si>
  <si>
    <t xml:space="preserve">EDUC +1 extra</t>
  </si>
  <si>
    <t xml:space="preserve">Reforma con recursos.</t>
  </si>
  <si>
    <t xml:space="preserve">CIEN ≥ 55</t>
  </si>
  <si>
    <t xml:space="preserve">EXTE +1/turno extra 4 turnos</t>
  </si>
  <si>
    <t xml:space="preserve">Base científica.</t>
  </si>
  <si>
    <t xml:space="preserve">evento crisis_energetica</t>
  </si>
  <si>
    <t xml:space="preserve">Evento</t>
  </si>
  <si>
    <t xml:space="preserve">Evento activo</t>
  </si>
  <si>
    <t xml:space="preserve">Sin estudio previo, −30% costo</t>
  </si>
  <si>
    <t xml:space="preserve">Emergencia habilita atajos.</t>
  </si>
  <si>
    <t xml:space="preserve">evento hiperinflación / crisis</t>
  </si>
  <si>
    <t xml:space="preserve">Habilita fuera de dificultad</t>
  </si>
  <si>
    <t xml:space="preserve">Disponible aunque el modo no permita préstamos</t>
  </si>
  <si>
    <t xml:space="preserve">Prestamista de última instancia.</t>
  </si>
  <si>
    <t xml:space="preserve">Presupuesto</t>
  </si>
  <si>
    <t xml:space="preserve">CAJA ≥ 400</t>
  </si>
  <si>
    <t xml:space="preserve">Regla general: CAJA ≥ costo de la acción (minBudget).</t>
  </si>
  <si>
    <t xml:space="preserve">Canales de poder: ¿qué pasa si este actor está muy enojado o muy satisfecho?</t>
  </si>
  <si>
    <t xml:space="preserve">Se evalúan al cierre y se aplican al turno SIGUIENTE (rezago anti-espiral). Ningún canal toca APRO ni IV (regla DC-3), salvo el peso electoral propio.</t>
  </si>
  <si>
    <t xml:space="preserve">Variable / sistema afectado</t>
  </si>
  <si>
    <t xml:space="preserve">Magnitud / concepto</t>
  </si>
  <si>
    <t xml:space="preserve">SAT&lt;40</t>
  </si>
  <si>
    <t xml:space="preserve">−2/turno × (1 − REL/200)</t>
  </si>
  <si>
    <t xml:space="preserve">Material</t>
  </si>
  <si>
    <t xml:space="preserve">Posterga inversiones. La buena relación amortigua (hasta 50%).</t>
  </si>
  <si>
    <t xml:space="preserve">SAT&lt;25</t>
  </si>
  <si>
    <t xml:space="preserve">−2/turno</t>
  </si>
  <si>
    <t xml:space="preserve">Giro de utilidades y dolarización de carteras.</t>
  </si>
  <si>
    <t xml:space="preserve">SAT&gt;65</t>
  </si>
  <si>
    <t xml:space="preserve">+2/turno × (0.5 + REL/200)</t>
  </si>
  <si>
    <t xml:space="preserve">Anuncia inversiones; con buena relación, más.</t>
  </si>
  <si>
    <t xml:space="preserve">+3/turno 3 turnos (compromiso de inversión)</t>
  </si>
  <si>
    <t xml:space="preserve">Contraprestación negociada.</t>
  </si>
  <si>
    <t xml:space="preserve">SAT&lt;35</t>
  </si>
  <si>
    <t xml:space="preserve">−3/turno</t>
  </si>
  <si>
    <t xml:space="preserve">Retiene cosecha / demora liquidación.</t>
  </si>
  <si>
    <t xml:space="preserve">SAT&lt;25 y REL&lt;40</t>
  </si>
  <si>
    <t xml:space="preserve">CONF, ACTV, EXTE</t>
  </si>
  <si>
    <t xml:space="preserve">Evento paro agrario: CONF +8, ACTV −2 (bonus 2t), EXTE −3</t>
  </si>
  <si>
    <t xml:space="preserve">Evento (CD 4 turnos)</t>
  </si>
  <si>
    <t xml:space="preserve">Cortes de ruta y lockout.</t>
  </si>
  <si>
    <t xml:space="preserve">+2/turno</t>
  </si>
  <si>
    <t xml:space="preserve">Liquidación fluida.</t>
  </si>
  <si>
    <t xml:space="preserve">+4 inmediato (liquidación adelantada)</t>
  </si>
  <si>
    <t xml:space="preserve">Contraprestación típica.</t>
  </si>
  <si>
    <t xml:space="preserve">SOLV (bonus) · prestamo_local</t>
  </si>
  <si>
    <t xml:space="preserve">SOLV −5 bonus; prestamo_local bloqueado</t>
  </si>
  <si>
    <t xml:space="preserve">Financiamiento</t>
  </si>
  <si>
    <t xml:space="preserve">Sube el riesgo país.</t>
  </si>
  <si>
    <t xml:space="preserve">EXTE, INFL</t>
  </si>
  <si>
    <t xml:space="preserve">Evento corrida: EXTE −6, INFL +4</t>
  </si>
  <si>
    <t xml:space="preserve">Evento (CD 4)</t>
  </si>
  <si>
    <t xml:space="preserve">Corrida cambiaria.</t>
  </si>
  <si>
    <t xml:space="preserve">SOLV (bonus) · DEUDA</t>
  </si>
  <si>
    <t xml:space="preserve">SOLV +4 bonus; préstamos −10% intereses</t>
  </si>
  <si>
    <t xml:space="preserve">Mercados abiertos.</t>
  </si>
  <si>
    <t xml:space="preserve">+3/turno × (1 − REL/200)</t>
  </si>
  <si>
    <t xml:space="preserve">Conflicto</t>
  </si>
  <si>
    <t xml:space="preserve">Medidas de fuerza sectoriales.</t>
  </si>
  <si>
    <t xml:space="preserve">ACTV, CONF, PA</t>
  </si>
  <si>
    <t xml:space="preserve">Paro general: ACTV −3 (bonus 1t), CONF +10, −1 PA al turno siguiente</t>
  </si>
  <si>
    <t xml:space="preserve">Evento (CD 3)</t>
  </si>
  <si>
    <t xml:space="preserve">El gobierno pierde un turno de gestión atendiendo la crisis.</t>
  </si>
  <si>
    <t xml:space="preserve">SAT&gt;65 y REL≥50</t>
  </si>
  <si>
    <t xml:space="preserve">INFL, CONF</t>
  </si>
  <si>
    <t xml:space="preserve">INFL −1/turno, CONF −2/turno</t>
  </si>
  <si>
    <t xml:space="preserve">Cooperación</t>
  </si>
  <si>
    <t xml:space="preserve">Moderación salarial y paz social.</t>
  </si>
  <si>
    <t xml:space="preserve">Tregua: no hay paro general durante el plazo</t>
  </si>
  <si>
    <t xml:space="preserve">SAT&lt;30</t>
  </si>
  <si>
    <t xml:space="preserve">Cierres y despidos.</t>
  </si>
  <si>
    <t xml:space="preserve">+1/turno</t>
  </si>
  <si>
    <t xml:space="preserve">Contratan.</t>
  </si>
  <si>
    <t xml:space="preserve">CONF, GOB</t>
  </si>
  <si>
    <t xml:space="preserve">Evento cacerolazo: CONF +6, GOB −5</t>
  </si>
  <si>
    <t xml:space="preserve">Protesta espontánea.</t>
  </si>
  <si>
    <t xml:space="preserve">SAT&lt;35 y INFL&gt;60</t>
  </si>
  <si>
    <t xml:space="preserve">Dolarización del ahorro.</t>
  </si>
  <si>
    <t xml:space="preserve">electoralWeight 10</t>
  </si>
  <si>
    <t xml:space="preserve">Electoral</t>
  </si>
  <si>
    <t xml:space="preserve">Su canal principal es el voto.</t>
  </si>
  <si>
    <t xml:space="preserve">SAT&lt;25 y PSOC&lt;35</t>
  </si>
  <si>
    <t xml:space="preserve">CONF, SEGU</t>
  </si>
  <si>
    <t xml:space="preserve">Evento estallido (15%/turno): CONF +15, SEGU −4</t>
  </si>
  <si>
    <t xml:space="preserve">Saqueos / estallido.</t>
  </si>
  <si>
    <t xml:space="preserve">Voto masivo.</t>
  </si>
  <si>
    <t xml:space="preserve">Tomas y marchas.</t>
  </si>
  <si>
    <t xml:space="preserve">Saliencia EDUC en clase_media</t>
  </si>
  <si>
    <t xml:space="preserve">×1.5 durante 3 turnos</t>
  </si>
  <si>
    <t xml:space="preserve">Agenda</t>
  </si>
  <si>
    <t xml:space="preserve">Marcha federal: la educación pasa a importar más a la clase media. No toca votos directo.</t>
  </si>
  <si>
    <t xml:space="preserve">EDUC, CONF</t>
  </si>
  <si>
    <t xml:space="preserve">EDUC −1/turno, CONF +2/turno</t>
  </si>
  <si>
    <t xml:space="preserve">Paros docentes (días de clase perdidos).</t>
  </si>
  <si>
    <t xml:space="preserve">EDUC −3, CONF +4 (reemplaza al anterior)</t>
  </si>
  <si>
    <t xml:space="preserve">Paro por tiempo indeterminado.</t>
  </si>
  <si>
    <t xml:space="preserve">Eficacia acciones EDUC</t>
  </si>
  <si>
    <t xml:space="preserve">×1.25</t>
  </si>
  <si>
    <t xml:space="preserve">Implementación en aulas.</t>
  </si>
  <si>
    <t xml:space="preserve">−1/turno mientras SAT&lt;45</t>
  </si>
  <si>
    <t xml:space="preserve">Fuga de cerebros (histéresis).</t>
  </si>
  <si>
    <t xml:space="preserve">Eficacia acciones CIEN</t>
  </si>
  <si>
    <t xml:space="preserve">+4/turno × (1 − REL/200)</t>
  </si>
  <si>
    <t xml:space="preserve">Piquetes.</t>
  </si>
  <si>
    <t xml:space="preserve">CONF, ACTV</t>
  </si>
  <si>
    <t xml:space="preserve">Plan de lucha: CONF +8, ACTV −1</t>
  </si>
  <si>
    <t xml:space="preserve">SAT&gt;60 y REL&gt;50</t>
  </si>
  <si>
    <t xml:space="preserve">CONF · eficacia acciones PSOC</t>
  </si>
  <si>
    <t xml:space="preserve">CONF −2/turno; PSOC ×1.25</t>
  </si>
  <si>
    <t xml:space="preserve">Contención</t>
  </si>
  <si>
    <t xml:space="preserve">Gestión territorial de programas.</t>
  </si>
  <si>
    <t xml:space="preserve">Acciones RESTRICTIVA</t>
  </si>
  <si>
    <t xml:space="preserve">25% de suspensión judicial</t>
  </si>
  <si>
    <t xml:space="preserve">Legitimidad</t>
  </si>
  <si>
    <t xml:space="preserve">Saliencia INST en clase_media</t>
  </si>
  <si>
    <t xml:space="preserve">Denuncia pública.</t>
  </si>
  <si>
    <t xml:space="preserve">INST de acciones de seguridad</t>
  </si>
  <si>
    <t xml:space="preserve">mitiga −1</t>
  </si>
  <si>
    <t xml:space="preserve">Aval.</t>
  </si>
  <si>
    <t xml:space="preserve">Acciones AMBIENTAL</t>
  </si>
  <si>
    <t xml:space="preserve">+2 turnos de demora, +20% costo</t>
  </si>
  <si>
    <t xml:space="preserve">Viabilidad</t>
  </si>
  <si>
    <t xml:space="preserve">Judicialización de proyectos.</t>
  </si>
  <si>
    <t xml:space="preserve">30% de suspensión</t>
  </si>
  <si>
    <t xml:space="preserve">Bloqueo.</t>
  </si>
  <si>
    <t xml:space="preserve">−1 turno de demora</t>
  </si>
  <si>
    <t xml:space="preserve">Licencia social.</t>
  </si>
  <si>
    <t xml:space="preserve">−1/turno</t>
  </si>
  <si>
    <t xml:space="preserve">Legislativo</t>
  </si>
  <si>
    <t xml:space="preserve">Disidencias.</t>
  </si>
  <si>
    <t xml:space="preserve">−8 permanente</t>
  </si>
  <si>
    <t xml:space="preserve">Ruptura del bloque.</t>
  </si>
  <si>
    <t xml:space="preserve">LEG · ESTRUCTURA</t>
  </si>
  <si>
    <t xml:space="preserve">LEG +2 bonus; ESTRUCTURA +(SAT−50)/10</t>
  </si>
  <si>
    <t xml:space="preserve">Legislativo/Electoral</t>
  </si>
  <si>
    <t xml:space="preserve">Cohesión y militancia.</t>
  </si>
  <si>
    <t xml:space="preserve">SAT&lt;35 o REL&lt;30</t>
  </si>
  <si>
    <t xml:space="preserve">SAT&lt;25 y REL&lt;30</t>
  </si>
  <si>
    <t xml:space="preserve">−10 permanente</t>
  </si>
  <si>
    <t xml:space="preserve">Salida de la coalición.</t>
  </si>
  <si>
    <t xml:space="preserve">SAT&gt;60 y REL&gt;60</t>
  </si>
  <si>
    <t xml:space="preserve">+2 bonus</t>
  </si>
  <si>
    <t xml:space="preserve">SAT&lt;30 o REL&lt;30</t>
  </si>
  <si>
    <t xml:space="preserve">UMBRAL_LEY · GOB</t>
  </si>
  <si>
    <t xml:space="preserve">Umbral 55; interpelación GOB −3</t>
  </si>
  <si>
    <t xml:space="preserve">Institucional</t>
  </si>
  <si>
    <t xml:space="preserve">Obstrucción.</t>
  </si>
  <si>
    <t xml:space="preserve">REL&gt;60</t>
  </si>
  <si>
    <t xml:space="preserve">Umbral 45</t>
  </si>
  <si>
    <t xml:space="preserve">Leyes de consenso.</t>
  </si>
  <si>
    <t xml:space="preserve">2 turnos antes de elección</t>
  </si>
  <si>
    <t xml:space="preserve">SAT</t>
  </si>
  <si>
    <t xml:space="preserve">−15 (modificador de calendario)</t>
  </si>
  <si>
    <t xml:space="preserve">En campaña nadie coopera.</t>
  </si>
  <si>
    <t xml:space="preserve">SAT o REL&lt;35</t>
  </si>
  <si>
    <t xml:space="preserve">LEG · eficacia FEDERAL · ESTRUCTURA</t>
  </si>
  <si>
    <t xml:space="preserve">LEG −3; ×0.75; ESTRUCTURA −</t>
  </si>
  <si>
    <t xml:space="preserve">Territorial</t>
  </si>
  <si>
    <t xml:space="preserve">SAT y REL&gt;65</t>
  </si>
  <si>
    <t xml:space="preserve">LEG +3; ×1.25; ESTRUCTURA +</t>
  </si>
  <si>
    <t xml:space="preserve">TODOS (organizados)</t>
  </si>
  <si>
    <t xml:space="preserve">GOB usa cooperación = 0.5×SAT + 0.5×REL ponderada por influence</t>
  </si>
  <si>
    <t xml:space="preserve">Única vía genérica: no toca votos.</t>
  </si>
  <si>
    <t xml:space="preserve">Reuniones e información: sin reunión → reunión → negociación → acuerdo</t>
  </si>
  <si>
    <t xml:space="preserve">La reunión revela; la relación se gana cumpliendo. Nunca compra satisfacción.</t>
  </si>
  <si>
    <t xml:space="preserve">REGLAS GENERALES</t>
  </si>
  <si>
    <t xml:space="preserve">Qué revela SIEMPRE</t>
  </si>
  <si>
    <t xml:space="preserve">Satisfacción exacta (antes sólo una banda de 5 niveles), los 2 indicadores que más la están bajando y el que más la sube, la demanda activa, la tendencia (↑↓).</t>
  </si>
  <si>
    <t xml:space="preserve">Caducidad</t>
  </si>
  <si>
    <t xml:space="preserve">La información revelada queda 'fresca' 4 turnos; después vuelve a mostrarse como banda.</t>
  </si>
  <si>
    <t xml:space="preserve">+2 sólo si REL&lt;40 y no hubo reunión en 4 turnos. 3 reuniones en 6 turnos sin negociar ni atender la demanda: −3.</t>
  </si>
  <si>
    <t xml:space="preserve">Demanda atendida</t>
  </si>
  <si>
    <t xml:space="preserve">Si ejecutás la acción demandada dentro de 6 turnos de revelada: REL +8. Sin reunión previa: REL +3 (lo notan, pero no te lo reconocen).</t>
  </si>
  <si>
    <t xml:space="preserve">Lo que NO hace</t>
  </si>
  <si>
    <t xml:space="preserve">No mueve indicadores. No sube satisfacción. No reemplaza políticas. No evita paros por sí sola.</t>
  </si>
  <si>
    <t xml:space="preserve">Costo</t>
  </si>
  <si>
    <t xml:space="preserve">1 reunión gratis por turno; las siguientes cuestan 1 PA. Con interactionDifficulty ≥7 o REL&lt;25 cuesta 1 PA siempre.</t>
  </si>
  <si>
    <t xml:space="preserve">Qué revela</t>
  </si>
  <si>
    <t xml:space="preserve">Indicadores que discute</t>
  </si>
  <si>
    <t xml:space="preserve">Demandas típicas (→ acción)</t>
  </si>
  <si>
    <t xml:space="preserve">Qué puede desbloquear</t>
  </si>
  <si>
    <t xml:space="preserve">Qué NO debería hacer</t>
  </si>
  <si>
    <t xml:space="preserve">Texto de ejemplo</t>
  </si>
  <si>
    <t xml:space="preserve">SAT exacta; top-2 indicadores negativos; si piensa invertir (tendencia INVC)</t>
  </si>
  <si>
    <t xml:space="preserve">INVC, PRES, CONF, EXTE</t>
  </si>
  <si>
    <t xml:space="preserve">promocion_industrial · reduccion_impuestos · credito_pyme · liberar_cambios</t>
  </si>
  <si>
    <t xml:space="preserve">negociacion → acuerdo: compromiso de inversión</t>
  </si>
  <si>
    <t xml:space="preserve">Subir INVC o SAT. Máx. +2 REL (sólo si REL&lt;40).</t>
  </si>
  <si>
    <t xml:space="preserve">“Con estas tasas y esta presión fiscal ninguna empresa amplía planta.”</t>
  </si>
  <si>
    <t xml:space="preserve">SAT; peso de PRES vs EXTE; intención de liquidar</t>
  </si>
  <si>
    <t xml:space="preserve">PRES, EXTE, INFR</t>
  </si>
  <si>
    <t xml:space="preserve">bajar_retenciones · infraestructura_vial · obras_hidricas</t>
  </si>
  <si>
    <t xml:space="preserve">acuerdo: liquidación adelantada (EXTE +4)</t>
  </si>
  <si>
    <t xml:space="preserve">Evitar un paro por sí sola.</t>
  </si>
  <si>
    <t xml:space="preserve">“Las retenciones y los caminos rurales nos están sacando del mercado.”</t>
  </si>
  <si>
    <t xml:space="preserve">SAT; nivel de DESANCLAJE (oculto) de forma cualitativa; riesgo de corrida</t>
  </si>
  <si>
    <t xml:space="preserve">SOLV, INFL, EXTE</t>
  </si>
  <si>
    <t xml:space="preserve">reduccion_gasto · politica_monetaria_contractiva · prestamo_internacional</t>
  </si>
  <si>
    <t xml:space="preserve">acuerdo: refinanciación (servicio de deuda −10% 4 turnos)</t>
  </si>
  <si>
    <t xml:space="preserve">Mejorar SOLV.</t>
  </si>
  <si>
    <t xml:space="preserve">“El mercado no ve un ancla fiscal; las expectativas se están despegando.”</t>
  </si>
  <si>
    <t xml:space="preserve">SAT; si PODA o ACTV es el problema; probabilidad de paro</t>
  </si>
  <si>
    <t xml:space="preserve">PODA, ACTV, PSOC</t>
  </si>
  <si>
    <t xml:space="preserve">aumento_salarial · suba_salario_minimo · (veto a reforma_laboral)</t>
  </si>
  <si>
    <t xml:space="preserve">acuerdo: tregua · habilita pacto_social</t>
  </si>
  <si>
    <t xml:space="preserve">Evitar paro si SAT&lt;25. Reemplazar política salarial.</t>
  </si>
  <si>
    <t xml:space="preserve">“El salario real viene perdiendo hace tres trimestres.”</t>
  </si>
  <si>
    <t xml:space="preserve">SAT; crédito vs demanda</t>
  </si>
  <si>
    <t xml:space="preserve">ACTV, INVC, PRES</t>
  </si>
  <si>
    <t xml:space="preserve">credito_pyme · reduccion_impuestos</t>
  </si>
  <si>
    <t xml:space="preserve">pacto_social (una de las 3 partes)</t>
  </si>
  <si>
    <t xml:space="preserve">“No es falta de ventas: es que no hay crédito a tasa razonable.”</t>
  </si>
  <si>
    <t xml:space="preserve">— (no se reúne: usar encuesta)</t>
  </si>
  <si>
    <t xml:space="preserve">Encuesta: “La inseguridad y la inflación explican el 70% del malestar.”</t>
  </si>
  <si>
    <t xml:space="preserve">Encuesta: “El deterioro de la asistencia y el precio de los alimentos.”</t>
  </si>
  <si>
    <t xml:space="preserve">SAT; riesgo de marcha federal</t>
  </si>
  <si>
    <t xml:space="preserve">EDUC, CIEN, INST</t>
  </si>
  <si>
    <t xml:space="preserve">inversion_educativa · financiamiento_ciencia · empleo_joven</t>
  </si>
  <si>
    <t xml:space="preserve">acuerdo: ley de financiamiento universitario (compromiso)</t>
  </si>
  <si>
    <t xml:space="preserve">“Si no se actualiza el presupuesto universitario, marchamos.”</t>
  </si>
  <si>
    <t xml:space="preserve">SAT; si el reclamo es salarial (PODA) o de condiciones (EDUC)</t>
  </si>
  <si>
    <t xml:space="preserve">EDUC, PODA</t>
  </si>
  <si>
    <t xml:space="preserve">aumento_salarial (paritaria docente) · inversion_educativa</t>
  </si>
  <si>
    <t xml:space="preserve">acuerdo: paritaria (sin paro) · bonifica reforma_educativa</t>
  </si>
  <si>
    <t xml:space="preserve">“El conflicto no es el edificio escolar: es el salario.”</t>
  </si>
  <si>
    <t xml:space="preserve">SAT; riesgo de fuga</t>
  </si>
  <si>
    <t xml:space="preserve">CIEN, EDUC</t>
  </si>
  <si>
    <t xml:space="preserve">financiamiento_ciencia · economia_conocimiento</t>
  </si>
  <si>
    <t xml:space="preserve">acuerdo: plan plurianual (bonus eficacia)</t>
  </si>
  <si>
    <t xml:space="preserve">“Sin continuidad presupuestaria perdemos a los becarios.”</t>
  </si>
  <si>
    <t xml:space="preserve">SAT; si hay plan de lucha en preparación</t>
  </si>
  <si>
    <t xml:space="preserve">PSOC, ACTV, PODA</t>
  </si>
  <si>
    <t xml:space="preserve">cobertura_social · asistencia_alimentaria · plan_viviendas (cooperativas)</t>
  </si>
  <si>
    <t xml:space="preserve">acuerdo: gestión de programas (contención)</t>
  </si>
  <si>
    <t xml:space="preserve">Comprar contención con plata sola.</t>
  </si>
  <si>
    <t xml:space="preserve">“La asistencia no llega a los comedores; el invierno va a ser duro.”</t>
  </si>
  <si>
    <t xml:space="preserve">SAT; qué medidas piensan judicializar</t>
  </si>
  <si>
    <t xml:space="preserve">INST, EDUC</t>
  </si>
  <si>
    <t xml:space="preserve">fomento_cultural · genero_y_cuidados · transparencia_anticorrupcion</t>
  </si>
  <si>
    <t xml:space="preserve">acuerdo: protocolo con garantías (mitiga INST de mano_dura)</t>
  </si>
  <si>
    <t xml:space="preserve">“El protocolo antipiquetes va a terminar en los tribunales.”</t>
  </si>
  <si>
    <t xml:space="preserve">SAT; qué proyectos van a judicializar</t>
  </si>
  <si>
    <t xml:space="preserve">AMBI, INST</t>
  </si>
  <si>
    <t xml:space="preserve">proteccion_ambiental · energia_renovable</t>
  </si>
  <si>
    <t xml:space="preserve">acuerdo: evaluación ambiental participativa (sin demora en 1 proyecto)</t>
  </si>
  <si>
    <t xml:space="preserve">“Sin estudio de impacto, el proyecto minero no pasa la justicia.”</t>
  </si>
  <si>
    <t xml:space="preserve">SAT; nivel de cohesión; riesgo de ruptura</t>
  </si>
  <si>
    <t xml:space="preserve">APRO, plataforma</t>
  </si>
  <si>
    <t xml:space="preserve">acciones de la plataforma elegida</t>
  </si>
  <si>
    <t xml:space="preserve">acuerdo: agenda legislativa común</t>
  </si>
  <si>
    <t xml:space="preserve">“La tropa propia no entiende este giro.”</t>
  </si>
  <si>
    <t xml:space="preserve">SAT; qué piden (cargos/agenda)</t>
  </si>
  <si>
    <t xml:space="preserve">APRO, INST, SOLV</t>
  </si>
  <si>
    <t xml:space="preserve">ampliar_coalicion · transparencia_anticorrupcion</t>
  </si>
  <si>
    <t xml:space="preserve">“Acompañamos, pero queremos el ministerio de Justicia.”</t>
  </si>
  <si>
    <t xml:space="preserve">SAT (disposición a cooperar); qué ley podrían acompañar</t>
  </si>
  <si>
    <t xml:space="preserve">retirar DNU · fortalecimiento_justicia</t>
  </si>
  <si>
    <t xml:space="preserve">acuerdo: ley de consenso (umbral 45 para 1 ley)</t>
  </si>
  <si>
    <t xml:space="preserve">Cambiar el umbral por sí sola.</t>
  </si>
  <si>
    <t xml:space="preserve">“Si gobiernan por decreto, no cuenten con nosotros.”</t>
  </si>
  <si>
    <t xml:space="preserve">SAT; qué provincias están más tensas</t>
  </si>
  <si>
    <t xml:space="preserve">INFR, ACTV</t>
  </si>
  <si>
    <t xml:space="preserve">transferencias_provincias · infraestructura_vial · plan_viviendas</t>
  </si>
  <si>
    <t xml:space="preserve">acuerdo: votos en el Senado + ejecución federal</t>
  </si>
  <si>
    <t xml:space="preserve">“Sin obras en las provincias no hay votos en el Senado.”</t>
  </si>
  <si>
    <t xml:space="preserve">Auditoría de las 61 acciones actuales</t>
  </si>
  <si>
    <t xml:space="preserve">Decisión por acción + diagnóstico + mecánicas viejas.</t>
  </si>
  <si>
    <t xml:space="preserve">idActual</t>
  </si>
  <si>
    <t xml:space="preserve">Nombre actual</t>
  </si>
  <si>
    <t xml:space="preserve">Categoría actual</t>
  </si>
  <si>
    <t xml:space="preserve">Decisión</t>
  </si>
  <si>
    <t xml:space="preserve">Nuevo id</t>
  </si>
  <si>
    <t xml:space="preserve">Justificación</t>
  </si>
  <si>
    <t xml:space="preserve">Emitir Dinero</t>
  </si>
  <si>
    <t xml:space="preserve">economia</t>
  </si>
  <si>
    <t xml:space="preserve">Se conserva. Pierde pop/leg/voto directos. Inflación por ventana de 6 turnos (≥3/≥4/≥5) en lugar de contador por mandato.</t>
  </si>
  <si>
    <t xml:space="preserve">Mejorar Recaudación</t>
  </si>
  <si>
    <t xml:space="preserve">Ingreso permanente con rezago (INGRESO_MULT) en vez de +250 y futureEffects planos.</t>
  </si>
  <si>
    <t xml:space="preserve">Subsidios Industriales</t>
  </si>
  <si>
    <t xml:space="preserve">MODIFICAR + RENOMBRAR</t>
  </si>
  <si>
    <t xml:space="preserve">Se eliminan explicitGroupEffects (+8/+8/−9/−6): era el ejemplo canónico de causalidad artificial.</t>
  </si>
  <si>
    <t xml:space="preserve">Reforma Impositiva</t>
  </si>
  <si>
    <t xml:space="preserve">reforma_tributaria + reduccion_impuestos</t>
  </si>
  <si>
    <t xml:space="preserve">Sólo existía la dirección recaudatoria. Prereq LEG≥45 se sube a 50 con luna de miel y DNU como alternativas.</t>
  </si>
  <si>
    <t xml:space="preserve">Incentivos a la Exportación</t>
  </si>
  <si>
    <t xml:space="preserve">Mueve EXTE con rezago.</t>
  </si>
  <si>
    <t xml:space="preserve">Control de Precios</t>
  </si>
  <si>
    <t xml:space="preserve">CD 1 + pop 15 = spam óptimo. Ahora BONUS temporal + rebote + desabastecimiento por repetición.</t>
  </si>
  <si>
    <t xml:space="preserve">Fomento al Emprendimiento</t>
  </si>
  <si>
    <t xml:space="preserve">Mismo rol (crédito a pequeños). Se convierte en la herramienta de crédito que faltaba.</t>
  </si>
  <si>
    <t xml:space="preserve">Aumento Salarial General</t>
  </si>
  <si>
    <t xml:space="preserve">Se agrega GASTO_CORR permanente: el costo real de subir salarios.</t>
  </si>
  <si>
    <t xml:space="preserve">Reducción del Gasto Público</t>
  </si>
  <si>
    <t xml:space="preserve">Baja GASTO_CORR permanente; el castigo sale de PSOC/ACTV, no de −20 pop.</t>
  </si>
  <si>
    <t xml:space="preserve">Préstamo Internacional</t>
  </si>
  <si>
    <t xml:space="preserve">Prereq mejorar_recaudacion sin lógica → condicionalidad fiscal a t+4.</t>
  </si>
  <si>
    <t xml:space="preserve">Préstamo Local</t>
  </si>
  <si>
    <t xml:space="preserve">Crowding-out sobre INVC. CD 8→4. Requiere SOLV≥25.</t>
  </si>
  <si>
    <t xml:space="preserve">Atracción de Inversiones</t>
  </si>
  <si>
    <t xml:space="preserve">REEMPLAZAR</t>
  </si>
  <si>
    <t xml:space="preserve">Genérica. Se reemplaza por un régimen legal con costo fiscal y efecto persistente.</t>
  </si>
  <si>
    <t xml:space="preserve">Plan de Viviendas</t>
  </si>
  <si>
    <t xml:space="preserve">social</t>
  </si>
  <si>
    <t xml:space="preserve">Absorbe viviendas_rurales; ejecución federal.</t>
  </si>
  <si>
    <t xml:space="preserve">programa_educativo</t>
  </si>
  <si>
    <t xml:space="preserve">Programa Educativo</t>
  </si>
  <si>
    <t xml:space="preserve">Redundante con alfabetización, bibliotecas y promover_educacion.</t>
  </si>
  <si>
    <t xml:space="preserve">Programa de Salud Preventiva</t>
  </si>
  <si>
    <t xml:space="preserve">Se conserva como opción barata y rápida frente a hospitales.</t>
  </si>
  <si>
    <t xml:space="preserve">Programa de Empleo Joven</t>
  </si>
  <si>
    <t xml:space="preserve">Efecto pequeño multi-indicador; única acción de empleo directo.</t>
  </si>
  <si>
    <t xml:space="preserve">Ampliación de Cobertura Social</t>
  </si>
  <si>
    <t xml:space="preserve">Gasto permanente + rendimientos decrecientes.</t>
  </si>
  <si>
    <t xml:space="preserve">alfabetizacion</t>
  </si>
  <si>
    <t xml:space="preserve">Campaña de Alfabetización</t>
  </si>
  <si>
    <t xml:space="preserve">Mueve el mismo indicador que programa_educativo.</t>
  </si>
  <si>
    <t xml:space="preserve">inclusion_digital</t>
  </si>
  <si>
    <t xml:space="preserve">Plan de Inclusión Digital</t>
  </si>
  <si>
    <t xml:space="preserve">Tres acciones de conectividad para un mismo efecto.</t>
  </si>
  <si>
    <t xml:space="preserve">Programa Alimentario</t>
  </si>
  <si>
    <t xml:space="preserve">Diferenciada por timing: bonus corto, sin gasto permanente.</t>
  </si>
  <si>
    <t xml:space="preserve">Asistencia a la Tercera Edad</t>
  </si>
  <si>
    <t xml:space="preserve">Explícitos grupales eliminados.</t>
  </si>
  <si>
    <t xml:space="preserve">Plan de Igualdad de Género</t>
  </si>
  <si>
    <t xml:space="preserve">Absorbe el hueco de 'cuidados'.</t>
  </si>
  <si>
    <t xml:space="preserve">transporte_publico</t>
  </si>
  <si>
    <t xml:space="preserve">Transporte Público</t>
  </si>
  <si>
    <t xml:space="preserve">infraestructura</t>
  </si>
  <si>
    <t xml:space="preserve">En el MVP no se distingue de obra vial a nivel de indicador.</t>
  </si>
  <si>
    <t xml:space="preserve">Energía Renovable</t>
  </si>
  <si>
    <t xml:space="preserve">Se conserva por el trade-off con desarrollo extractivo.</t>
  </si>
  <si>
    <t xml:space="preserve">Construcción de Hospitales</t>
  </si>
  <si>
    <t xml:space="preserve">Pasa a categoría Social; efecto tardío + gasto de funcionamiento.</t>
  </si>
  <si>
    <t xml:space="preserve">viviendas_rurales</t>
  </si>
  <si>
    <t xml:space="preserve">Desarrollo de Viviendas Rurales</t>
  </si>
  <si>
    <t xml:space="preserve">Mismo indicador (PSOC).</t>
  </si>
  <si>
    <t xml:space="preserve">modernizacion_aeropuertos</t>
  </si>
  <si>
    <t xml:space="preserve">Modernización de Aeropuertos</t>
  </si>
  <si>
    <t xml:space="preserve">ELIMINAR</t>
  </si>
  <si>
    <t xml:space="preserve">Nicho; 2 prereqs para un efecto genérico. Sin función sistémica propia.</t>
  </si>
  <si>
    <t xml:space="preserve">red_comunicaciones</t>
  </si>
  <si>
    <t xml:space="preserve">Red de Comunicaciones</t>
  </si>
  <si>
    <t xml:space="preserve">Redundante.</t>
  </si>
  <si>
    <t xml:space="preserve">reforestacion</t>
  </si>
  <si>
    <t xml:space="preserve">Programa de Reforestación</t>
  </si>
  <si>
    <t xml:space="preserve">Mismo actor e indicador.</t>
  </si>
  <si>
    <t xml:space="preserve">Mejorar Infraestructura Vial</t>
  </si>
  <si>
    <t xml:space="preserve">Caso modelo de efectos inmediatos, diferidos y persistentes.</t>
  </si>
  <si>
    <t xml:space="preserve">tratamiento_agua</t>
  </si>
  <si>
    <t xml:space="preserve">Plantas de Tratamiento de Agua</t>
  </si>
  <si>
    <t xml:space="preserve">Se une a plan_hidrico.</t>
  </si>
  <si>
    <t xml:space="preserve">Red de Gas Natural</t>
  </si>
  <si>
    <t xml:space="preserve">Se conecta con EXTE y con el desarrollo energético.</t>
  </si>
  <si>
    <t xml:space="preserve">Raíz del árbol. Se formaliza como FLAG que vence en 6 turnos.</t>
  </si>
  <si>
    <t xml:space="preserve">plan_hidrico</t>
  </si>
  <si>
    <t xml:space="preserve">Plan Hídrico</t>
  </si>
  <si>
    <t xml:space="preserve">Riego + saneamiento en una acción.</t>
  </si>
  <si>
    <t xml:space="preserve">Mantenimiento Urbano</t>
  </si>
  <si>
    <t xml:space="preserve">'Urbano/municipal' es de intendente. A escala nacional: frena depreciación.</t>
  </si>
  <si>
    <t xml:space="preserve">Plan de Conectividad</t>
  </si>
  <si>
    <t xml:space="preserve">CONSERVAR (absorbe)</t>
  </si>
  <si>
    <t xml:space="preserve">Absorbe inclusion_digital y red_comunicaciones.</t>
  </si>
  <si>
    <t xml:space="preserve">Acuerdo Sindical</t>
  </si>
  <si>
    <t xml:space="preserve">diplomacia</t>
  </si>
  <si>
    <t xml:space="preserve">reunion → negociacion → acuerdo(sindicatos) + pacto_social</t>
  </si>
  <si>
    <t xml:space="preserve">Un acuerdo no puede ser un botón pagable: pasa al sistema de relación.</t>
  </si>
  <si>
    <t xml:space="preserve">Alianza Política</t>
  </si>
  <si>
    <t xml:space="preserve">CD 1 y +10 pop = spam. Ahora cuesta cohesión propia y da LEG.</t>
  </si>
  <si>
    <t xml:space="preserve">Tratado de Libre Comercio</t>
  </si>
  <si>
    <t xml:space="preserve">Prereq 'empresarios≥60' → agenda_internacional + LEY.</t>
  </si>
  <si>
    <t xml:space="preserve">cooperacion_internacional</t>
  </si>
  <si>
    <t xml:space="preserve">Cooperación Internacional</t>
  </si>
  <si>
    <t xml:space="preserve">Sin sistema internacional en el MVP.</t>
  </si>
  <si>
    <t xml:space="preserve">acuerdo_ambiental</t>
  </si>
  <si>
    <t xml:space="preserve">Acuerdo Ambiental</t>
  </si>
  <si>
    <t xml:space="preserve">participacion_cumbres</t>
  </si>
  <si>
    <t xml:space="preserve">Participación en Cumbres</t>
  </si>
  <si>
    <t xml:space="preserve">mediacion_conflictos</t>
  </si>
  <si>
    <t xml:space="preserve">Mediación en Conflictos</t>
  </si>
  <si>
    <t xml:space="preserve">ELIMINAR (fusionada)</t>
  </si>
  <si>
    <t xml:space="preserve">No hay conflictos regionales modelados.</t>
  </si>
  <si>
    <t xml:space="preserve">Seguridad Ciudadana</t>
  </si>
  <si>
    <t xml:space="preserve">seguridad</t>
  </si>
  <si>
    <t xml:space="preserve">Absorbe sistema_vigilancia.</t>
  </si>
  <si>
    <t xml:space="preserve">Lucha contra el Narcotráfico</t>
  </si>
  <si>
    <t xml:space="preserve">Empeora antes de mejorar; prereq justicia conservado.</t>
  </si>
  <si>
    <t xml:space="preserve">programa_desarme</t>
  </si>
  <si>
    <t xml:space="preserve">Programa de Desarme</t>
  </si>
  <si>
    <t xml:space="preserve">Fortalecimiento de la Justicia</t>
  </si>
  <si>
    <t xml:space="preserve">Pasa a LEY.</t>
  </si>
  <si>
    <t xml:space="preserve">sistema_vigilancia</t>
  </si>
  <si>
    <t xml:space="preserve">Sistema de Vigilancia</t>
  </si>
  <si>
    <t xml:space="preserve">policia_proximidad</t>
  </si>
  <si>
    <t xml:space="preserve">Policía de Proximidad</t>
  </si>
  <si>
    <t xml:space="preserve">prevencion_delito</t>
  </si>
  <si>
    <t xml:space="preserve">Prevención del Delito</t>
  </si>
  <si>
    <t xml:space="preserve">programa_cultural</t>
  </si>
  <si>
    <t xml:space="preserve">Programa Cultural</t>
  </si>
  <si>
    <t xml:space="preserve">cultura</t>
  </si>
  <si>
    <t xml:space="preserve">8 acciones culturales vs 1 de ciencia: sobrerrepresentación.</t>
  </si>
  <si>
    <t xml:space="preserve">festival_arte</t>
  </si>
  <si>
    <t xml:space="preserve">Festival Nacional de Arte</t>
  </si>
  <si>
    <t xml:space="preserve">patrimonio_historico</t>
  </si>
  <si>
    <t xml:space="preserve">Protección del Patrimonio</t>
  </si>
  <si>
    <t xml:space="preserve">red_bibliotecas</t>
  </si>
  <si>
    <t xml:space="preserve">Red de Bibliotecas</t>
  </si>
  <si>
    <t xml:space="preserve">centros_culturales</t>
  </si>
  <si>
    <t xml:space="preserve">Centros Culturales</t>
  </si>
  <si>
    <t xml:space="preserve">escuelas_arte</t>
  </si>
  <si>
    <t xml:space="preserve">Escuelas de Arte</t>
  </si>
  <si>
    <t xml:space="preserve">Sin función sistémica distinta.</t>
  </si>
  <si>
    <t xml:space="preserve">museos_interactivos</t>
  </si>
  <si>
    <t xml:space="preserve">Museos Interactivos</t>
  </si>
  <si>
    <t xml:space="preserve">festivales_regionales</t>
  </si>
  <si>
    <t xml:space="preserve">Festivales Regionales</t>
  </si>
  <si>
    <t xml:space="preserve">Promover Educación</t>
  </si>
  <si>
    <t xml:space="preserve">educacion</t>
  </si>
  <si>
    <t xml:space="preserve">Se diferencia de inversión: LEY, lenta, con riesgo de conflicto docente.</t>
  </si>
  <si>
    <t xml:space="preserve">fomentar_turismo</t>
  </si>
  <si>
    <t xml:space="preserve">Fomentar Turismo</t>
  </si>
  <si>
    <t xml:space="preserve">turismo</t>
  </si>
  <si>
    <t xml:space="preserve">Desarrollar Tecnología</t>
  </si>
  <si>
    <t xml:space="preserve">tecnologia</t>
  </si>
  <si>
    <t xml:space="preserve">financiamiento_ciencia + economia_conocimiento</t>
  </si>
  <si>
    <t xml:space="preserve">Una sola acción para todo el desarrollo: se separa oferta (ciencia) y demanda (economía del conocimiento).</t>
  </si>
  <si>
    <t xml:space="preserve">CONTEO</t>
  </si>
  <si>
    <t xml:space="preserve">Total</t>
  </si>
  <si>
    <t xml:space="preserve">CATEGORÍAS: ANTES vs DESPUÉS</t>
  </si>
  <si>
    <t xml:space="preserve"># actual</t>
  </si>
  <si>
    <t xml:space="preserve">Categoría nueva</t>
  </si>
  <si>
    <t xml:space="preserve"># nueva</t>
  </si>
  <si>
    <t xml:space="preserve">DIAGNÓSTICO</t>
  </si>
  <si>
    <t xml:space="preserve">Hallazgo</t>
  </si>
  <si>
    <t xml:space="preserve">Detalle</t>
  </si>
  <si>
    <t xml:space="preserve">Todo es 'bueno'</t>
  </si>
  <si>
    <t xml:space="preserve">52 de 61 acciones gastan caja y dan +8 a +20 de popularidad. No hay trade-offs: la estrategia óptima es la de más pop/costo.</t>
  </si>
  <si>
    <t xml:space="preserve">Sesgo de menú</t>
  </si>
  <si>
    <t xml:space="preserve">Casi no hay opciones ortodoxas/de mercado: sin baja de impuestos, sin tasas, sin reforma laboral, sin privatizaciones, sin quita de subsidios. El juego sólo sabe 'gastar'.</t>
  </si>
  <si>
    <t xml:space="preserve">Huecos macro críticos</t>
  </si>
  <si>
    <t xml:space="preserve">No existen: tipo de cambio/devaluación, cepo, tasas, retenciones, tarifas. Son las palancas centrales de un gobierno argentino.</t>
  </si>
  <si>
    <t xml:space="preserve">Sobrerrepresentación</t>
  </si>
  <si>
    <t xml:space="preserve">Cultura 8 acciones; Infraestructura 14; Diplomacia 7 sin sistema propio. Ciencia 1; Educación 1-3.</t>
  </si>
  <si>
    <t xml:space="preserve">Efectos grupales muertos</t>
  </si>
  <si>
    <t xml:space="preserve">affectedGroups es sólo tooltip; sólo 8 acciones mueven grupos (explicitGroupEffects) y lo hacen con +X/−Y artificial.</t>
  </si>
  <si>
    <t xml:space="preserve">Voto inerte</t>
  </si>
  <si>
    <t xml:space="preserve">votingIntentionChange se recalcula y no deja efecto neto.</t>
  </si>
  <si>
    <t xml:space="preserve">Demandas muertas</t>
  </si>
  <si>
    <t xml:space="preserve">~44 'satisfiesDemand' marcadas como muertas: el nuevo sistema de reuniones las revive como demandas reveladas.</t>
  </si>
  <si>
    <t xml:space="preserve">Mecánicas globales opacas</t>
  </si>
  <si>
    <t xml:space="preserve">Mantenimiento aleatorio para |budget|≥200, +10% ingresos por categoría infraestructura, ejes ideológicos por categoría: se reemplazan por efectos explícitos por acción (GASTO_CORR, INFR→ACTV) y la plataforma del oficialismo.</t>
  </si>
  <si>
    <t xml:space="preserve">Lógica de intendente/gobernador</t>
  </si>
  <si>
    <t xml:space="preserve">Campo 'cargo' y acciones municipales (mantenimiento_urbano): irrelevantes para el MVP presidencial.</t>
  </si>
  <si>
    <t xml:space="preserve">Resultado</t>
  </si>
  <si>
    <t xml:space="preserve">61 → 57 acciones de política + 6 de sistema. De las 61: 26 modificadas, 24 fusionadas, 4 eliminadas, 3 reemplazadas, 2 divididas, 2 conservadas. 18 políticas nuevas. Cada acción tiene una firma de indicadores distinta.</t>
  </si>
  <si>
    <t xml:space="preserve">MECÁNICAS ACUMULATIVAS ACTUALES → NUEVO MOTOR</t>
  </si>
  <si>
    <t xml:space="preserve">Mecánica actual</t>
  </si>
  <si>
    <t xml:space="preserve">Reemplazo</t>
  </si>
  <si>
    <t xml:space="preserve">1 Rendimientos decrecientes globales (0.80^uso)</t>
  </si>
  <si>
    <t xml:space="preserve">Reglas de repetición por acción (COUNT en ventana). Algunas acciones tienen retornos CRECIENTES (ciencia).</t>
  </si>
  <si>
    <t xml:space="preserve">2 Cooldowns</t>
  </si>
  <si>
    <t xml:space="preserve">Se mantienen por acción; en emisión el freno pasa a ser la ventana, no el cooldown.</t>
  </si>
  <si>
    <t xml:space="preserve">3 moneyPrintingCount por mandato</t>
  </si>
  <si>
    <t xml:space="preserve">Ventana móvil de 6 turnos + DESANCLAJE oculto; la derrota por hiper pasa a depender de INFL≥90 dos turnos.</t>
  </si>
  <si>
    <t xml:space="preserve">4 debtCount y debtServiceRatio</t>
  </si>
  <si>
    <t xml:space="preserve">DEUDA como stock en $; servicio = TASA × DEUDA; SOLV derivado.</t>
  </si>
  <si>
    <t xml:space="preserve">5 Mantenimiento automático aleatorio</t>
  </si>
  <si>
    <t xml:space="preserve">GASTO_CORR explícito por acción y turno.</t>
  </si>
  <si>
    <t xml:space="preserve">6 Infraestructura → +10% ingresos</t>
  </si>
  <si>
    <t xml:space="preserve">INFR → ACTV (R05) → recaudación.</t>
  </si>
  <si>
    <t xml:space="preserve">7 Diplomacia → evento marcador</t>
  </si>
  <si>
    <t xml:space="preserve">agenda_internacional es un habilitante explícito.</t>
  </si>
  <si>
    <t xml:space="preserve">8 Estudio de factibilidad → descuento</t>
  </si>
  <si>
    <t xml:space="preserve">Como FLAG + COSTO_MULT.</t>
  </si>
  <si>
    <t xml:space="preserve">9 Desbloqueos por completedActions</t>
  </si>
  <si>
    <t xml:space="preserve">CONSERVAR + AMPLIAR</t>
  </si>
  <si>
    <t xml:space="preserve">DONE(acción, ventana) y FLAGs con vencimiento.</t>
  </si>
  <si>
    <t xml:space="preserve">10 Antagonismo cruzado</t>
  </si>
  <si>
    <t xml:space="preserve">El conflicto emerge de sensibilidades distintas. Sólo quedan efectos directos documentados (reforma_laboral, dnu, ampliar_coalicion, transferencias).</t>
  </si>
  <si>
    <t xml:space="preserve">11 Ejes ideológicos por categoría</t>
  </si>
  <si>
    <t xml:space="preserve">Reemplazo: plataforma del oficialismo (3 indicadores elegidos al inicio). Cambiar de rumbo cuesta cohesión propia sin etiquetar izquierda/derecha.</t>
  </si>
  <si>
    <t xml:space="preserve">12 Legitimidad acumulada</t>
  </si>
  <si>
    <t xml:space="preserve">INST (estado del país) + GOB (capacidad política).</t>
  </si>
  <si>
    <t xml:space="preserve">Acciones nuevas propuestas (sólo con función sistémica)</t>
  </si>
  <si>
    <t xml:space="preserve">Y lo que se descartó deliberadamente.</t>
  </si>
  <si>
    <t xml:space="preserve">Función sistémica</t>
  </si>
  <si>
    <t xml:space="preserve">Trade-off que crea</t>
  </si>
  <si>
    <t xml:space="preserve">Prioridad MVP</t>
  </si>
  <si>
    <t xml:space="preserve">Única herramienta antiinflacionaria sin gasto. Ejemplo canónico Financiero vs PyMEs.</t>
  </si>
  <si>
    <t xml:space="preserve">INFL↓ vs INVC/ACTV↓</t>
  </si>
  <si>
    <t xml:space="preserve">Imprescindible</t>
  </si>
  <si>
    <t xml:space="preserve">Solución de EXTE que se paga con INFL y PODA.</t>
  </si>
  <si>
    <t xml:space="preserve">EXTE vs PODA</t>
  </si>
  <si>
    <t xml:space="preserve">Freno de emergencia de EXTE con costo acumulativo en INVC.</t>
  </si>
  <si>
    <t xml:space="preserve">EXTE hoy vs INVC mañana</t>
  </si>
  <si>
    <t xml:space="preserve">Nodo de árbol por estado económico (EXTE≥45).</t>
  </si>
  <si>
    <t xml:space="preserve">INVC vs salto INFL</t>
  </si>
  <si>
    <t xml:space="preserve">Caja rápida permanente a costa de EXTE y del agro.</t>
  </si>
  <si>
    <t xml:space="preserve">CAJA vs EXTE</t>
  </si>
  <si>
    <t xml:space="preserve">Contrapartida.</t>
  </si>
  <si>
    <t xml:space="preserve">EXTE vs CAJA</t>
  </si>
  <si>
    <t xml:space="preserve">Dirección opuesta a la reforma recaudatoria.</t>
  </si>
  <si>
    <t xml:space="preserve">INVC/ACTV vs recaudación</t>
  </si>
  <si>
    <t xml:space="preserve">Contrapeso de tasas altas; lo pidió el usuario.</t>
  </si>
  <si>
    <t xml:space="preserve">INVC vs CAJA</t>
  </si>
  <si>
    <t xml:space="preserve">Fuente de divisas de mediano plazo.</t>
  </si>
  <si>
    <t xml:space="preserve">EXTE vs AMBI</t>
  </si>
  <si>
    <t xml:space="preserve">Política de ingresos sin costo fiscal.</t>
  </si>
  <si>
    <t xml:space="preserve">PODA vs INFL/INVC</t>
  </si>
  <si>
    <t xml:space="preserve">Reforma pro-inversión con conflicto sindical directo.</t>
  </si>
  <si>
    <t xml:space="preserve">INVC vs PODA/CONF</t>
  </si>
  <si>
    <t xml:space="preserve">Recompensa a quien construyó relaciones.</t>
  </si>
  <si>
    <t xml:space="preserve">INFL↓ barato vs compromiso</t>
  </si>
  <si>
    <t xml:space="preserve">Imprescindible (valida el sistema de actores)</t>
  </si>
  <si>
    <t xml:space="preserve">Caja para el camino ortodoxo distinta de la deuda.</t>
  </si>
  <si>
    <t xml:space="preserve">CAJA/SOLV vs CONF</t>
  </si>
  <si>
    <t xml:space="preserve">Alivio de bolsillo con costo diferido.</t>
  </si>
  <si>
    <t xml:space="preserve">PODA/INFL hoy vs INFR/EXTE/CAJA</t>
  </si>
  <si>
    <t xml:space="preserve">CAJA/INFR vs PODA/INFL</t>
  </si>
  <si>
    <t xml:space="preserve">Ciencia más específica (pedido del usuario).</t>
  </si>
  <si>
    <t xml:space="preserve">Largo plazo vs caja</t>
  </si>
  <si>
    <t xml:space="preserve">Orden vs derechos.</t>
  </si>
  <si>
    <t xml:space="preserve">CONF/SEGU hoy vs INST</t>
  </si>
  <si>
    <t xml:space="preserve">INST barato con costo en el propio partido.</t>
  </si>
  <si>
    <t xml:space="preserve">INST vs cohesión</t>
  </si>
  <si>
    <t xml:space="preserve">Gobernar sin Congreso: posible pero caro.</t>
  </si>
  <si>
    <t xml:space="preserve">Velocidad vs INST/oposición</t>
  </si>
  <si>
    <t xml:space="preserve">Relación con gobernadores a cambio de caja.</t>
  </si>
  <si>
    <t xml:space="preserve">LEG/territorio vs CAJA/INST</t>
  </si>
  <si>
    <t xml:space="preserve">Información sobre segmentos sin organización.</t>
  </si>
  <si>
    <t xml:space="preserve">Info vs caja</t>
  </si>
  <si>
    <t xml:space="preserve">reunion / negociacion / acuerdo</t>
  </si>
  <si>
    <t xml:space="preserve">Sistema de relación.</t>
  </si>
  <si>
    <t xml:space="preserve">DESCARTADAS DELIBERADAMENTE</t>
  </si>
  <si>
    <t xml:space="preserve">Idea</t>
  </si>
  <si>
    <t xml:space="preserve">Por qué no en el MVP</t>
  </si>
  <si>
    <t xml:space="preserve">Canje / reestructuración de deuda, default</t>
  </si>
  <si>
    <t xml:space="preserve">Post-MVP: requiere modelar acreedores.</t>
  </si>
  <si>
    <t xml:space="preserve">Reforma previsional</t>
  </si>
  <si>
    <t xml:space="preserve">Post-MVP: interesante pero se superpone con reduccion_gasto + bono_jubilados.</t>
  </si>
  <si>
    <t xml:space="preserve">Campaña / cadena nacional</t>
  </si>
  <si>
    <t xml:space="preserve">Pertenece a los 'otros componentes' del voto, aún no diseñados. Riesgo de ser un botón de +votos.</t>
  </si>
  <si>
    <t xml:space="preserve">Ley de medios / vínculo con prensa</t>
  </si>
  <si>
    <t xml:space="preserve">Sin actor 'medios' en el MVP (decisión deliberada).</t>
  </si>
  <si>
    <t xml:space="preserve">Crédito hipotecario</t>
  </si>
  <si>
    <t xml:space="preserve">Se superpone con plan_viviendas + credito_pyme.</t>
  </si>
  <si>
    <t xml:space="preserve">Políticas de cuidados separadas</t>
  </si>
  <si>
    <t xml:space="preserve">Absorbidas en genero_y_cuidados; no justifican una acción propia.</t>
  </si>
  <si>
    <t xml:space="preserve">Simulaciones: cadenas causales completas (prototipo del motor)</t>
  </si>
  <si>
    <t xml:space="preserve">Corridas reales de un prototipo que implementa 01B, 03, 05 y parte de 07. Valores = estado al cierre del turno. Δ = diferencia vs escenario base (mismas condiciones, sin la acción): aísla el efecto de la decisión.</t>
  </si>
  <si>
    <t xml:space="preserve">S1 · Emisión monetaria repetida (5 turnos seguidos)</t>
  </si>
  <si>
    <t xml:space="preserve">Pregunta: ¿La emisión castiga por repetición y no por etiqueta?</t>
  </si>
  <si>
    <t xml:space="preserve">Acciones</t>
  </si>
  <si>
    <t xml:space="preserve">Efectos disparados y eventos</t>
  </si>
  <si>
    <t xml:space="preserve">Indicadores (valor · Δ vs base)</t>
  </si>
  <si>
    <t xml:space="preserve">Actores SAT (valor · Δ vs base)</t>
  </si>
  <si>
    <t xml:space="preserve">Político / fiscal</t>
  </si>
  <si>
    <t xml:space="preserve">Lectura causal</t>
  </si>
  <si>
    <t xml:space="preserve">estado inicial</t>
  </si>
  <si>
    <t xml:space="preserve">INFL 58 (+0.0) | PODA 42 (+0.0) | ACTV 45 (+0.0) | INVC 40 (+0.0) | EXTE 38 (+0.0) | DESANC 12 (+0.0)</t>
  </si>
  <si>
    <t xml:space="preserve">clase_media 44 (+0.0) | sindicatos 42 (+0.0) | pymes 42 (+0.0) | financiero 44 (+0.0)</t>
  </si>
  <si>
    <t xml:space="preserve">APRO 34.9 (+0.0)
CAJA 1500</t>
  </si>
  <si>
    <t xml:space="preserve">INFL 59 (+2.2) | PODA 41 (-0.1) | ACTV 47 (+3.0) | INVC 40 (+0.0) | EXTE 38 (+0.0) | DESANC 14 (+3.0)</t>
  </si>
  <si>
    <t xml:space="preserve">clase_media 43 (-0.7) | sindicatos 42 (+0.9) | pymes 42 (+0.7) | financiero 46 (-0.6)</t>
  </si>
  <si>
    <t xml:space="preserve">APRO 34.6 (+0.3)
CAJA 1886</t>
  </si>
  <si>
    <t xml:space="preserve">Primer uso casi gratis: caja +250, ACTV +3 (bonus de liquidez), INFL +2 vs base. Ningún actor tiene 'emitir −X': la clase media apenas baja (−0.7) y sindicatos/PyMEs incluso mejoran por la actividad.</t>
  </si>
  <si>
    <t xml:space="preserve">INFL 60 (+4.5) | PODA 40 (-0.1) | ACTV 46 (+3.0) | INVC 40 (-0.1) | EXTE 38 (+0.0) | DESANC 16 (+6.0)</t>
  </si>
  <si>
    <t xml:space="preserve">clase_media 42 (-1.8) | sindicatos 42 (+2.0) | pymes 43 (+1.6) | financiero 48 (-1.6)</t>
  </si>
  <si>
    <t xml:space="preserve">APRO 34.1 (+0.5)
CAJA 2281</t>
  </si>
  <si>
    <t xml:space="preserve">Todavía debajo del umbral: sindicatos +2 y PyMEs +1.6 (actividad), clase media −1.8 (inflación). Lo invisible: DESANCLAJE sube +3 por uso.</t>
  </si>
  <si>
    <t xml:space="preserve">emitir_dinero: 3ª emisión en 6 turnos: la inflación se acelera 3 turnos seguidos.
emitir_dinero: Desanclaje de expectativas: el efecto sobrevive a la acción.</t>
  </si>
  <si>
    <t xml:space="preserve">INFL 62 (+8.2) | PODA 38 (-0.6) | ACTV 45 (+3.0) | INVC 40 (-0.3) | EXTE 39 (+0.0) | DESANC 24 (+15.0)</t>
  </si>
  <si>
    <t xml:space="preserve">clase_media 41 (-3.3) | sindicatos 40 (+1.7) | pymes 42 (+1.2) | financiero 49 (-3.2)</t>
  </si>
  <si>
    <t xml:space="preserve">APRO 31.8 (-0.9)
CAJA 2666</t>
  </si>
  <si>
    <t xml:space="preserve">3ª emisión en 6 turnos → se dispara la regla de repetición: INFL +3/turno ×3 y DESANCLAJE +6. INFL +8 vs base. APRO empieza a caer.</t>
  </si>
  <si>
    <t xml:space="preserve">emitir_dinero: Con inflación alta la emisión se traslada más rápido a precios.
emitir_dinero: 3ª emisión en 6 turnos: la inflación se acelera 3 turnos seguidos.
emitir_dinero: Desanclaje de expectativas: el efecto sobrevive a la acción.
emitir_dinero: 4ª emisión: aceleración fuerte (se suma a la anterior).
emitir_dinero: Huida al dólar.
emitir_dinero: Nadie presta a plazo en una moneda que se deprecia.</t>
  </si>
  <si>
    <t xml:space="preserve">INFL 70 (+17.1) | PODA 36 (-1.7) | ACTV 44 (+2.8) | INVC 36 (-3.8) | EXTE 36 (-2.8) | DESANC 32 (+24.0)</t>
  </si>
  <si>
    <t xml:space="preserve">clase_media 38 (-7.0) | sindicatos 35 (-1.3) | pymes 38 (-2.5) | financiero 46 (-8.5)</t>
  </si>
  <si>
    <t xml:space="preserve">APRO 25.9 (-5.8)
CAJA 3012</t>
  </si>
  <si>
    <t xml:space="preserve">4ª: aceleración extra, huida al dólar (EXTE −3) e INVC −3. Con INFL≥60 cada emisión se traslada más rápido.</t>
  </si>
  <si>
    <t xml:space="preserve">emitir_dinero: Con inflación alta la emisión se traslada más rápido a precios.
emitir_dinero: 3ª emisión en 6 turnos: la inflación se acelera 3 turnos seguidos.
emitir_dinero: Desanclaje de expectativas: el efecto sobrevive a la acción.
emitir_dinero: 4ª emisión: aceleración fuerte (se suma a la anterior).
emitir_dinero: Huida al dólar.
emitir_dinero: Nadie presta a plazo en una moneda que se deprecia.
emitir_dinero: Impuesto inflacionario rinde menos: la 5ª emisión aporta menos caja.
Canal: Agro retiene cosecha (EXTE -3.0)</t>
  </si>
  <si>
    <t xml:space="preserve">INFL 83 (+32.4) | PODA 33 (-4.4) | ACTV 42 (+1.8) | INVC 31 (-8.3) | EXTE 29 (-9.7) | DESANC 40 (+33.0)</t>
  </si>
  <si>
    <t xml:space="preserve">clase_media 32 (-12.8) | sindicatos 29 (-6.8) | pymes 32 (-8.9) | financiero 38 (-18.0)</t>
  </si>
  <si>
    <t xml:space="preserve">APRO 18.3 (-12.5)
CAJA 3165</t>
  </si>
  <si>
    <t xml:space="preserve">5ª: INFL 83. La emisión ya rinde menos caja. PODA −4 vs base: el daño llega a los actores por PODA/INVC, no por la acción.</t>
  </si>
  <si>
    <t xml:space="preserve">Canal: Industria posterga inversiones (INVC -1.5)
Canal: Agro retiene cosecha (EXTE -3.0)
Canal: Sindicatos: medidas de fuerza (CONF +2.2)
Canal: Org. sociales: piquetes (CONF +3.0)
Canal: Docentes: paro (EDUC -1.0)
Canal: Docentes: paro (CONF +2.0)
Canal: Clase media dolariza (EXTE -2.0)</t>
  </si>
  <si>
    <t xml:space="preserve">INFL 97 (+47.8) | PODA 28 (-9.0) | ACTV 36 (-2.5) | INVC 27 (-12.5) | EXTE 22 (-17.0) | DESANC 39 (+33.0)</t>
  </si>
  <si>
    <t xml:space="preserve">clase_media 26 (-18.8) | sindicatos 21 (-13.2) | pymes 24 (-16.0) | financiero 29 (-27.5)</t>
  </si>
  <si>
    <t xml:space="preserve">APRO 12.5 (-17.4)
CAJA 3085</t>
  </si>
  <si>
    <t xml:space="preserve">Sin emitir más, la inercia (ancla alta por desanclaje) lleva INFL a 97: umbral de hiperinflación. Se encienden canales: agro retiene, industria desinvierte, paros, piquetes, dolarización.</t>
  </si>
  <si>
    <t xml:space="preserve">Canal: Industria posterga inversiones (INVC -1.5)
Canal: Agro retiene cosecha (EXTE -3.0)
Canal: Financiero: sube riesgo país (SOLV -5.0)
Canal: Sindicatos: medidas de fuerza (CONF +2.2)
Canal: PyMEs: cierres (ACTV -2.0)
Canal: Org. sociales: piquetes (CONF +3.0)
Canal: Docentes: paro (EDUC -1.0)
Canal: Docentes: paro (CONF +2.0)
Canal: Clase media dolariza (EXTE -2.0)</t>
  </si>
  <si>
    <t xml:space="preserve">INFL 99 (+50.4) | PODA 23 (-13.9) | ACTV 31 (-6.7) | INVC 23 (-16.5) | EXTE 15 (-23.9) | DESANC 38 (+33.0)</t>
  </si>
  <si>
    <t xml:space="preserve">clase_media 22 (-23.6) | sindicatos 15 (-18.5) | pymes 17 (-22.0) | financiero 21 (-35.7)</t>
  </si>
  <si>
    <t xml:space="preserve">APRO 8.9 (-20.0)
CAJA 2959</t>
  </si>
  <si>
    <t xml:space="preserve">Canal: Industria posterga inversiones (INVC -1.5)
Canal: Agro retiene cosecha (EXTE -3.0)
Canal: Financiero: sube riesgo país (SOLV -5.0)
Canal: Sindicatos: medidas de fuerza (CONF +2.2)
Canal: PyMEs: cierres (ACTV -2.0)
Canal: Org. sociales: piquetes (CONF +3.0)
Canal: Estudiantes: movilización (CONF +2.0)
Canal: Docentes: paro (EDUC -1.0)
Canal: Docentes: paro (CONF +2.0)
Canal: Clase media dolariza (EXTE -2.0)</t>
  </si>
  <si>
    <t xml:space="preserve">INFL 100 (+52.7) | PODA 18 (-18.8) | ACTV 25 (-11.6) | INVC 19 (-20.3) | EXTE 9 (-30.5) | DESANC 37 (+33.0)</t>
  </si>
  <si>
    <t xml:space="preserve">clase_media 17 (-27.5) | sindicatos 10 (-22.3) | pymes 12 (-26.3) | financiero 16 (-41.4)</t>
  </si>
  <si>
    <t xml:space="preserve">APRO 6.8 (-21.1)
CAJA 2800</t>
  </si>
  <si>
    <t xml:space="preserve">Colapso: PODA 18, ACTV 25, APRO 7. Todo el castigo viajó por indicadores.</t>
  </si>
  <si>
    <t xml:space="preserve">S1b · Emisión 'dosificada' (T1, T3, T5, T7)</t>
  </si>
  <si>
    <t xml:space="preserve">Pregunta: ¿Se puede esquivar la regla emitiendo día por medio?</t>
  </si>
  <si>
    <t xml:space="preserve">INFL 58 (+0.0) | PODA 42 (+0.0) | DESANC 12 (+0.0)</t>
  </si>
  <si>
    <t xml:space="preserve">clase_media 44 (+0.0) | sindicatos 42 (+0.0)</t>
  </si>
  <si>
    <t xml:space="preserve">INFL 59 (+2.2) | PODA 41 (-0.1) | DESANC 14 (+3.0)</t>
  </si>
  <si>
    <t xml:space="preserve">clase_media 43 (-0.7) | sindicatos 42 (+0.9)</t>
  </si>
  <si>
    <t xml:space="preserve">INFL 58 (+2.3) | PODA 40 (-0.1) | DESANC 13 (+3.0)</t>
  </si>
  <si>
    <t xml:space="preserve">clase_media 43 (-1.1) | sindicatos 41 (+1.3)</t>
  </si>
  <si>
    <t xml:space="preserve">APRO 34.0 (+0.4)
CAJA 2014</t>
  </si>
  <si>
    <t xml:space="preserve">INFL 58 (+4.6) | PODA 39 (-0.4) | DESANC 15 (+6.0)</t>
  </si>
  <si>
    <t xml:space="preserve">clase_media 43 (-1.9) | sindicatos 39 (+0.9)</t>
  </si>
  <si>
    <t xml:space="preserve">APRO 32.1 (-0.6)
CAJA 2386</t>
  </si>
  <si>
    <t xml:space="preserve">INFL 57 (+4.9) | PODA 38 (-0.7) | DESANC 14 (+6.0)</t>
  </si>
  <si>
    <t xml:space="preserve">clase_media 42 (-2.4) | sindicatos 37 (+0.5)</t>
  </si>
  <si>
    <t xml:space="preserve">APRO 30.6 (-1.1)
CAJA 2501</t>
  </si>
  <si>
    <t xml:space="preserve">INFL 59 (+8.4) | PODA 36 (-1.2) | DESANC 22 (+15.0)</t>
  </si>
  <si>
    <t xml:space="preserve">clase_media 41 (-3.8) | sindicatos 35 (-0.8)</t>
  </si>
  <si>
    <t xml:space="preserve">APRO 27.9 (-2.9)
CAJA 2857</t>
  </si>
  <si>
    <t xml:space="preserve">Con ventana de 6 turnos, la 3ª emisión (T5) ya dispara la regla. Por eso se eligió 6 y no 5.</t>
  </si>
  <si>
    <t xml:space="preserve">Canal: Sindicatos: medidas de fuerza (CONF +2.2)</t>
  </si>
  <si>
    <t xml:space="preserve">INFL 62 (+12.1) | PODA 35 (-2.1) | DESANC 21 (+15.0)</t>
  </si>
  <si>
    <t xml:space="preserve">clase_media 39 (-6.0) | sindicatos 32 (-2.7)</t>
  </si>
  <si>
    <t xml:space="preserve">APRO 24.5 (-5.4)
CAJA 2946</t>
  </si>
  <si>
    <t xml:space="preserve">emitir_dinero: Con inflación alta la emisión se traslada más rápido a precios.
emitir_dinero: 3ª emisión en 6 turnos: la inflación se acelera 3 turnos seguidos.
emitir_dinero: Desanclaje de expectativas: el efecto sobrevive a la acción.
Canal: Sindicatos: medidas de fuerza (CONF +2.2)</t>
  </si>
  <si>
    <t xml:space="preserve">INFL 68 (+20.0) | PODA 33 (-3.8) | DESANC 29 (+24.0)</t>
  </si>
  <si>
    <t xml:space="preserve">clase_media 36 (-9.5) | sindicatos 27 (-5.9)</t>
  </si>
  <si>
    <t xml:space="preserve">APRO 19.9 (-9.0)
CAJA 3250</t>
  </si>
  <si>
    <t xml:space="preserve">Canal: Industria posterga inversiones (INVC -1.5)
Canal: Agro retiene cosecha (EXTE -3.0)
Canal: Sindicatos: medidas de fuerza (CONF +2.2)
Canal: Org. sociales: piquetes (CONF +3.0)
Canal: Docentes: paro (EDUC -1.0)
Canal: Docentes: paro (CONF +2.0)</t>
  </si>
  <si>
    <t xml:space="preserve">INFL 73 (+25.8) | PODA 30 (-6.1) | DESANC 28 (+24.0)</t>
  </si>
  <si>
    <t xml:space="preserve">clase_media 31 (-13.8) | sindicatos 23 (-9.4)</t>
  </si>
  <si>
    <t xml:space="preserve">APRO 15.3 (-12.6)
CAJA 3272</t>
  </si>
  <si>
    <t xml:space="preserve">Daño más lento pero inevitable: INFL 73 en T8. No hay 'dosis segura' sostenida.</t>
  </si>
  <si>
    <t xml:space="preserve">S2 · Infraestructura vial</t>
  </si>
  <si>
    <t xml:space="preserve">Pregunta: ¿Cómo una decisión del Turno 2 afecta el Turno 6?</t>
  </si>
  <si>
    <t xml:space="preserve">INFR 45 (+0.0) | ACTV 45 (+0.0) | EXTE 38 (+0.0) | CAJA 1500 (+0.0) | GASTO 900 (+0.0)</t>
  </si>
  <si>
    <t xml:space="preserve">agro 40 (+0.0) | gobernadores 44 (+0.0) | industria 42 (+0.0) | pymes 42 (+0.0)</t>
  </si>
  <si>
    <t xml:space="preserve">INFR 44 (+0.0) | ACTV 44 (+0.0) | EXTE 38 (+0.0) | CAJA 1534 (-80.0) | GASTO 900 (+0.0)</t>
  </si>
  <si>
    <t xml:space="preserve">agro 40 (+0.0) | gobernadores 40 (+0.0) | industria 42 (+0.0) | pymes 42 (+0.0)</t>
  </si>
  <si>
    <t xml:space="preserve">APRO 34.3 (+0.0)
CAJA 1534</t>
  </si>
  <si>
    <t xml:space="preserve">Estudio: FLAG estudio_vigente (6 turnos) y costo de obras −20%. Ningún indicador se mueve.</t>
  </si>
  <si>
    <t xml:space="preserve">INFR 43 (+0.0) | ACTV 45 (+2.0) | EXTE 38 (+0.0) | CAJA 1256 (-465.0) | GASTO 900 (+0.0)</t>
  </si>
  <si>
    <t xml:space="preserve">agro 40 (+0.0) | gobernadores 37 (+0.9) | industria 43 (+0.6) | pymes 42 (+0.9)</t>
  </si>
  <si>
    <t xml:space="preserve">APRO 34.2 (+0.6)
CAJA 1256</t>
  </si>
  <si>
    <t xml:space="preserve">Obra: caja −400 (500 × 0.8). ACTV +2 por la obra en ejecución (bonus): PyMEs e industria mejoran algo.</t>
  </si>
  <si>
    <t xml:space="preserve">INFR 43 (+0.0) | ACTV 42 (+0.0) | EXTE 39 (+0.0) | CAJA 1370 (-451.0) | GASTO 900 (+0.0)</t>
  </si>
  <si>
    <t xml:space="preserve">agro 40 (-0.1) | gobernadores 35 (+1.4) | industria 44 (+1.0) | pymes 42 (+1.2)</t>
  </si>
  <si>
    <t xml:space="preserve">APRO 33.6 (+0.9)
CAJA 1370</t>
  </si>
  <si>
    <t xml:space="preserve">Termina el bonus de obra. INFR todavía no cambia: la obra está en curso.</t>
  </si>
  <si>
    <t xml:space="preserve">INFR 45 (+3.0) | ACTV 41 (+0.1) | EXTE 39 (+0.0) | CAJA 1463 (-451.0) | GASTO 900 (+0.0)</t>
  </si>
  <si>
    <t xml:space="preserve">agro 41 (+0.8) | gobernadores 34 (+2.5) | industria 44 (+0.9) | pymes 41 (+0.6)</t>
  </si>
  <si>
    <t xml:space="preserve">APRO 32.0 (+0.3)
CAJA 1463</t>
  </si>
  <si>
    <t xml:space="preserve">t+2: primeros tramos, INFR +3. El agro empieza a reaccionar (mira INFR con +6).</t>
  </si>
  <si>
    <t xml:space="preserve">INFR 47 (+6.0) | ACTV 40 (+0.2) | EXTE 39 (+0.0) | CAJA 1519 (-480.0) | GASTO 930 (+30.0)</t>
  </si>
  <si>
    <t xml:space="preserve">agro 43 (+2.2) | gobernadores 33 (+4.3) | industria 44 (+1.3) | pymes 41 (+0.2)</t>
  </si>
  <si>
    <t xml:space="preserve">APRO 31.0 (+0.2)
CAJA 1519</t>
  </si>
  <si>
    <t xml:space="preserve">t+3: INFR +6 y GASTO_CORR +30 PERMANENTE (mantenimiento). Gobernadores +4.</t>
  </si>
  <si>
    <t xml:space="preserve">INFR 46 (+6.0) | ACTV 39 (+0.5) | EXTE 40 (+0.9) | CAJA 1568 (-509.0) | GASTO 930 (+30.0)</t>
  </si>
  <si>
    <t xml:space="preserve">agro 44 (+3.4) | gobernadores 32 (+5.3) | industria 44 (+1.8) | pymes 40 (+0.1)</t>
  </si>
  <si>
    <t xml:space="preserve">APRO 30.3 (+0.4)
CAJA 1568</t>
  </si>
  <si>
    <t xml:space="preserve">t+4: EXTE +1 por logística. Agro +3.4 vs base: la decisión de T2 se cobra en T6, y beneficia a agro/gobernadores/industria sin escribir '+X a esos grupos'.</t>
  </si>
  <si>
    <t xml:space="preserve">INFR 45 (+6.0) | ACTV 38 (+0.6) | EXTE 40 (+0.9) | CAJA 1611 (-536.0) | GASTO 930 (+30.0)</t>
  </si>
  <si>
    <t xml:space="preserve">agro 45 (+4.0) | gobernadores 30 (+5.7) | industria 44 (+2.0) | pymes 39 (+0.1)</t>
  </si>
  <si>
    <t xml:space="preserve">APRO 29.4 (+0.5)
CAJA 1611</t>
  </si>
  <si>
    <t xml:space="preserve">INFR 45 (+6.0) | ACTV 37 (+0.9) | EXTE 40 (+0.8) | CAJA 1648 (-560.0) | GASTO 930 (+30.0)</t>
  </si>
  <si>
    <t xml:space="preserve">agro 45 (+4.2) | gobernadores 28 (+5.7) | industria 43 (+2.2) | pymes 39 (+0.2)</t>
  </si>
  <si>
    <t xml:space="preserve">APRO 28.6 (+0.7)
CAJA 1648</t>
  </si>
  <si>
    <t xml:space="preserve">INFR se deprecia 0.8/turno salvo mantenimiento; la ventaja (+6) se conserva, el nivel absoluto baja.</t>
  </si>
  <si>
    <t xml:space="preserve">S3 · Aumento salarial (dos veces)</t>
  </si>
  <si>
    <t xml:space="preserve">Pregunta: ¿Mejorar a unos puede empeorar a otros sin antagonismo?</t>
  </si>
  <si>
    <t xml:space="preserve">PODA 42 (+0.0) | INFL 58 (+0.0) | SOLV 45 (+0.0) | CAJA 1500 (+0.0) | GASTO 900 (+0.0)</t>
  </si>
  <si>
    <t xml:space="preserve">sindicatos 42 (+0.0) | docentes 44 (+0.0) | financiero 44 (+0.0) | clase_media 44 (+0.0)</t>
  </si>
  <si>
    <t xml:space="preserve">PODA 44 (+2.9) | INFL 57 (+0.0) | SOLV 43 (-6.9) | CAJA 1271 (-343.0) | GASTO 1050 (+150.0)</t>
  </si>
  <si>
    <t xml:space="preserve">sindicatos 43 (+2.4) | docentes 46 (+1.7) | financiero 43 (-3.1) | clase_media 45 (+1.0)</t>
  </si>
  <si>
    <t xml:space="preserve">APRO 36.6 (+2.3)
CAJA 1271</t>
  </si>
  <si>
    <t xml:space="preserve">PODA +3; GASTO_CORR +150 permanente; SOLV −7 (resultado fiscal). Sindicatos y docentes suben; Financiero baja porque mira SOLV, no 'salarios'.</t>
  </si>
  <si>
    <t xml:space="preserve">PODA 46 (+5.7) | INFL 56 (+0.4) | SOLV 40 (-11.7) | CAJA 893 (-828.0) | GASTO 1200 (+300.0)</t>
  </si>
  <si>
    <t xml:space="preserve">sindicatos 46 (+6.1) | docentes 48 (+5.0) | financiero 42 (-7.2) | clase_media 47 (+2.6)</t>
  </si>
  <si>
    <t xml:space="preserve">APRO 39.8 (+6.2)
CAJA 893</t>
  </si>
  <si>
    <t xml:space="preserve">PODA 44 (+5.4) | INFL 55 (+1.0) | SOLV 40 (-13.3) | CAJA 700 (-1121.0) | GASTO 1200 (+300.0)</t>
  </si>
  <si>
    <t xml:space="preserve">sindicatos 46 (+7.5) | docentes 49 (+7.3) | financiero 42 (-10.1) | clase_media 48 (+3.7)</t>
  </si>
  <si>
    <t xml:space="preserve">APRO 40.9 (+8.2)
CAJA 700</t>
  </si>
  <si>
    <t xml:space="preserve">Pico: APRO +8. Sindicatos +7.5, docentes +7.3.</t>
  </si>
  <si>
    <t xml:space="preserve">PODA 43 (+5.1) | INFL 54 (+1.6) | SOLV 40 (-13.9) | CAJA 493 (-1421.0) | GASTO 1200 (+300.0)</t>
  </si>
  <si>
    <t xml:space="preserve">sindicatos 44 (+7.1) | docentes 49 (+8.1) | financiero 42 (-11.9) | clase_media 49 (+3.9)</t>
  </si>
  <si>
    <t xml:space="preserve">APRO 39.7 (+8.0)
CAJA 493</t>
  </si>
  <si>
    <t xml:space="preserve">PODA 42 (+4.7) | INFL 53 (+2.1) | SOLV 41 (-12.9) | CAJA 278 (-1721.0) | GASTO 1200 (+300.0)</t>
  </si>
  <si>
    <t xml:space="preserve">sindicatos 42 (+6.3) | docentes 48 (+8.0) | financiero 44 (-12.2) | clase_media 49 (+3.7)</t>
  </si>
  <si>
    <t xml:space="preserve">APRO 37.9 (+7.1)
CAJA 278</t>
  </si>
  <si>
    <t xml:space="preserve">La inflación (R02) erosiona la ganancia real y el gasto permanente vacía la caja (−1700 vs base).</t>
  </si>
  <si>
    <t xml:space="preserve">PODA 41 (+4.2) | INFL 52 (+2.5) | SOLV 41 (-12.4) | CAJA 56 (-2021.0) | GASTO 1200 (+300.0)</t>
  </si>
  <si>
    <t xml:space="preserve">sindicatos 40 (+5.2) | docentes 47 (+7.5) | financiero 45 (-12.0) | clase_media 48 (+3.2)</t>
  </si>
  <si>
    <t xml:space="preserve">APRO 35.9 (+6.0)
CAJA 56</t>
  </si>
  <si>
    <t xml:space="preserve">PODA 40 (+3.7) | INFL 51 (+2.7) | SOLV 41 (-12.2) | CAJA -174 (-2321.0) | GASTO 1200 (+300.0)</t>
  </si>
  <si>
    <t xml:space="preserve">sindicatos 38 (+4.3) | docentes 46 (+6.6) | financiero 46 (-11.3) | clase_media 48 (+2.9)</t>
  </si>
  <si>
    <t xml:space="preserve">APRO 33.9 (+5.0)
CAJA -174</t>
  </si>
  <si>
    <t xml:space="preserve">CAJA &lt; 0.</t>
  </si>
  <si>
    <t xml:space="preserve">CAJA&lt;0: EMISIÓN FORZADA (cuenta en la ventana de emitir_dinero)</t>
  </si>
  <si>
    <t xml:space="preserve">PODA 40 (+3.2) | INFL 52 (+5.2) | SOLV 41 (-12.0) | CAJA -141 (-2349.0) | GASTO 1200 (+300.0)</t>
  </si>
  <si>
    <t xml:space="preserve">sindicatos 36 (+4.2) | docentes 44 (+5.3) | financiero 46 (-11.1) | clase_media 47 (+2.1)</t>
  </si>
  <si>
    <t xml:space="preserve">APRO 32.4 (+4.5)
CAJA -141</t>
  </si>
  <si>
    <t xml:space="preserve">Emisión forzada: el aumento sin financiamiento se transforma en inflación (+5 vs base). La mejora de sindicatos se achica.</t>
  </si>
  <si>
    <t xml:space="preserve">S4 · Deuda: préstamo + expansión</t>
  </si>
  <si>
    <t xml:space="preserve">Pregunta: ¿Cómo te salva hoy y te persigue después?</t>
  </si>
  <si>
    <t xml:space="preserve">SOLV 45 (+0.0) | CAJA 1500 (+0.0) | DEUDA 3000 (+0.0) | EXTE 38 (+0.0) | INFL 58 (+0.0)</t>
  </si>
  <si>
    <t xml:space="preserve">financiero 44 (+0.0) | sectores_populares 42 (+0.0)</t>
  </si>
  <si>
    <t xml:space="preserve">SOLV 52 (+2.2) | CAJA 2374 (+760.0) | DEUDA 3800 (+800.0) | EXTE 43 (+4.8) | INFL 56 (-1.2)</t>
  </si>
  <si>
    <t xml:space="preserve">financiero 49 (+2.7) | sectores_populares 42 (+0.3)</t>
  </si>
  <si>
    <t xml:space="preserve">APRO 35.4 (+1.1)
CAJA 2374</t>
  </si>
  <si>
    <t xml:space="preserve">Préstamo: caja +800, EXTE +5, SOLV bonus +6. Se activa FLAG meta_fiscal por 4 turnos.</t>
  </si>
  <si>
    <t xml:space="preserve">aumento_salarial, cobertura_social</t>
  </si>
  <si>
    <t xml:space="preserve">SOLV 46 (-5.8) | CAJA 1836 (+115.0) | DEUDA 3800 (+800.0) | EXTE 43 (+4.5) | INFL 53 (-2.0)</t>
  </si>
  <si>
    <t xml:space="preserve">financiero 51 (+1.2) | sectores_populares 46 (+4.2)</t>
  </si>
  <si>
    <t xml:space="preserve">APRO 40.6 (+7.0)
CAJA 1836</t>
  </si>
  <si>
    <t xml:space="preserve">plan_viviendas, salud_preventiva</t>
  </si>
  <si>
    <t xml:space="preserve">SOLV 33 (-19.9) | CAJA 964 (-857.0) | DEUDA 3800 (+800.0) | EXTE 43 (+4.2) | INFL 52 (-2.2)</t>
  </si>
  <si>
    <t xml:space="preserve">financiero 49 (-3.8) | sectores_populares 48 (+7.5)</t>
  </si>
  <si>
    <t xml:space="preserve">APRO 44.6 (+11.9)
CAJA 964</t>
  </si>
  <si>
    <t xml:space="preserve">SOLV 25 (-28.2) | CAJA 382 (-1532.0) | DEUDA 3800 (+800.0) | EXTE 43 (+4.1) | INFL 51 (-1.4)</t>
  </si>
  <si>
    <t xml:space="preserve">financiero 41 (-13.6) | sectores_populares 49 (+9.4)</t>
  </si>
  <si>
    <t xml:space="preserve">APRO 45.6 (+13.9)
CAJA 382</t>
  </si>
  <si>
    <t xml:space="preserve">La expansión financiada con el préstamo da APRO +14 y sectores populares +9, pero SOLV cae a 25.</t>
  </si>
  <si>
    <t xml:space="preserve">prestamo_internacional (t+4): Revisión a t+4: con déficit se cae el desembolso.
prestamo_internacional (t+4): Desembolso perdido.</t>
  </si>
  <si>
    <t xml:space="preserve">SOLV 15 (-38.7) | CAJA -109 (-2108.0) | DEUDA 3800 (+800.0) | EXTE 43 (+3.9) | INFL 51 (+0.2)</t>
  </si>
  <si>
    <t xml:space="preserve">financiero 35 (-21.1) | sectores_populares 50 (+10.9)</t>
  </si>
  <si>
    <t xml:space="preserve">APRO 46.0 (+15.2)
CAJA -109</t>
  </si>
  <si>
    <t xml:space="preserve">Revisión de t+4: RESULT3&lt;0 → se cae el desembolso (caja −200, SOLV −8 por 4 turnos). Financiero cae a 35 → canal riesgo país.</t>
  </si>
  <si>
    <t xml:space="preserve">CAJA&lt;0: EMISIÓN FORZADA (cuenta en la ventana de emitir_dinero)
Canal: Financiero: sube riesgo país (SOLV -5.0)</t>
  </si>
  <si>
    <t xml:space="preserve">SOLV 18 (-35.7) | CAJA -149 (-2226.0) | DEUDA 3800 (+800.0) | EXTE 43 (+3.7) | INFL 54 (+4.2)</t>
  </si>
  <si>
    <t xml:space="preserve">financiero 30 (-26.7) | sectores_populares 49 (+10.8)</t>
  </si>
  <si>
    <t xml:space="preserve">APRO 44.0 (+14.1)
CAJA -149</t>
  </si>
  <si>
    <t xml:space="preserve">CAJA&lt;0 → emisión forzada.</t>
  </si>
  <si>
    <t xml:space="preserve">SOLV 21 (-32.2) | CAJA -186 (-2333.0) | DEUDA 3800 (+800.0) | EXTE 43 (+3.5) | INFL 56 (+7.7)</t>
  </si>
  <si>
    <t xml:space="preserve">financiero 27 (-30.1) | sectores_populares 49 (+11.3)</t>
  </si>
  <si>
    <t xml:space="preserve">APRO 43.0 (+14.1)
CAJA -186</t>
  </si>
  <si>
    <t xml:space="preserve">CAJA&lt;0: EMISIÓN FORZADA (cuenta en la ventana de emitir_dinero)
emitir_dinero: 3ª emisión en 6 turnos: la inflación se acelera 3 turnos seguidos.
emitir_dinero: Desanclaje de expectativas: el efecto sobrevive a la acción.
Canal: Financiero: sube riesgo país (SOLV -5.0)</t>
  </si>
  <si>
    <t xml:space="preserve">SOLV 31 (-22.4) | CAJA -232 (-2440.0) | DEUDA 3800 (+800.0) | EXTE 42 (+3.3) | INFL 59 (+12.3)</t>
  </si>
  <si>
    <t xml:space="preserve">financiero 25 (-32.1) | sectores_populares 47 (+10.0)</t>
  </si>
  <si>
    <t xml:space="preserve">APRO 39.0 (+11.1)
CAJA -232</t>
  </si>
  <si>
    <t xml:space="preserve">3ª emisión forzada en 6 turnos → aceleración inflacionaria (+12 vs base). El préstamo del Turno 1 se paga en el Turno 8.</t>
  </si>
  <si>
    <t xml:space="preserve">S5 · Institucional: mano dura repetida</t>
  </si>
  <si>
    <t xml:space="preserve">Pregunta: ¿Hay trade-off orden vs. derechos y efectos de rebote?</t>
  </si>
  <si>
    <t xml:space="preserve">CONF 40 (+0.0) | INST 52 (+0.0) | SEGU 42 (+0.0) | INVC 40 (+0.0)</t>
  </si>
  <si>
    <t xml:space="preserve">derechos_cultura 49 (+0.0) | clase_media 44 (+0.0) | oposicion 53 (+0.0) | org_sociales 43 (+0.0)</t>
  </si>
  <si>
    <t xml:space="preserve">CONF 33 (-4.5) | INST 49 (-2.9) | SEGU 44 (+1.9) | INVC 40 (-0.1)</t>
  </si>
  <si>
    <t xml:space="preserve">derechos_cultura 46 (-1.9) | clase_media 45 (+0.7) | oposicion 46 (-1.3) | org_sociales 42 (-0.5)</t>
  </si>
  <si>
    <t xml:space="preserve">APRO 34.1 (-0.2)
CAJA 1514</t>
  </si>
  <si>
    <t xml:space="preserve">CONF −6 y SEGU +2 (ambos BONUS temporales), INST −3 (permanente). Clase media apenas mejora.</t>
  </si>
  <si>
    <t xml:space="preserve">mano_dura: Represión sin conflicto real = arbitrariedad.</t>
  </si>
  <si>
    <t xml:space="preserve">CONF 34 (-1.8) | INST 44 (-7.7) | SEGU 44 (+1.8) | INVC 39 (-0.5)</t>
  </si>
  <si>
    <t xml:space="preserve">derechos_cultura 42 (-6.2) | clase_media 46 (+1.4) | oposicion 38 (-5.0) | org_sociales 41 (-1.5)</t>
  </si>
  <si>
    <t xml:space="preserve">APRO 32.4 (-1.2)
CAJA 1521</t>
  </si>
  <si>
    <t xml:space="preserve">Con CONF&lt;40, 'represión sin conflicto' → INST −2 extra. Oposición −5 (mira INST).</t>
  </si>
  <si>
    <t xml:space="preserve">mano_dura: Represión sin conflicto real = arbitrariedad.
mano_dura: Radicalización.
mano_dura: Deterioro acumulado.</t>
  </si>
  <si>
    <t xml:space="preserve">CONF 34 (+0.1) | INST 38 (-14.2) | SEGU 43 (+1.7) | INVC 39 (-1.0)</t>
  </si>
  <si>
    <t xml:space="preserve">derechos_cultura 35 (-12.1) | clase_media 45 (+0.8) | oposicion 29 (-11.7) | org_sociales 38 (-3.2)</t>
  </si>
  <si>
    <t xml:space="preserve">APRO 29.1 (-3.6)
CAJA 1521</t>
  </si>
  <si>
    <t xml:space="preserve">3ª en 6 turnos: radicalización (CONF +6 desde T4). Derechos cae a 35 → se habilita su canal de judicialización.</t>
  </si>
  <si>
    <t xml:space="preserve">CONF 44 (+10.5) | INST 38 (-13.8) | SEGU 41 (-0.4) | INVC 38 (-1.5)</t>
  </si>
  <si>
    <t xml:space="preserve">derechos_cultura 32 (-14.9) | clase_media 43 (-1.5) | oposicion 22 (-16.8) | org_sociales 37 (-4.1)</t>
  </si>
  <si>
    <t xml:space="preserve">APRO 25.8 (-5.9)
CAJA 1614</t>
  </si>
  <si>
    <t xml:space="preserve">Vencen los bonus: CONF +10 vs base y SEGU vuelve a base. La clase media pasa a −1.5.</t>
  </si>
  <si>
    <t xml:space="preserve">CONF 40 (+7.9) | INST 38 (-13.4) | SEGU 41 (-0.4) | INVC 38 (-2.0)</t>
  </si>
  <si>
    <t xml:space="preserve">derechos_cultura 30 (-15.9) | clase_media 41 (-3.6) | oposicion 18 (-19.6) | org_sociales 36 (-4.4)</t>
  </si>
  <si>
    <t xml:space="preserve">APRO 23.3 (-7.5)
CAJA 1698</t>
  </si>
  <si>
    <t xml:space="preserve">CONF 38 (+6.0) | INST 39 (-13.0) | SEGU 41 (-0.3) | INVC 37 (-2.4)</t>
  </si>
  <si>
    <t xml:space="preserve">derechos_cultura 29 (-15.8) | clase_media 41 (-4.5) | oposicion 17 (-20.2) | org_sociales 35 (-4.5)</t>
  </si>
  <si>
    <t xml:space="preserve">APRO 21.9 (-8.0)
CAJA 1774</t>
  </si>
  <si>
    <t xml:space="preserve">Canal: Industria posterga inversiones (INVC -1.5)
Canal: Sindicatos: medidas de fuerza (CONF +2.2)
Canal: Estudiantes: movilización (CONF +2.0)
Canal: Fuga de cerebros (CIEN -1.0)</t>
  </si>
  <si>
    <t xml:space="preserve">CONF 40 (+6.0) | INST 39 (-12.6) | SEGU 40 (-0.4) | INVC 35 (-4.3)</t>
  </si>
  <si>
    <t xml:space="preserve">derechos_cultura 30 (-15.2) | clase_media 40 (-4.8) | oposicion 16 (-19.6) | org_sociales 35 (-4.5)</t>
  </si>
  <si>
    <t xml:space="preserve">APRO 20.6 (-8.3)
CAJA 1841</t>
  </si>
  <si>
    <t xml:space="preserve">Canal: Industria posterga inversiones (INVC -1.5)
Canal: Sindicatos: medidas de fuerza (CONF +2.2)
Canal: Org. sociales: piquetes (CONF +3.0)
Canal: Estudiantes: movilización (CONF +2.0)
Canal: Fuga de cerebros (CIEN -1.0)</t>
  </si>
  <si>
    <t xml:space="preserve">CONF 43 (+8.2) | INST 39 (-12.3) | SEGU 40 (-0.3) | INVC 33 (-6.0)</t>
  </si>
  <si>
    <t xml:space="preserve">derechos_cultura 30 (-14.2) | clase_media 40 (-5.1) | oposicion 15 (-19.0) | org_sociales 34 (-4.4)</t>
  </si>
  <si>
    <t xml:space="preserve">APRO 19.4 (-8.5)
CAJA 1897</t>
  </si>
  <si>
    <t xml:space="preserve">INST −12 persiste → INVC −6 (R08: seguridad jurídica). Oposición 15 → umbral de LEY 55. La seguridad real no mejoró.</t>
  </si>
  <si>
    <t xml:space="preserve">S6 · Suba de tasas (el ejemplo Financiero vs PyMEs)</t>
  </si>
  <si>
    <t xml:space="preserve">Pregunta: ¿El conflicto emerge sin matriz de antagonismo?</t>
  </si>
  <si>
    <t xml:space="preserve">INFL 58 (+0.0) | INVC 40 (+0.0) | ACTV 45 (+0.0) | EXTE 38 (+0.0)</t>
  </si>
  <si>
    <t xml:space="preserve">financiero 44 (+0.0) | pymes 42 (+0.0) | industria 42 (+0.0) | clase_media 44 (+0.0)</t>
  </si>
  <si>
    <t xml:space="preserve">INFL 56 (-1.1) | INVC 35 (-4.7) | ACTV 44 (-0.4) | EXTE 40 (+1.9)</t>
  </si>
  <si>
    <t xml:space="preserve">financiero 46 (-0.1) | pymes 40 (-1.7) | industria 41 (-1.1) | clase_media 44 (+0.3)</t>
  </si>
  <si>
    <t xml:space="preserve">APRO 34.3 (+0.0)
CAJA 1564</t>
  </si>
  <si>
    <t xml:space="preserve">INVC −5, DESANCLAJE −5, EXTE +2. INFL casi igual (rezago de 1 turno).</t>
  </si>
  <si>
    <t xml:space="preserve">INFL 50 (-5.5) | INVC 31 (-9.3) | ACTV 40 (-3.2) | EXTE 42 (+3.7)</t>
  </si>
  <si>
    <t xml:space="preserve">financiero 50 (+0.5) | pymes 37 (-4.5) | industria 40 (-3.2) | clase_media 46 (+1.6)</t>
  </si>
  <si>
    <t xml:space="preserve">APRO 33.7 (+0.1)
CAJA 1604</t>
  </si>
  <si>
    <t xml:space="preserve">Canal: Industria posterga inversiones (INVC -1.5)</t>
  </si>
  <si>
    <t xml:space="preserve">INFL 43 (-10.5) | INVC 34 (-6.2) | ACTV 38 (-4.1) | EXTE 40 (+1.5)</t>
  </si>
  <si>
    <t xml:space="preserve">financiero 54 (+2.0) | pymes 35 (-6.4) | industria 38 (-4.6) | clase_media 48 (+3.8)</t>
  </si>
  <si>
    <t xml:space="preserve">APRO 33.9 (+1.2)
CAJA 1667</t>
  </si>
  <si>
    <t xml:space="preserve">INFL −10.5 vs base. Financiero +2 (SOLV/INFL); PyMEs −6.4 (INVC/ACTV); clase media +3.8 (INFL). Mismo hecho, reacciones opuestas, sin antagonismo.</t>
  </si>
  <si>
    <t xml:space="preserve">INFL 41 (-11.8) | INVC 36 (-3.3) | ACTV 38 (-2.6) | EXTE 38 (-0.5)</t>
  </si>
  <si>
    <t xml:space="preserve">financiero 57 (+3.0) | pymes 36 (-5.3) | industria 39 (-4.1) | clase_media 50 (+5.3)</t>
  </si>
  <si>
    <t xml:space="preserve">APRO 34.8 (+3.1)
CAJA 1730</t>
  </si>
  <si>
    <t xml:space="preserve">INFL 40 (-10.9) | INVC 35 (-4.6) | ACTV 37 (-3.1) | EXTE 38 (-0.5)</t>
  </si>
  <si>
    <t xml:space="preserve">financiero 59 (+3.1) | pymes 37 (-3.0) | industria 40 (-2.7) | clase_media 51 (+6.0)</t>
  </si>
  <si>
    <t xml:space="preserve">APRO 35.4 (+4.6)
CAJA 1797</t>
  </si>
  <si>
    <t xml:space="preserve">INFL 40 (-10.0) | INVC 34 (-5.8) | ACTV 35 (-3.5) | EXTE 38 (-0.5)</t>
  </si>
  <si>
    <t xml:space="preserve">financiero 60 (+2.9) | pymes 38 (-2.3) | industria 40 (-2.6) | clase_media 51 (+6.0)</t>
  </si>
  <si>
    <t xml:space="preserve">APRO 34.8 (+4.9)
CAJA 1852</t>
  </si>
  <si>
    <t xml:space="preserve">INFL 39 (-9.1) | INVC 32 (-6.9) | ACTV 34 (-4.1) | EXTE 39 (-0.5)</t>
  </si>
  <si>
    <t xml:space="preserve">financiero 60 (+2.5) | pymes 37 (-2.5) | industria 39 (-2.8) | clase_media 51 (+5.9)</t>
  </si>
  <si>
    <t xml:space="preserve">APRO 33.3 (+4.4)
CAJA 1897</t>
  </si>
  <si>
    <t xml:space="preserve">INFL 39 (-8.1) | INVC 31 (-8.0) | ACTV 32 (-4.7) | EXTE 39 (-0.5)</t>
  </si>
  <si>
    <t xml:space="preserve">financiero 59 (+2.0) | pymes 35 (-3.2) | industria 38 (-3.3) | clase_media 50 (+5.6)</t>
  </si>
  <si>
    <t xml:space="preserve">APRO 31.3 (+3.4)
CAJA 1929</t>
  </si>
  <si>
    <t xml:space="preserve">INFL estabilizada (~39) a costa de actividad (ACTV −4.7) y crédito (INVC −8, con canal de industria).</t>
  </si>
  <si>
    <t xml:space="preserve">Riesgos, exploits y decisiones abiertas</t>
  </si>
  <si>
    <t xml:space="preserve">Listado honesto: lo que puede fallar y lo que tienen que decidir humanos.</t>
  </si>
  <si>
    <t xml:space="preserve">id</t>
  </si>
  <si>
    <t xml:space="preserve">Severidad</t>
  </si>
  <si>
    <t xml:space="preserve">Mitigación / decisión</t>
  </si>
  <si>
    <t xml:space="preserve">R-01</t>
  </si>
  <si>
    <t xml:space="preserve">Doble conteo</t>
  </si>
  <si>
    <t xml:space="preserve">Indicador → voto directo además de indicador → actor → voto.</t>
  </si>
  <si>
    <t xml:space="preserve">Regla dura: IV = APRO(actores) + ESTRUCTURA + OTROS. Ningún indicador entra a IV. Los 'otros componentes' futuros no pueden usar indicadores del país.</t>
  </si>
  <si>
    <t xml:space="preserve">R-02</t>
  </si>
  <si>
    <t xml:space="preserve">Agregados macro (Economía, Estado, Desarrollo, Instituciones) usados como variables causales.</t>
  </si>
  <si>
    <t xml:space="preserve">Sólo lectura (dashboard/objetivos). Prohibido que alimenten actores, GOB o IV.</t>
  </si>
  <si>
    <t xml:space="preserve">R-03</t>
  </si>
  <si>
    <t xml:space="preserve">Doble conteo intra-actor</t>
  </si>
  <si>
    <t xml:space="preserve">Un actor mira INFL y PODA, y INFL ya erosiona PODA (R02).</t>
  </si>
  <si>
    <t xml:space="preserve">Sensibilidad a INFL moderada (−3/−4) en actores que miran PODA; clase media la conserva alta porque le importa en sí (ahorro).</t>
  </si>
  <si>
    <t xml:space="preserve">R-04</t>
  </si>
  <si>
    <t xml:space="preserve">Canal de poder que vuelve a cobrar el mismo efecto: paro → ACTV↓ y además −APRO.</t>
  </si>
  <si>
    <t xml:space="preserve">Regla: los canales sólo pueden tocar indicadores/sistemas físicos o políticos (INVC, EXTE, CONF, LEG, eficacia), nunca APRO/IV.</t>
  </si>
  <si>
    <t xml:space="preserve">R-05</t>
  </si>
  <si>
    <t xml:space="preserve">Loop de feedback</t>
  </si>
  <si>
    <t xml:space="preserve">Sindicatos enojados → paro → ACTV↓ → más enojo → más paros (espiral).</t>
  </si>
  <si>
    <t xml:space="preserve">Canales con 1 turno de rezago, cooldown en eventos (paro CD 3), CONF se disipa 25%/turno, la relación amortigua hasta 50%.</t>
  </si>
  <si>
    <t xml:space="preserve">R-06</t>
  </si>
  <si>
    <t xml:space="preserve">Oficialismo mira APRO; su estructura suma a IV. Ganar → cohesión → más votos.</t>
  </si>
  <si>
    <t xml:space="preserve">APRO con rezago 1 turno y ESTRUCTURA acotada a 10% de IV. El loop no vuelve a APRO.</t>
  </si>
  <si>
    <t xml:space="preserve">R-07</t>
  </si>
  <si>
    <t xml:space="preserve">Variable redundante / resolución</t>
  </si>
  <si>
    <t xml:space="preserve">PODA y PSOC nacionales: aumento_salarial, bono_jubilados y cobertura_social se parecen a nivel de indicador.</t>
  </si>
  <si>
    <t xml:space="preserve">Se diferencian por perfil fiscal y timing. DECISIÓN ABIERTA: segmentar PODA en formal/vulnerable si el playtest muestra que no se distinguen.</t>
  </si>
  <si>
    <t xml:space="preserve">R-08</t>
  </si>
  <si>
    <t xml:space="preserve">Exploit</t>
  </si>
  <si>
    <t xml:space="preserve">Spam de control_precios o asistencia_alimentaria antes de la elección (BONUS temporales).</t>
  </si>
  <si>
    <t xml:space="preserve">BONUS cortos + rebote + repetición. Además, expectativas adaptativas: el alivio temporal genera expectativa que luego castiga.</t>
  </si>
  <si>
    <t xml:space="preserve">R-09</t>
  </si>
  <si>
    <t xml:space="preserve">Reuniones como compra de relación.</t>
  </si>
  <si>
    <t xml:space="preserve">+2 REL una sola vez y sólo con REL&lt;40; 'reuniones vacías' penalizan.</t>
  </si>
  <si>
    <t xml:space="preserve">R-10</t>
  </si>
  <si>
    <t xml:space="preserve">Transferencias a provincias como compra infinita de Senado.</t>
  </si>
  <si>
    <t xml:space="preserve">Repetición: rendimiento decreciente; costo INST; caja.</t>
  </si>
  <si>
    <t xml:space="preserve">R-11</t>
  </si>
  <si>
    <t xml:space="preserve">Emitir 2 veces cada 6 turnos (justo debajo del umbral) para siempre.</t>
  </si>
  <si>
    <t xml:space="preserve">Cada emisión suma DESANCLAJE +3 (decae 1/turno): 2 cada 6 turnos acumulan desanclaje igual. Verificar en playtest.</t>
  </si>
  <si>
    <t xml:space="preserve">R-12</t>
  </si>
  <si>
    <t xml:space="preserve">Estrategia 'todos contentos' con deuda infinita.</t>
  </si>
  <si>
    <t xml:space="preserve">SOLV derivado + servicio de deuda + condicionalidad FMI + bloqueo de prestamo_local con SOLV&lt;25.</t>
  </si>
  <si>
    <t xml:space="preserve">R-13</t>
  </si>
  <si>
    <t xml:space="preserve">Complejidad</t>
  </si>
  <si>
    <t xml:space="preserve">15 indicadores + 17 actores + ~85 celdas de sensibilidad + 20 reglas estructurales.</t>
  </si>
  <si>
    <t xml:space="preserve">Es el límite superior razonable. Si el playtest confunde: fusionar CIEN→EDUC y AMBI→INST (quedan 13).</t>
  </si>
  <si>
    <t xml:space="preserve">R-14</t>
  </si>
  <si>
    <t xml:space="preserve">Reglas estructurales (01B) pueden producir dinámicas no intuitivas.</t>
  </si>
  <si>
    <t xml:space="preserve">TurnRecord obligatorio: cada cambio de indicador guarda su fuente (acción, regla, canal). La UI debe poder explicar 'por qué'.</t>
  </si>
  <si>
    <t xml:space="preserve">R-15</t>
  </si>
  <si>
    <t xml:space="preserve">Actor redundante</t>
  </si>
  <si>
    <t xml:space="preserve">Estudiantes y Docentes se superponen en EDUC.</t>
  </si>
  <si>
    <t xml:space="preserve">Baja</t>
  </si>
  <si>
    <t xml:space="preserve">Se mantienen: canales distintos (agenda vs días de clase) y docentes miran PODA. Candidatos a fusión si hace falta recortar.</t>
  </si>
  <si>
    <t xml:space="preserve">R-16</t>
  </si>
  <si>
    <t xml:space="preserve">Sectores populares y Org. sociales.</t>
  </si>
  <si>
    <t xml:space="preserve">Uno es electorado no organizado (voto), otro organización (conflicto/contención). Mismo patrón que Clase media vs PyMEs.</t>
  </si>
  <si>
    <t xml:space="preserve">R-17</t>
  </si>
  <si>
    <t xml:space="preserve">Actor discutible</t>
  </si>
  <si>
    <t xml:space="preserve">Fusión Derechos + Cultura.</t>
  </si>
  <si>
    <t xml:space="preserve">DECISIÓN ABIERTA: si Cultura se quiere como actor propio, necesita un indicador o quedará como 'acción → actor' encubierta.</t>
  </si>
  <si>
    <t xml:space="preserve">R-18</t>
  </si>
  <si>
    <t xml:space="preserve">Indicador discutible</t>
  </si>
  <si>
    <t xml:space="preserve">PRES es casi una palanca, no un resultado.</t>
  </si>
  <si>
    <t xml:space="preserve">Se mantiene porque varios actores reaccionan a ella; alternativa: moverla a variable de política visible.</t>
  </si>
  <si>
    <t xml:space="preserve">R-19</t>
  </si>
  <si>
    <t xml:space="preserve">Calibración</t>
  </si>
  <si>
    <t xml:space="preserve">Todos los números son primera calibración; el prototipo de 11_SIMULACIONES usa una versión simplificada del motor.</t>
  </si>
  <si>
    <t xml:space="preserve">Playtest con 3 estrategias extremas (ortodoxa, heterodoxa, 'sin actores') y verificar que ninguna domine.</t>
  </si>
  <si>
    <t xml:space="preserve">R-20</t>
  </si>
  <si>
    <t xml:space="preserve">Expectativas adaptativas pueden volver neutral cualquier logro sostenido.</t>
  </si>
  <si>
    <t xml:space="preserve">Componente absoluto (50%) en la fórmula de satisfacción: inflación 80 siempre es mala.</t>
  </si>
  <si>
    <t xml:space="preserve">R-21</t>
  </si>
  <si>
    <t xml:space="preserve">Decisión humana</t>
  </si>
  <si>
    <t xml:space="preserve">Fórmula final de IV y 'otros componentes'.</t>
  </si>
  <si>
    <t xml:space="preserve">ABIERTA.</t>
  </si>
  <si>
    <t xml:space="preserve">R-22</t>
  </si>
  <si>
    <t xml:space="preserve">Visibilidad de indicadores: ¿el jugador ve números o sólo lo que le dicen los actores?</t>
  </si>
  <si>
    <t xml:space="preserve">Propuesta: los datos públicos reales (INFL, ACTV, PODA, SOLV, SEGU…) visibles; INVC/CIEN/INST/AMBI parciales; sensibilidades y demandas sólo vía reuniones.</t>
  </si>
  <si>
    <t xml:space="preserve">R-23</t>
  </si>
  <si>
    <t xml:space="preserve">Plataforma del oficialismo: ¿se elige al inicio? ¿cuántos indicadores?</t>
  </si>
  <si>
    <t xml:space="preserve">Propuesta: 3 indicadores con signo. Reemplaza a los ejes ideológicos.</t>
  </si>
  <si>
    <t xml:space="preserve">R-24</t>
  </si>
  <si>
    <t xml:space="preserve">Umbral de derrota por GOB (&lt;15 dos turnos) y por hiperinflación.</t>
  </si>
  <si>
    <t xml:space="preserve">R-25</t>
  </si>
  <si>
    <t xml:space="preserve">Cantidad de PA por turno (4) vs cantidad de acciones (57): ¿se muestran todas o por árbol/contexto?</t>
  </si>
  <si>
    <t xml:space="preserve">Propuesta: ~25 visibles al inicio; el resto aparece por árbol, contexto o reunión.</t>
  </si>
  <si>
    <t xml:space="preserve">R-26</t>
  </si>
  <si>
    <t xml:space="preserve">Efectos directos en relación de transparencia_anticorrupcion (oficialismo −5).</t>
  </si>
  <si>
    <t xml:space="preserve">ABIERTA: es defendible como concesión, pero es el caso más cercano a 'acción → grupo'.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</si>
</sst>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;\-0;&quot;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EDE2F6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2F3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2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2F6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cciones" displayName="Acciones" ref="A4:R67" headerRowCount="1" totalsRowCount="0" totalsRowShown="0">
  <autoFilter ref="A4:R67"/>
  <tableColumns count="18">
    <tableColumn id="1" name="actionId"/>
    <tableColumn id="2" name="Nombre"/>
    <tableColumn id="3" name="Descripción"/>
    <tableColumn id="4" name="Categoría UI"/>
    <tableColumn id="5" name="Estado"/>
    <tableColumn id="6" name="Origen (ids actuales)"/>
    <tableColumn id="7" name="Costo PA"/>
    <tableColumn id="8" name="Caja inmediata"/>
    <tableColumn id="9" name="Cooldown"/>
    <tableColumn id="10" name="LEY"/>
    <tableColumn id="11" name="Tags"/>
    <tableColumn id="12" name="Descripción estratégica"/>
    <tableColumn id="13" name="Prerequisitos"/>
    <tableColumn id="14" name="Desbloquea / bonifica"/>
    <tableColumn id="15" name="Riesgos / eventos"/>
    <tableColumn id="16" name="Relación directa"/>
    <tableColumn id="17" name="Notas"/>
    <tableColumn id="18" name="# efectos"/>
  </tableColumns>
</table>
</file>

<file path=xl/tables/table2.xml><?xml version="1.0" encoding="utf-8"?>
<table xmlns="http://schemas.openxmlformats.org/spreadsheetml/2006/main" id="2" name="Actores" displayName="Actores" ref="A4:Q21" headerRowCount="1" totalsRowCount="0" totalsRowShown="0">
  <autoFilter ref="A4:Q21"/>
  <tableColumns count="17">
    <tableColumn id="1" name="actorId"/>
    <tableColumn id="2" name="Nombre"/>
    <tableColumn id="3" name="Familia"/>
    <tableColumn id="4" name="Descripción"/>
    <tableColumn id="5" name="influence"/>
    <tableColumn id="6" name="electoralWeight"/>
    <tableColumn id="7" name="Modo electoral"/>
    <tableColumn id="8" name="% del componente APRO"/>
    <tableColumn id="9" name="interactionDifficulty"/>
    <tableColumn id="10" name="SAT inicial (calc.)"/>
    <tableColumn id="11" name="REL inicial"/>
    <tableColumn id="12" name="Canal principal"/>
    <tableColumn id="13" name="Canal secundario"/>
    <tableColumn id="14" name="Consecuencia SAT alta"/>
    <tableColumn id="15" name="Consecuencia SAT baja"/>
    <tableColumn id="16" name="Notas de balance"/>
    <tableColumn id="17" name="Cambio vs tabla original"/>
  </tableColumns>
</table>
</file>

<file path=xl/tables/table3.xml><?xml version="1.0" encoding="utf-8"?>
<table xmlns="http://schemas.openxmlformats.org/spreadsheetml/2006/main" id="3" name="Arbol" displayName="Arbol" ref="A4:G41" headerRowCount="1" totalsRowCount="0" totalsRowShown="0">
  <autoFilter ref="A4:G41"/>
  <tableColumns count="7">
    <tableColumn id="1" name="Origen"/>
    <tableColumn id="2" name="Destino"/>
    <tableColumn id="3" name="Tipo de condición"/>
    <tableColumn id="4" name="Umbral"/>
    <tableColumn id="5" name="Obligatoria / bonificación"/>
    <tableColumn id="6" name="Efecto de cumplirla"/>
    <tableColumn id="7" name="Explicación"/>
  </tableColumns>
</table>
</file>

<file path=xl/tables/table4.xml><?xml version="1.0" encoding="utf-8"?>
<table xmlns="http://schemas.openxmlformats.org/spreadsheetml/2006/main" id="4" name="Auditoria" displayName="Auditoria" ref="A4:F65" headerRowCount="1" totalsRowCount="0" totalsRowShown="0">
  <autoFilter ref="A4:F65"/>
  <tableColumns count="6">
    <tableColumn id="1" name="idActual"/>
    <tableColumn id="2" name="Nombre actual"/>
    <tableColumn id="3" name="Categoría actual"/>
    <tableColumn id="4" name="Decisión"/>
    <tableColumn id="5" name="Nuevo id"/>
    <tableColumn id="6" name="Justificación"/>
  </tableColumns>
</table>
</file>

<file path=xl/tables/table5.xml><?xml version="1.0" encoding="utf-8"?>
<table xmlns="http://schemas.openxmlformats.org/spreadsheetml/2006/main" id="5" name="Canales" displayName="Canales" ref="A4:F54" headerRowCount="1" totalsRowCount="0" totalsRowShown="0">
  <autoFilter ref="A4:F54"/>
  <tableColumns count="6">
    <tableColumn id="1" name="actorId"/>
    <tableColumn id="2" name="Condición"/>
    <tableColumn id="3" name="Variable / sistema afectado"/>
    <tableColumn id="4" name="Magnitud / concepto"/>
    <tableColumn id="5" name="Tipo"/>
    <tableColumn id="6" name="Explicación"/>
  </tableColumns>
</table>
</file>

<file path=xl/tables/table6.xml><?xml version="1.0" encoding="utf-8"?>
<table xmlns="http://schemas.openxmlformats.org/spreadsheetml/2006/main" id="6" name="Efectos" displayName="Efectos" ref="A4:P306" headerRowCount="1" totalsRowCount="0" totalsRowShown="0">
  <autoFilter ref="A4:P306"/>
  <tableColumns count="16">
    <tableColumn id="1" name="effectId"/>
    <tableColumn id="2" name="actionId"/>
    <tableColumn id="3" name="Objetivo"/>
    <tableColumn id="4" name="Tipo objetivo"/>
    <tableColumn id="5" name="Modo"/>
    <tableColumn id="6" name="Magnitud"/>
    <tableColumn id="7" name="Timing"/>
    <tableColumn id="8" name="Turno inicio (offset)"/>
    <tableColumn id="9" name="Duración"/>
    <tableColumn id="10" name="Tipo de efecto"/>
    <tableColumn id="11" name="Condición"/>
    <tableColumn id="12" name="Evalúa"/>
    <tableColumn id="13" name="Regla de repetición"/>
    <tableColumn id="14" name="Ventana"/>
    <tableColumn id="15" name="Cap / piso"/>
    <tableColumn id="16" name="Explicación"/>
  </tableColumns>
</table>
</file>

<file path=xl/tables/table7.xml><?xml version="1.0" encoding="utf-8"?>
<table xmlns="http://schemas.openxmlformats.org/spreadsheetml/2006/main" id="7" name="Faltantes" displayName="Faltantes" ref="A4:D26" headerRowCount="1" totalsRowCount="0" totalsRowShown="0">
  <autoFilter ref="A4:D26"/>
  <tableColumns count="4">
    <tableColumn id="1" name="actionId"/>
    <tableColumn id="2" name="Función sistémica"/>
    <tableColumn id="3" name="Trade-off que crea"/>
    <tableColumn id="4" name="Prioridad MVP"/>
  </tableColumns>
</table>
</file>

<file path=xl/tables/table8.xml><?xml version="1.0" encoding="utf-8"?>
<table xmlns="http://schemas.openxmlformats.org/spreadsheetml/2006/main" id="8" name="Indicadores" displayName="Indicadores" ref="A4:N19" headerRowCount="1" totalsRowCount="0" totalsRowShown="0">
  <autoFilter ref="A4:N19"/>
  <tableColumns count="14">
    <tableColumn id="1" name="indicatorId"/>
    <tableColumn id="2" name="Nombre"/>
    <tableColumn id="3" name="Categoría macro (visual)"/>
    <tableColumn id="4" name="Definición"/>
    <tableColumn id="5" name="Qué significa ALTO"/>
    <tableColumn id="6" name="Qué significa BAJO"/>
    <tableColumn id="7" name="Escala"/>
    <tableColumn id="8" name="Valor inicial"/>
    <tableColumn id="9" name="Visibilidad"/>
    <tableColumn id="10" name="Importancia MVP"/>
    <tableColumn id="11" name="Tipo"/>
    <tableColumn id="12" name="Políticas que lo mueven"/>
    <tableColumn id="13" name="Interacciones"/>
    <tableColumn id="14" name="Observaciones"/>
  </tableColumns>
</table>
</file>

<file path=xl/tables/table9.xml><?xml version="1.0" encoding="utf-8"?>
<table xmlns="http://schemas.openxmlformats.org/spreadsheetml/2006/main" id="9" name="Matriz" displayName="Matriz" ref="A4:E89" headerRowCount="1" totalsRowCount="0" totalsRowShown="0">
  <autoFilter ref="A4:E89"/>
  <tableColumns count="5">
    <tableColumn id="1" name="actorId"/>
    <tableColumn id="2" name="indicatorId"/>
    <tableColumn id="3" name="sensibilidad"/>
    <tableColumn id="4" name="prioridad"/>
    <tableColumn id="5" name="explicación"/>
  </tableColumns>
</table>
</file>

<file path=xl/tables/table10.xml><?xml version="1.0" encoding="utf-8"?>
<table xmlns="http://schemas.openxmlformats.org/spreadsheetml/2006/main" id="10" name="Reglas" displayName="Reglas" ref="A4:F24" headerRowCount="1" totalsRowCount="0" totalsRowShown="0">
  <autoFilter ref="A4:F24"/>
  <tableColumns count="6">
    <tableColumn id="1" name="ruleId"/>
    <tableColumn id="2" name="Origen"/>
    <tableColumn id="3" name="Destino"/>
    <tableColumn id="4" name="Condición"/>
    <tableColumn id="5" name="Fórmula por turno"/>
    <tableColumn id="6" name="Explicación"/>
  </tableColumns>
</table>
</file>

<file path=xl/tables/table11.xml><?xml version="1.0" encoding="utf-8"?>
<table xmlns="http://schemas.openxmlformats.org/spreadsheetml/2006/main" id="11" name="Riesgos" displayName="Riesgos" ref="A4:E30" headerRowCount="1" totalsRowCount="0" totalsRowShown="0">
  <autoFilter ref="A4:E30"/>
  <tableColumns count="5">
    <tableColumn id="1" name="id"/>
    <tableColumn id="2" name="Tipo"/>
    <tableColumn id="3" name="Descripción"/>
    <tableColumn id="4" name="Severidad"/>
    <tableColumn id="5" name="Mitigación / decisió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B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23.8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5"/>
      <c r="B11" s="6"/>
    </row>
    <row r="12" customFormat="false" ht="15" hidden="false" customHeight="false" outlineLevel="0" collapsed="false">
      <c r="A12" s="3" t="s">
        <v>15</v>
      </c>
      <c r="B12" s="4"/>
    </row>
    <row r="13" customFormat="false" ht="15" hidden="false" customHeight="false" outlineLevel="0" collapsed="false">
      <c r="A13" s="5" t="s">
        <v>16</v>
      </c>
      <c r="B13" s="6" t="s">
        <v>17</v>
      </c>
    </row>
    <row r="14" customFormat="false" ht="23.85" hidden="false" customHeight="false" outlineLevel="0" collapsed="false">
      <c r="A14" s="5" t="s">
        <v>18</v>
      </c>
      <c r="B14" s="6" t="s">
        <v>19</v>
      </c>
    </row>
    <row r="15" customFormat="false" ht="23.85" hidden="false" customHeight="false" outlineLevel="0" collapsed="false">
      <c r="A15" s="5" t="s">
        <v>20</v>
      </c>
      <c r="B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</row>
    <row r="17" customFormat="false" ht="1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5" t="s">
        <v>28</v>
      </c>
      <c r="B19" s="6" t="s">
        <v>29</v>
      </c>
    </row>
    <row r="20" customFormat="false" ht="23.85" hidden="false" customHeight="false" outlineLevel="0" collapsed="false">
      <c r="A20" s="5" t="s">
        <v>30</v>
      </c>
      <c r="B20" s="6" t="s">
        <v>31</v>
      </c>
    </row>
    <row r="21" customFormat="false" ht="15" hidden="false" customHeight="false" outlineLevel="0" collapsed="false">
      <c r="A21" s="5" t="s">
        <v>32</v>
      </c>
      <c r="B21" s="6" t="s">
        <v>33</v>
      </c>
    </row>
    <row r="22" customFormat="false" ht="15" hidden="false" customHeight="false" outlineLevel="0" collapsed="false">
      <c r="A22" s="5" t="s">
        <v>34</v>
      </c>
      <c r="B22" s="6" t="s">
        <v>35</v>
      </c>
    </row>
    <row r="23" customFormat="false" ht="15" hidden="false" customHeight="false" outlineLevel="0" collapsed="false">
      <c r="A23" s="5"/>
      <c r="B23" s="6"/>
    </row>
    <row r="24" customFormat="false" ht="15" hidden="false" customHeight="false" outlineLevel="0" collapsed="false">
      <c r="A24" s="3" t="s">
        <v>36</v>
      </c>
      <c r="B24" s="4"/>
    </row>
    <row r="25" customFormat="false" ht="15" hidden="false" customHeight="false" outlineLevel="0" collapsed="false">
      <c r="A25" s="5" t="s">
        <v>37</v>
      </c>
      <c r="B25" s="6" t="s">
        <v>38</v>
      </c>
    </row>
    <row r="26" customFormat="false" ht="15" hidden="false" customHeight="false" outlineLevel="0" collapsed="false">
      <c r="A26" s="5" t="s">
        <v>39</v>
      </c>
      <c r="B26" s="6" t="s">
        <v>40</v>
      </c>
    </row>
    <row r="27" customFormat="false" ht="15" hidden="false" customHeight="false" outlineLevel="0" collapsed="false">
      <c r="A27" s="5" t="s">
        <v>41</v>
      </c>
      <c r="B27" s="6" t="s">
        <v>42</v>
      </c>
    </row>
    <row r="28" customFormat="false" ht="15" hidden="false" customHeight="false" outlineLevel="0" collapsed="false">
      <c r="A28" s="5" t="s">
        <v>43</v>
      </c>
      <c r="B28" s="6" t="s">
        <v>44</v>
      </c>
    </row>
    <row r="29" customFormat="false" ht="15" hidden="false" customHeight="false" outlineLevel="0" collapsed="false">
      <c r="A29" s="5" t="s">
        <v>45</v>
      </c>
      <c r="B29" s="6" t="s">
        <v>46</v>
      </c>
    </row>
    <row r="30" customFormat="false" ht="15" hidden="false" customHeight="false" outlineLevel="0" collapsed="false">
      <c r="A30" s="5"/>
      <c r="B30" s="6"/>
    </row>
    <row r="31" customFormat="false" ht="15" hidden="false" customHeight="false" outlineLevel="0" collapsed="false">
      <c r="A31" s="3" t="s">
        <v>47</v>
      </c>
      <c r="B31" s="4"/>
    </row>
    <row r="32" customFormat="false" ht="15" hidden="false" customHeight="false" outlineLevel="0" collapsed="false">
      <c r="A32" s="5" t="s">
        <v>48</v>
      </c>
      <c r="B32" s="6" t="s">
        <v>49</v>
      </c>
    </row>
    <row r="33" customFormat="false" ht="23.85" hidden="false" customHeight="false" outlineLevel="0" collapsed="false">
      <c r="A33" s="5" t="s">
        <v>50</v>
      </c>
      <c r="B33" s="6" t="s">
        <v>51</v>
      </c>
    </row>
    <row r="34" customFormat="false" ht="23.85" hidden="false" customHeight="false" outlineLevel="0" collapsed="false">
      <c r="A34" s="5" t="s">
        <v>52</v>
      </c>
      <c r="B34" s="6" t="s">
        <v>53</v>
      </c>
    </row>
    <row r="35" customFormat="false" ht="15" hidden="false" customHeight="false" outlineLevel="0" collapsed="false">
      <c r="A35" s="5"/>
      <c r="B35" s="6"/>
    </row>
    <row r="36" customFormat="false" ht="15" hidden="false" customHeight="false" outlineLevel="0" collapsed="false">
      <c r="A36" s="3" t="s">
        <v>54</v>
      </c>
      <c r="B36" s="4"/>
    </row>
    <row r="37" customFormat="false" ht="15" hidden="false" customHeight="false" outlineLevel="0" collapsed="false">
      <c r="A37" s="5" t="s">
        <v>55</v>
      </c>
      <c r="B37" s="6" t="s">
        <v>56</v>
      </c>
    </row>
    <row r="38" customFormat="false" ht="15" hidden="false" customHeight="false" outlineLevel="0" collapsed="false">
      <c r="A38" s="5" t="s">
        <v>57</v>
      </c>
      <c r="B38" s="6" t="s">
        <v>58</v>
      </c>
    </row>
    <row r="39" customFormat="false" ht="15" hidden="false" customHeight="false" outlineLevel="0" collapsed="false">
      <c r="A39" s="5" t="s">
        <v>59</v>
      </c>
      <c r="B39" s="6" t="s">
        <v>60</v>
      </c>
    </row>
    <row r="40" customFormat="false" ht="23.85" hidden="false" customHeight="false" outlineLevel="0" collapsed="false">
      <c r="A40" s="5" t="s">
        <v>61</v>
      </c>
      <c r="B40" s="6" t="s">
        <v>62</v>
      </c>
    </row>
    <row r="41" customFormat="false" ht="15" hidden="false" customHeight="false" outlineLevel="0" collapsed="false">
      <c r="A41" s="5" t="s">
        <v>63</v>
      </c>
      <c r="B41" s="6" t="s">
        <v>64</v>
      </c>
    </row>
    <row r="42" customFormat="false" ht="15" hidden="false" customHeight="false" outlineLevel="0" collapsed="false">
      <c r="A42" s="5" t="s">
        <v>65</v>
      </c>
      <c r="B42" s="6" t="s">
        <v>66</v>
      </c>
    </row>
    <row r="43" customFormat="false" ht="15" hidden="false" customHeight="false" outlineLevel="0" collapsed="false">
      <c r="A43" s="5"/>
      <c r="B43" s="6"/>
    </row>
    <row r="44" customFormat="false" ht="15" hidden="false" customHeight="false" outlineLevel="0" collapsed="false">
      <c r="A44" s="3" t="s">
        <v>67</v>
      </c>
      <c r="B44" s="4"/>
    </row>
    <row r="45" customFormat="false" ht="23.85" hidden="false" customHeight="false" outlineLevel="0" collapsed="false">
      <c r="A45" s="5" t="s">
        <v>68</v>
      </c>
      <c r="B45" s="6" t="s">
        <v>69</v>
      </c>
    </row>
    <row r="46" customFormat="false" ht="23.85" hidden="false" customHeight="false" outlineLevel="0" collapsed="false">
      <c r="A46" s="5" t="s">
        <v>70</v>
      </c>
      <c r="B46" s="6" t="s">
        <v>71</v>
      </c>
    </row>
    <row r="47" customFormat="false" ht="15" hidden="false" customHeight="false" outlineLevel="0" collapsed="false">
      <c r="A47" s="5" t="s">
        <v>72</v>
      </c>
      <c r="B47" s="6" t="s">
        <v>73</v>
      </c>
    </row>
    <row r="48" customFormat="false" ht="15" hidden="false" customHeight="false" outlineLevel="0" collapsed="false">
      <c r="A48" s="5" t="s">
        <v>74</v>
      </c>
      <c r="B48" s="6" t="s">
        <v>75</v>
      </c>
    </row>
    <row r="49" customFormat="false" ht="15" hidden="false" customHeight="false" outlineLevel="0" collapsed="false">
      <c r="A49" s="5" t="s">
        <v>76</v>
      </c>
      <c r="B49" s="6" t="s">
        <v>77</v>
      </c>
    </row>
    <row r="50" customFormat="false" ht="23.85" hidden="false" customHeight="false" outlineLevel="0" collapsed="false">
      <c r="A50" s="5" t="s">
        <v>78</v>
      </c>
      <c r="B50" s="6" t="s">
        <v>79</v>
      </c>
    </row>
    <row r="51" customFormat="false" ht="15" hidden="false" customHeight="false" outlineLevel="0" collapsed="false">
      <c r="A51" s="5" t="s">
        <v>80</v>
      </c>
      <c r="B51" s="6" t="s">
        <v>81</v>
      </c>
    </row>
    <row r="52" customFormat="false" ht="15" hidden="false" customHeight="false" outlineLevel="0" collapsed="false">
      <c r="A52" s="5" t="s">
        <v>82</v>
      </c>
      <c r="B52" s="6" t="s">
        <v>83</v>
      </c>
    </row>
    <row r="53" customFormat="false" ht="15" hidden="false" customHeight="false" outlineLevel="0" collapsed="false">
      <c r="A53" s="5" t="s">
        <v>84</v>
      </c>
      <c r="B53" s="6" t="s">
        <v>85</v>
      </c>
    </row>
    <row r="54" customFormat="false" ht="15" hidden="false" customHeight="false" outlineLevel="0" collapsed="false">
      <c r="A54" s="5" t="s">
        <v>86</v>
      </c>
      <c r="B54" s="6" t="s">
        <v>87</v>
      </c>
    </row>
    <row r="55" customFormat="false" ht="15" hidden="false" customHeight="false" outlineLevel="0" collapsed="false">
      <c r="A55" s="5"/>
      <c r="B55" s="6"/>
    </row>
    <row r="56" customFormat="false" ht="15" hidden="false" customHeight="false" outlineLevel="0" collapsed="false">
      <c r="A56" s="5" t="s">
        <v>88</v>
      </c>
      <c r="B56" s="6" t="s">
        <v>89</v>
      </c>
    </row>
    <row r="57" customFormat="false" ht="15" hidden="false" customHeight="false" outlineLevel="0" collapsed="false">
      <c r="A57" s="5"/>
      <c r="B57" s="6"/>
    </row>
    <row r="58" customFormat="false" ht="15" hidden="false" customHeight="false" outlineLevel="0" collapsed="false">
      <c r="A58" s="3" t="s">
        <v>90</v>
      </c>
      <c r="B58" s="4"/>
    </row>
    <row r="59" customFormat="false" ht="15" hidden="false" customHeight="false" outlineLevel="0" collapsed="false">
      <c r="A59" s="5" t="s">
        <v>91</v>
      </c>
      <c r="B59" s="6" t="s">
        <v>92</v>
      </c>
    </row>
    <row r="60" customFormat="false" ht="15" hidden="false" customHeight="false" outlineLevel="0" collapsed="false">
      <c r="A60" s="5" t="s">
        <v>93</v>
      </c>
      <c r="B60" s="6" t="s">
        <v>94</v>
      </c>
    </row>
    <row r="61" customFormat="false" ht="15" hidden="false" customHeight="false" outlineLevel="0" collapsed="false">
      <c r="A61" s="5" t="s">
        <v>95</v>
      </c>
      <c r="B61" s="6" t="s">
        <v>96</v>
      </c>
    </row>
    <row r="62" customFormat="false" ht="15" hidden="false" customHeight="false" outlineLevel="0" collapsed="false">
      <c r="A62" s="5" t="s">
        <v>97</v>
      </c>
      <c r="B62" s="6" t="s">
        <v>98</v>
      </c>
    </row>
    <row r="63" customFormat="false" ht="15" hidden="false" customHeight="false" outlineLevel="0" collapsed="false">
      <c r="A63" s="5" t="s">
        <v>99</v>
      </c>
      <c r="B63" s="6" t="s">
        <v>100</v>
      </c>
    </row>
    <row r="64" customFormat="false" ht="15" hidden="false" customHeight="false" outlineLevel="0" collapsed="false">
      <c r="A64" s="5" t="s">
        <v>101</v>
      </c>
      <c r="B64" s="6" t="s">
        <v>102</v>
      </c>
    </row>
    <row r="65" customFormat="false" ht="15" hidden="false" customHeight="false" outlineLevel="0" collapsed="false">
      <c r="A65" s="5" t="s">
        <v>103</v>
      </c>
      <c r="B65" s="6" t="s">
        <v>104</v>
      </c>
    </row>
    <row r="66" customFormat="false" ht="15" hidden="false" customHeight="false" outlineLevel="0" collapsed="false">
      <c r="A66" s="5" t="s">
        <v>105</v>
      </c>
      <c r="B66" s="6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0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3" t="s">
        <v>109</v>
      </c>
      <c r="B4" s="4"/>
    </row>
    <row r="5" customFormat="false" ht="15" hidden="false" customHeight="false" outlineLevel="0" collapsed="false">
      <c r="A5" s="5" t="s">
        <v>110</v>
      </c>
      <c r="B5" s="6" t="s">
        <v>111</v>
      </c>
    </row>
    <row r="6" customFormat="false" ht="15" hidden="false" customHeight="false" outlineLevel="0" collapsed="false">
      <c r="A6" s="5" t="s">
        <v>112</v>
      </c>
      <c r="B6" s="6" t="s">
        <v>113</v>
      </c>
    </row>
    <row r="7" customFormat="false" ht="15" hidden="false" customHeight="false" outlineLevel="0" collapsed="false">
      <c r="A7" s="5" t="s">
        <v>114</v>
      </c>
      <c r="B7" s="6" t="s">
        <v>115</v>
      </c>
    </row>
    <row r="8" customFormat="false" ht="23.85" hidden="false" customHeight="false" outlineLevel="0" collapsed="false">
      <c r="A8" s="5" t="s">
        <v>116</v>
      </c>
      <c r="B8" s="6" t="s">
        <v>117</v>
      </c>
    </row>
    <row r="9" customFormat="false" ht="15" hidden="false" customHeight="false" outlineLevel="0" collapsed="false">
      <c r="A9" s="5" t="s">
        <v>118</v>
      </c>
      <c r="B9" s="6" t="s">
        <v>119</v>
      </c>
    </row>
    <row r="10" customFormat="false" ht="23.85" hidden="false" customHeight="false" outlineLevel="0" collapsed="false">
      <c r="A10" s="5" t="s">
        <v>120</v>
      </c>
      <c r="B10" s="6" t="s">
        <v>121</v>
      </c>
    </row>
    <row r="11" customFormat="false" ht="15" hidden="false" customHeight="false" outlineLevel="0" collapsed="false">
      <c r="A11" s="5"/>
      <c r="B11" s="6"/>
    </row>
    <row r="12" customFormat="false" ht="15" hidden="false" customHeight="false" outlineLevel="0" collapsed="false">
      <c r="A12" s="3" t="s">
        <v>122</v>
      </c>
      <c r="B12" s="4"/>
    </row>
    <row r="13" customFormat="false" ht="15" hidden="false" customHeight="false" outlineLevel="0" collapsed="false">
      <c r="A13" s="5" t="s">
        <v>123</v>
      </c>
      <c r="B13" s="6" t="s">
        <v>124</v>
      </c>
    </row>
    <row r="14" customFormat="false" ht="15" hidden="false" customHeight="false" outlineLevel="0" collapsed="false">
      <c r="A14" s="5" t="s">
        <v>125</v>
      </c>
      <c r="B14" s="6" t="s">
        <v>126</v>
      </c>
    </row>
    <row r="15" customFormat="false" ht="15" hidden="false" customHeight="false" outlineLevel="0" collapsed="false">
      <c r="A15" s="5" t="s">
        <v>127</v>
      </c>
      <c r="B15" s="6" t="s">
        <v>128</v>
      </c>
    </row>
    <row r="16" customFormat="false" ht="15" hidden="false" customHeight="false" outlineLevel="0" collapsed="false">
      <c r="A16" s="5" t="s">
        <v>129</v>
      </c>
      <c r="B16" s="6" t="s">
        <v>130</v>
      </c>
    </row>
    <row r="17" customFormat="false" ht="15" hidden="false" customHeight="false" outlineLevel="0" collapsed="false">
      <c r="A17" s="5"/>
      <c r="B17" s="6"/>
    </row>
    <row r="18" customFormat="false" ht="15" hidden="false" customHeight="false" outlineLevel="0" collapsed="false">
      <c r="A18" s="3" t="s">
        <v>131</v>
      </c>
      <c r="B18" s="4"/>
    </row>
    <row r="19" customFormat="false" ht="15" hidden="false" customHeight="false" outlineLevel="0" collapsed="false">
      <c r="A19" s="5" t="s">
        <v>132</v>
      </c>
      <c r="B19" s="6" t="s">
        <v>133</v>
      </c>
    </row>
    <row r="20" customFormat="false" ht="15" hidden="false" customHeight="false" outlineLevel="0" collapsed="false">
      <c r="A20" s="5" t="s">
        <v>134</v>
      </c>
      <c r="B20" s="6" t="s">
        <v>135</v>
      </c>
    </row>
    <row r="21" customFormat="false" ht="15" hidden="false" customHeight="false" outlineLevel="0" collapsed="false">
      <c r="A21" s="5" t="s">
        <v>136</v>
      </c>
      <c r="B21" s="6" t="s">
        <v>137</v>
      </c>
    </row>
    <row r="22" customFormat="false" ht="23.85" hidden="false" customHeight="false" outlineLevel="0" collapsed="false">
      <c r="A22" s="5" t="s">
        <v>138</v>
      </c>
      <c r="B22" s="6" t="s">
        <v>139</v>
      </c>
    </row>
    <row r="23" customFormat="false" ht="15" hidden="false" customHeight="false" outlineLevel="0" collapsed="false">
      <c r="A23" s="5" t="s">
        <v>140</v>
      </c>
      <c r="B23" s="6" t="s">
        <v>141</v>
      </c>
    </row>
    <row r="24" customFormat="false" ht="15" hidden="false" customHeight="false" outlineLevel="0" collapsed="false">
      <c r="A24" s="5"/>
      <c r="B24" s="6"/>
    </row>
    <row r="25" customFormat="false" ht="15" hidden="false" customHeight="false" outlineLevel="0" collapsed="false">
      <c r="A25" s="3" t="s">
        <v>142</v>
      </c>
      <c r="B25" s="4"/>
    </row>
    <row r="26" customFormat="false" ht="15" hidden="false" customHeight="false" outlineLevel="0" collapsed="false">
      <c r="A26" s="5" t="s">
        <v>143</v>
      </c>
      <c r="B26" s="6" t="s">
        <v>144</v>
      </c>
    </row>
    <row r="27" customFormat="false" ht="15" hidden="false" customHeight="false" outlineLevel="0" collapsed="false">
      <c r="A27" s="5" t="s">
        <v>145</v>
      </c>
      <c r="B27" s="6" t="s">
        <v>146</v>
      </c>
    </row>
    <row r="28" customFormat="false" ht="15" hidden="false" customHeight="false" outlineLevel="0" collapsed="false">
      <c r="A28" s="5" t="s">
        <v>147</v>
      </c>
      <c r="B28" s="6" t="s">
        <v>148</v>
      </c>
    </row>
    <row r="29" customFormat="false" ht="15" hidden="false" customHeight="false" outlineLevel="0" collapsed="false">
      <c r="A29" s="5" t="s">
        <v>149</v>
      </c>
      <c r="B29" s="6" t="s">
        <v>150</v>
      </c>
    </row>
    <row r="30" customFormat="false" ht="15" hidden="false" customHeight="false" outlineLevel="0" collapsed="false">
      <c r="A30" s="5"/>
      <c r="B30" s="6"/>
    </row>
    <row r="31" customFormat="false" ht="15" hidden="false" customHeight="false" outlineLevel="0" collapsed="false">
      <c r="A31" s="3" t="s">
        <v>151</v>
      </c>
      <c r="B31" s="4"/>
    </row>
    <row r="32" customFormat="false" ht="15" hidden="false" customHeight="false" outlineLevel="0" collapsed="false">
      <c r="A32" s="5" t="s">
        <v>152</v>
      </c>
      <c r="B32" s="6" t="s">
        <v>153</v>
      </c>
    </row>
    <row r="33" customFormat="false" ht="15" hidden="false" customHeight="false" outlineLevel="0" collapsed="false">
      <c r="A33" s="5" t="s">
        <v>154</v>
      </c>
      <c r="B33" s="6" t="s">
        <v>155</v>
      </c>
    </row>
    <row r="34" customFormat="false" ht="15" hidden="false" customHeight="false" outlineLevel="0" collapsed="false">
      <c r="A34" s="5" t="s">
        <v>156</v>
      </c>
      <c r="B34" s="6" t="s">
        <v>157</v>
      </c>
    </row>
    <row r="35" customFormat="false" ht="15" hidden="false" customHeight="false" outlineLevel="0" collapsed="false">
      <c r="A35" s="5" t="s">
        <v>158</v>
      </c>
      <c r="B35" s="6" t="s">
        <v>159</v>
      </c>
    </row>
    <row r="36" customFormat="false" ht="15" hidden="false" customHeight="false" outlineLevel="0" collapsed="false">
      <c r="A36" s="5" t="s">
        <v>160</v>
      </c>
      <c r="B36" s="6" t="s">
        <v>161</v>
      </c>
    </row>
    <row r="37" customFormat="false" ht="15" hidden="false" customHeight="false" outlineLevel="0" collapsed="false">
      <c r="A37" s="5" t="s">
        <v>162</v>
      </c>
      <c r="B37" s="6" t="s">
        <v>163</v>
      </c>
    </row>
    <row r="38" customFormat="false" ht="15" hidden="false" customHeight="false" outlineLevel="0" collapsed="false">
      <c r="A38" s="5" t="s">
        <v>164</v>
      </c>
      <c r="B38" s="6" t="s">
        <v>165</v>
      </c>
    </row>
    <row r="39" customFormat="false" ht="15" hidden="false" customHeight="false" outlineLevel="0" collapsed="false">
      <c r="A39" s="5" t="s">
        <v>166</v>
      </c>
      <c r="B39" s="6" t="s">
        <v>167</v>
      </c>
    </row>
    <row r="41" customFormat="false" ht="15" hidden="false" customHeight="false" outlineLevel="0" collapsed="false">
      <c r="A41" s="3" t="s">
        <v>168</v>
      </c>
      <c r="B41" s="4"/>
      <c r="C41" s="4"/>
      <c r="D41" s="4"/>
    </row>
    <row r="42" customFormat="false" ht="15" hidden="false" customHeight="false" outlineLevel="0" collapsed="false">
      <c r="A42" s="7" t="s">
        <v>169</v>
      </c>
      <c r="B42" s="7" t="s">
        <v>170</v>
      </c>
      <c r="C42" s="7" t="s">
        <v>171</v>
      </c>
      <c r="D42" s="7" t="s">
        <v>172</v>
      </c>
    </row>
    <row r="43" customFormat="false" ht="23.85" hidden="false" customHeight="false" outlineLevel="0" collapsed="false">
      <c r="A43" s="6" t="s">
        <v>173</v>
      </c>
      <c r="B43" s="8" t="n">
        <v>4</v>
      </c>
      <c r="C43" s="6" t="s">
        <v>174</v>
      </c>
      <c r="D43" s="6" t="s">
        <v>175</v>
      </c>
    </row>
    <row r="44" customFormat="false" ht="23.85" hidden="false" customHeight="false" outlineLevel="0" collapsed="false">
      <c r="A44" s="6" t="s">
        <v>176</v>
      </c>
      <c r="B44" s="8" t="n">
        <v>16</v>
      </c>
      <c r="C44" s="6" t="s">
        <v>177</v>
      </c>
      <c r="D44" s="6" t="s">
        <v>178</v>
      </c>
    </row>
    <row r="45" customFormat="false" ht="23.85" hidden="false" customHeight="false" outlineLevel="0" collapsed="false">
      <c r="A45" s="6" t="s">
        <v>179</v>
      </c>
      <c r="B45" s="8" t="n">
        <v>1</v>
      </c>
      <c r="C45" s="6" t="s">
        <v>180</v>
      </c>
      <c r="D45" s="6" t="s">
        <v>181</v>
      </c>
    </row>
    <row r="46" customFormat="false" ht="15" hidden="false" customHeight="false" outlineLevel="0" collapsed="false">
      <c r="A46" s="6" t="s">
        <v>182</v>
      </c>
      <c r="B46" s="8" t="n">
        <v>1000</v>
      </c>
      <c r="C46" s="6" t="s">
        <v>183</v>
      </c>
      <c r="D46" s="6" t="s">
        <v>184</v>
      </c>
    </row>
    <row r="47" customFormat="false" ht="23.85" hidden="false" customHeight="false" outlineLevel="0" collapsed="false">
      <c r="A47" s="6" t="s">
        <v>185</v>
      </c>
      <c r="B47" s="8" t="n">
        <v>900</v>
      </c>
      <c r="C47" s="6" t="s">
        <v>186</v>
      </c>
      <c r="D47" s="6" t="s">
        <v>187</v>
      </c>
    </row>
    <row r="48" customFormat="false" ht="15" hidden="false" customHeight="false" outlineLevel="0" collapsed="false">
      <c r="A48" s="6" t="s">
        <v>188</v>
      </c>
      <c r="B48" s="8" t="n">
        <v>3000</v>
      </c>
      <c r="C48" s="6" t="s">
        <v>189</v>
      </c>
      <c r="D48" s="6" t="s">
        <v>187</v>
      </c>
    </row>
    <row r="49" customFormat="false" ht="15" hidden="false" customHeight="false" outlineLevel="0" collapsed="false">
      <c r="A49" s="6" t="s">
        <v>190</v>
      </c>
      <c r="B49" s="8" t="n">
        <v>0.05</v>
      </c>
      <c r="C49" s="6" t="s">
        <v>191</v>
      </c>
      <c r="D49" s="6" t="s">
        <v>187</v>
      </c>
    </row>
    <row r="50" customFormat="false" ht="15" hidden="false" customHeight="false" outlineLevel="0" collapsed="false">
      <c r="A50" s="6" t="s">
        <v>192</v>
      </c>
      <c r="B50" s="8" t="n">
        <v>1500</v>
      </c>
      <c r="C50" s="6" t="s">
        <v>193</v>
      </c>
      <c r="D50" s="6" t="s">
        <v>187</v>
      </c>
    </row>
    <row r="51" customFormat="false" ht="15" hidden="false" customHeight="false" outlineLevel="0" collapsed="false">
      <c r="A51" s="6" t="s">
        <v>194</v>
      </c>
      <c r="B51" s="8" t="n">
        <v>0.4</v>
      </c>
      <c r="C51" s="6" t="s">
        <v>195</v>
      </c>
      <c r="D51" s="6" t="s">
        <v>196</v>
      </c>
    </row>
    <row r="52" customFormat="false" ht="15" hidden="false" customHeight="false" outlineLevel="0" collapsed="false">
      <c r="A52" s="6" t="s">
        <v>197</v>
      </c>
      <c r="B52" s="8" t="n">
        <v>0.1</v>
      </c>
      <c r="C52" s="6" t="s">
        <v>198</v>
      </c>
      <c r="D52" s="6" t="s">
        <v>199</v>
      </c>
    </row>
    <row r="53" customFormat="false" ht="15" hidden="false" customHeight="false" outlineLevel="0" collapsed="false">
      <c r="A53" s="6" t="s">
        <v>200</v>
      </c>
      <c r="B53" s="8" t="n">
        <v>20</v>
      </c>
      <c r="C53" s="6" t="s">
        <v>201</v>
      </c>
      <c r="D53" s="6" t="s">
        <v>202</v>
      </c>
    </row>
    <row r="54" customFormat="false" ht="23.85" hidden="false" customHeight="false" outlineLevel="0" collapsed="false">
      <c r="A54" s="6" t="s">
        <v>203</v>
      </c>
      <c r="B54" s="8" t="n">
        <v>50</v>
      </c>
      <c r="C54" s="6" t="s">
        <v>204</v>
      </c>
      <c r="D54" s="6" t="s">
        <v>205</v>
      </c>
    </row>
    <row r="55" customFormat="false" ht="15" hidden="false" customHeight="false" outlineLevel="0" collapsed="false">
      <c r="A55" s="6" t="s">
        <v>206</v>
      </c>
      <c r="B55" s="8" t="n">
        <v>3</v>
      </c>
      <c r="C55" s="6" t="s">
        <v>207</v>
      </c>
      <c r="D55" s="6" t="s">
        <v>181</v>
      </c>
    </row>
    <row r="56" customFormat="false" ht="15" hidden="false" customHeight="false" outlineLevel="0" collapsed="false">
      <c r="A56" s="6" t="s">
        <v>208</v>
      </c>
      <c r="B56" s="8" t="n">
        <v>0.65</v>
      </c>
      <c r="C56" s="6" t="s">
        <v>209</v>
      </c>
      <c r="D56" s="6" t="s">
        <v>210</v>
      </c>
    </row>
    <row r="57" customFormat="false" ht="23.85" hidden="false" customHeight="false" outlineLevel="0" collapsed="false">
      <c r="A57" s="6" t="s">
        <v>211</v>
      </c>
      <c r="B57" s="8" t="n">
        <v>0.1</v>
      </c>
      <c r="C57" s="6" t="s">
        <v>212</v>
      </c>
      <c r="D57" s="6" t="s">
        <v>213</v>
      </c>
    </row>
    <row r="58" customFormat="false" ht="23.85" hidden="false" customHeight="false" outlineLevel="0" collapsed="false">
      <c r="A58" s="6" t="s">
        <v>214</v>
      </c>
      <c r="B58" s="8" t="n">
        <v>0.25</v>
      </c>
      <c r="C58" s="6" t="s">
        <v>215</v>
      </c>
      <c r="D58" s="6" t="s">
        <v>216</v>
      </c>
    </row>
    <row r="59" customFormat="false" ht="15" hidden="false" customHeight="false" outlineLevel="0" collapsed="false">
      <c r="A59" s="9" t="s">
        <v>217</v>
      </c>
      <c r="B59" s="10" t="n">
        <f aca="false">B56+B57+B58</f>
        <v>1</v>
      </c>
      <c r="C59" s="10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6" min="5" style="0" width="34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11"/>
    <col collapsed="false" customWidth="true" hidden="false" outlineLevel="0" max="11" min="11" style="0" width="18"/>
    <col collapsed="false" customWidth="true" hidden="false" outlineLevel="0" max="13" min="12" style="0" width="40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23.85" hidden="false" customHeight="false" outlineLevel="0" collapsed="false">
      <c r="A4" s="11" t="s">
        <v>221</v>
      </c>
      <c r="B4" s="11" t="s">
        <v>222</v>
      </c>
      <c r="C4" s="11" t="s">
        <v>223</v>
      </c>
      <c r="D4" s="11" t="s">
        <v>224</v>
      </c>
      <c r="E4" s="11" t="s">
        <v>225</v>
      </c>
      <c r="F4" s="11" t="s">
        <v>226</v>
      </c>
      <c r="G4" s="11" t="s">
        <v>227</v>
      </c>
      <c r="H4" s="11" t="s">
        <v>228</v>
      </c>
      <c r="I4" s="11" t="s">
        <v>229</v>
      </c>
      <c r="J4" s="11" t="s">
        <v>230</v>
      </c>
      <c r="K4" s="11" t="s">
        <v>231</v>
      </c>
      <c r="L4" s="11" t="s">
        <v>232</v>
      </c>
      <c r="M4" s="11" t="s">
        <v>233</v>
      </c>
      <c r="N4" s="11" t="s">
        <v>234</v>
      </c>
    </row>
    <row r="5" customFormat="false" ht="46.25" hidden="false" customHeight="false" outlineLevel="0" collapsed="false">
      <c r="A5" s="12" t="s">
        <v>235</v>
      </c>
      <c r="B5" s="12" t="s">
        <v>236</v>
      </c>
      <c r="C5" s="12" t="s">
        <v>237</v>
      </c>
      <c r="D5" s="12" t="s">
        <v>238</v>
      </c>
      <c r="E5" s="12" t="s">
        <v>239</v>
      </c>
      <c r="F5" s="12" t="s">
        <v>240</v>
      </c>
      <c r="G5" s="12" t="s">
        <v>241</v>
      </c>
      <c r="H5" s="13" t="n">
        <v>58</v>
      </c>
      <c r="I5" s="12" t="s">
        <v>242</v>
      </c>
      <c r="J5" s="12" t="s">
        <v>243</v>
      </c>
      <c r="K5" s="12" t="s">
        <v>244</v>
      </c>
      <c r="L5" s="12" t="s">
        <v>245</v>
      </c>
      <c r="M5" s="12" t="s">
        <v>246</v>
      </c>
      <c r="N5" s="12" t="s">
        <v>247</v>
      </c>
    </row>
    <row r="6" customFormat="false" ht="46.25" hidden="false" customHeight="false" outlineLevel="0" collapsed="false">
      <c r="A6" s="12" t="s">
        <v>248</v>
      </c>
      <c r="B6" s="12" t="s">
        <v>249</v>
      </c>
      <c r="C6" s="12" t="s">
        <v>237</v>
      </c>
      <c r="D6" s="12" t="s">
        <v>250</v>
      </c>
      <c r="E6" s="12" t="s">
        <v>251</v>
      </c>
      <c r="F6" s="12" t="s">
        <v>252</v>
      </c>
      <c r="G6" s="12" t="s">
        <v>253</v>
      </c>
      <c r="H6" s="13" t="n">
        <v>45</v>
      </c>
      <c r="I6" s="12" t="s">
        <v>254</v>
      </c>
      <c r="J6" s="12" t="s">
        <v>243</v>
      </c>
      <c r="K6" s="12" t="s">
        <v>244</v>
      </c>
      <c r="L6" s="12" t="s">
        <v>255</v>
      </c>
      <c r="M6" s="12" t="s">
        <v>256</v>
      </c>
      <c r="N6" s="12" t="s">
        <v>257</v>
      </c>
    </row>
    <row r="7" customFormat="false" ht="35.05" hidden="false" customHeight="false" outlineLevel="0" collapsed="false">
      <c r="A7" s="12" t="s">
        <v>258</v>
      </c>
      <c r="B7" s="12" t="s">
        <v>259</v>
      </c>
      <c r="C7" s="12" t="s">
        <v>237</v>
      </c>
      <c r="D7" s="12" t="s">
        <v>260</v>
      </c>
      <c r="E7" s="12" t="s">
        <v>261</v>
      </c>
      <c r="F7" s="12" t="s">
        <v>262</v>
      </c>
      <c r="G7" s="12" t="s">
        <v>263</v>
      </c>
      <c r="H7" s="13" t="n">
        <v>42</v>
      </c>
      <c r="I7" s="12" t="s">
        <v>254</v>
      </c>
      <c r="J7" s="12" t="s">
        <v>243</v>
      </c>
      <c r="K7" s="12" t="s">
        <v>244</v>
      </c>
      <c r="L7" s="12" t="s">
        <v>264</v>
      </c>
      <c r="M7" s="12" t="s">
        <v>265</v>
      </c>
      <c r="N7" s="12" t="s">
        <v>266</v>
      </c>
    </row>
    <row r="8" customFormat="false" ht="57.45" hidden="false" customHeight="false" outlineLevel="0" collapsed="false">
      <c r="A8" s="12" t="s">
        <v>267</v>
      </c>
      <c r="B8" s="12" t="s">
        <v>268</v>
      </c>
      <c r="C8" s="12" t="s">
        <v>237</v>
      </c>
      <c r="D8" s="12" t="s">
        <v>269</v>
      </c>
      <c r="E8" s="12" t="s">
        <v>270</v>
      </c>
      <c r="F8" s="12" t="s">
        <v>271</v>
      </c>
      <c r="G8" s="12" t="s">
        <v>263</v>
      </c>
      <c r="H8" s="13" t="n">
        <v>40</v>
      </c>
      <c r="I8" s="12" t="s">
        <v>272</v>
      </c>
      <c r="J8" s="12" t="s">
        <v>273</v>
      </c>
      <c r="K8" s="12" t="s">
        <v>244</v>
      </c>
      <c r="L8" s="12" t="s">
        <v>274</v>
      </c>
      <c r="M8" s="12" t="s">
        <v>275</v>
      </c>
      <c r="N8" s="12" t="s">
        <v>276</v>
      </c>
    </row>
    <row r="9" customFormat="false" ht="35.05" hidden="false" customHeight="false" outlineLevel="0" collapsed="false">
      <c r="A9" s="12" t="s">
        <v>277</v>
      </c>
      <c r="B9" s="12" t="s">
        <v>278</v>
      </c>
      <c r="C9" s="12" t="s">
        <v>237</v>
      </c>
      <c r="D9" s="12" t="s">
        <v>279</v>
      </c>
      <c r="E9" s="12" t="s">
        <v>280</v>
      </c>
      <c r="F9" s="12" t="s">
        <v>281</v>
      </c>
      <c r="G9" s="12" t="s">
        <v>263</v>
      </c>
      <c r="H9" s="13" t="n">
        <v>60</v>
      </c>
      <c r="I9" s="12" t="s">
        <v>254</v>
      </c>
      <c r="J9" s="12" t="s">
        <v>273</v>
      </c>
      <c r="K9" s="12" t="s">
        <v>282</v>
      </c>
      <c r="L9" s="12" t="s">
        <v>283</v>
      </c>
      <c r="M9" s="12" t="s">
        <v>284</v>
      </c>
      <c r="N9" s="12" t="s">
        <v>285</v>
      </c>
    </row>
    <row r="10" customFormat="false" ht="35.05" hidden="false" customHeight="false" outlineLevel="0" collapsed="false">
      <c r="A10" s="12" t="s">
        <v>286</v>
      </c>
      <c r="B10" s="12" t="s">
        <v>287</v>
      </c>
      <c r="C10" s="12" t="s">
        <v>237</v>
      </c>
      <c r="D10" s="12" t="s">
        <v>288</v>
      </c>
      <c r="E10" s="12" t="s">
        <v>289</v>
      </c>
      <c r="F10" s="12" t="s">
        <v>290</v>
      </c>
      <c r="G10" s="12" t="s">
        <v>263</v>
      </c>
      <c r="H10" s="13" t="n">
        <v>45</v>
      </c>
      <c r="I10" s="12" t="s">
        <v>291</v>
      </c>
      <c r="J10" s="12" t="s">
        <v>273</v>
      </c>
      <c r="K10" s="12" t="s">
        <v>292</v>
      </c>
      <c r="L10" s="12" t="s">
        <v>293</v>
      </c>
      <c r="M10" s="12" t="s">
        <v>294</v>
      </c>
      <c r="N10" s="12" t="s">
        <v>295</v>
      </c>
    </row>
    <row r="11" customFormat="false" ht="35.05" hidden="false" customHeight="false" outlineLevel="0" collapsed="false">
      <c r="A11" s="12" t="s">
        <v>296</v>
      </c>
      <c r="B11" s="12" t="s">
        <v>297</v>
      </c>
      <c r="C11" s="12" t="s">
        <v>237</v>
      </c>
      <c r="D11" s="12" t="s">
        <v>298</v>
      </c>
      <c r="E11" s="12" t="s">
        <v>299</v>
      </c>
      <c r="F11" s="12" t="s">
        <v>300</v>
      </c>
      <c r="G11" s="12" t="s">
        <v>263</v>
      </c>
      <c r="H11" s="13" t="n">
        <v>38</v>
      </c>
      <c r="I11" s="12" t="s">
        <v>301</v>
      </c>
      <c r="J11" s="12" t="s">
        <v>243</v>
      </c>
      <c r="K11" s="12" t="s">
        <v>244</v>
      </c>
      <c r="L11" s="12" t="s">
        <v>302</v>
      </c>
      <c r="M11" s="12" t="s">
        <v>303</v>
      </c>
      <c r="N11" s="12" t="s">
        <v>304</v>
      </c>
    </row>
    <row r="12" customFormat="false" ht="46.25" hidden="false" customHeight="false" outlineLevel="0" collapsed="false">
      <c r="A12" s="12" t="s">
        <v>305</v>
      </c>
      <c r="B12" s="12" t="s">
        <v>306</v>
      </c>
      <c r="C12" s="12" t="s">
        <v>307</v>
      </c>
      <c r="D12" s="12" t="s">
        <v>308</v>
      </c>
      <c r="E12" s="12" t="s">
        <v>309</v>
      </c>
      <c r="F12" s="12" t="s">
        <v>310</v>
      </c>
      <c r="G12" s="12" t="s">
        <v>263</v>
      </c>
      <c r="H12" s="13" t="n">
        <v>45</v>
      </c>
      <c r="I12" s="12" t="s">
        <v>254</v>
      </c>
      <c r="J12" s="12" t="s">
        <v>273</v>
      </c>
      <c r="K12" s="12" t="s">
        <v>311</v>
      </c>
      <c r="L12" s="12" t="s">
        <v>312</v>
      </c>
      <c r="M12" s="12" t="s">
        <v>313</v>
      </c>
      <c r="N12" s="12" t="s">
        <v>314</v>
      </c>
    </row>
    <row r="13" customFormat="false" ht="35.05" hidden="false" customHeight="false" outlineLevel="0" collapsed="false">
      <c r="A13" s="12" t="s">
        <v>315</v>
      </c>
      <c r="B13" s="12" t="s">
        <v>316</v>
      </c>
      <c r="C13" s="12" t="s">
        <v>307</v>
      </c>
      <c r="D13" s="12" t="s">
        <v>317</v>
      </c>
      <c r="E13" s="12" t="s">
        <v>318</v>
      </c>
      <c r="F13" s="12" t="s">
        <v>319</v>
      </c>
      <c r="G13" s="12" t="s">
        <v>263</v>
      </c>
      <c r="H13" s="13" t="n">
        <v>50</v>
      </c>
      <c r="I13" s="12" t="s">
        <v>320</v>
      </c>
      <c r="J13" s="12" t="s">
        <v>321</v>
      </c>
      <c r="K13" s="12" t="s">
        <v>244</v>
      </c>
      <c r="L13" s="12" t="s">
        <v>322</v>
      </c>
      <c r="M13" s="12" t="s">
        <v>323</v>
      </c>
      <c r="N13" s="12" t="s">
        <v>324</v>
      </c>
    </row>
    <row r="14" customFormat="false" ht="46.25" hidden="false" customHeight="false" outlineLevel="0" collapsed="false">
      <c r="A14" s="12" t="s">
        <v>325</v>
      </c>
      <c r="B14" s="12" t="s">
        <v>326</v>
      </c>
      <c r="C14" s="12" t="s">
        <v>307</v>
      </c>
      <c r="D14" s="12" t="s">
        <v>327</v>
      </c>
      <c r="E14" s="12" t="s">
        <v>328</v>
      </c>
      <c r="F14" s="12" t="s">
        <v>329</v>
      </c>
      <c r="G14" s="12" t="s">
        <v>263</v>
      </c>
      <c r="H14" s="13" t="n">
        <v>45</v>
      </c>
      <c r="I14" s="12" t="s">
        <v>254</v>
      </c>
      <c r="J14" s="12" t="s">
        <v>273</v>
      </c>
      <c r="K14" s="12" t="s">
        <v>244</v>
      </c>
      <c r="L14" s="12" t="s">
        <v>330</v>
      </c>
      <c r="M14" s="12" t="s">
        <v>331</v>
      </c>
      <c r="N14" s="12" t="s">
        <v>332</v>
      </c>
    </row>
    <row r="15" customFormat="false" ht="23.85" hidden="false" customHeight="false" outlineLevel="0" collapsed="false">
      <c r="A15" s="12" t="s">
        <v>333</v>
      </c>
      <c r="B15" s="12" t="s">
        <v>334</v>
      </c>
      <c r="C15" s="12" t="s">
        <v>307</v>
      </c>
      <c r="D15" s="12" t="s">
        <v>335</v>
      </c>
      <c r="E15" s="12" t="s">
        <v>336</v>
      </c>
      <c r="F15" s="12" t="s">
        <v>337</v>
      </c>
      <c r="G15" s="12" t="s">
        <v>263</v>
      </c>
      <c r="H15" s="13" t="n">
        <v>42</v>
      </c>
      <c r="I15" s="12" t="s">
        <v>254</v>
      </c>
      <c r="J15" s="12" t="s">
        <v>273</v>
      </c>
      <c r="K15" s="12" t="s">
        <v>244</v>
      </c>
      <c r="L15" s="12" t="s">
        <v>338</v>
      </c>
      <c r="M15" s="12" t="s">
        <v>339</v>
      </c>
      <c r="N15" s="12" t="s">
        <v>340</v>
      </c>
    </row>
    <row r="16" customFormat="false" ht="35.05" hidden="false" customHeight="false" outlineLevel="0" collapsed="false">
      <c r="A16" s="12" t="s">
        <v>341</v>
      </c>
      <c r="B16" s="12" t="s">
        <v>342</v>
      </c>
      <c r="C16" s="12" t="s">
        <v>343</v>
      </c>
      <c r="D16" s="12" t="s">
        <v>344</v>
      </c>
      <c r="E16" s="12" t="s">
        <v>345</v>
      </c>
      <c r="F16" s="12" t="s">
        <v>346</v>
      </c>
      <c r="G16" s="12" t="s">
        <v>263</v>
      </c>
      <c r="H16" s="13" t="n">
        <v>45</v>
      </c>
      <c r="I16" s="12" t="s">
        <v>347</v>
      </c>
      <c r="J16" s="12" t="s">
        <v>321</v>
      </c>
      <c r="K16" s="12" t="s">
        <v>244</v>
      </c>
      <c r="L16" s="12" t="s">
        <v>348</v>
      </c>
      <c r="M16" s="12" t="s">
        <v>349</v>
      </c>
      <c r="N16" s="12" t="s">
        <v>350</v>
      </c>
    </row>
    <row r="17" customFormat="false" ht="46.25" hidden="false" customHeight="false" outlineLevel="0" collapsed="false">
      <c r="A17" s="12" t="s">
        <v>351</v>
      </c>
      <c r="B17" s="12" t="s">
        <v>352</v>
      </c>
      <c r="C17" s="12" t="s">
        <v>353</v>
      </c>
      <c r="D17" s="12" t="s">
        <v>354</v>
      </c>
      <c r="E17" s="12" t="s">
        <v>355</v>
      </c>
      <c r="F17" s="12" t="s">
        <v>356</v>
      </c>
      <c r="G17" s="12" t="s">
        <v>263</v>
      </c>
      <c r="H17" s="13" t="n">
        <v>52</v>
      </c>
      <c r="I17" s="12" t="s">
        <v>357</v>
      </c>
      <c r="J17" s="12" t="s">
        <v>321</v>
      </c>
      <c r="K17" s="12" t="s">
        <v>244</v>
      </c>
      <c r="L17" s="12" t="s">
        <v>358</v>
      </c>
      <c r="M17" s="12" t="s">
        <v>359</v>
      </c>
      <c r="N17" s="12" t="s">
        <v>360</v>
      </c>
    </row>
    <row r="18" customFormat="false" ht="46.25" hidden="false" customHeight="false" outlineLevel="0" collapsed="false">
      <c r="A18" s="12" t="s">
        <v>361</v>
      </c>
      <c r="B18" s="12" t="s">
        <v>362</v>
      </c>
      <c r="C18" s="12" t="s">
        <v>353</v>
      </c>
      <c r="D18" s="12" t="s">
        <v>363</v>
      </c>
      <c r="E18" s="12" t="s">
        <v>364</v>
      </c>
      <c r="F18" s="12" t="s">
        <v>365</v>
      </c>
      <c r="G18" s="12" t="s">
        <v>263</v>
      </c>
      <c r="H18" s="13" t="n">
        <v>50</v>
      </c>
      <c r="I18" s="12" t="s">
        <v>366</v>
      </c>
      <c r="J18" s="12" t="s">
        <v>321</v>
      </c>
      <c r="K18" s="12" t="s">
        <v>244</v>
      </c>
      <c r="L18" s="12" t="s">
        <v>367</v>
      </c>
      <c r="M18" s="12" t="s">
        <v>368</v>
      </c>
      <c r="N18" s="12" t="s">
        <v>369</v>
      </c>
    </row>
    <row r="19" customFormat="false" ht="35.05" hidden="false" customHeight="false" outlineLevel="0" collapsed="false">
      <c r="A19" s="12" t="s">
        <v>370</v>
      </c>
      <c r="B19" s="12" t="s">
        <v>371</v>
      </c>
      <c r="C19" s="12" t="s">
        <v>353</v>
      </c>
      <c r="D19" s="12" t="s">
        <v>372</v>
      </c>
      <c r="E19" s="12" t="s">
        <v>373</v>
      </c>
      <c r="F19" s="12" t="s">
        <v>374</v>
      </c>
      <c r="G19" s="12" t="s">
        <v>375</v>
      </c>
      <c r="H19" s="13" t="n">
        <v>40</v>
      </c>
      <c r="I19" s="12" t="s">
        <v>254</v>
      </c>
      <c r="J19" s="12" t="s">
        <v>273</v>
      </c>
      <c r="K19" s="12" t="s">
        <v>376</v>
      </c>
      <c r="L19" s="12" t="s">
        <v>377</v>
      </c>
      <c r="M19" s="12" t="s">
        <v>378</v>
      </c>
      <c r="N19" s="12" t="s">
        <v>379</v>
      </c>
    </row>
    <row r="21" customFormat="false" ht="15" hidden="false" customHeight="false" outlineLevel="0" collapsed="false">
      <c r="A21" s="14" t="s">
        <v>380</v>
      </c>
    </row>
    <row r="22" customFormat="false" ht="15" hidden="false" customHeight="false" outlineLevel="0" collapsed="false">
      <c r="A22" s="11" t="s">
        <v>381</v>
      </c>
      <c r="B22" s="11" t="s">
        <v>222</v>
      </c>
      <c r="C22" s="11" t="s">
        <v>231</v>
      </c>
      <c r="D22" s="11" t="s">
        <v>224</v>
      </c>
      <c r="E22" s="11" t="s">
        <v>382</v>
      </c>
      <c r="F22" s="11" t="s">
        <v>229</v>
      </c>
    </row>
    <row r="23" customFormat="false" ht="23.85" hidden="false" customHeight="false" outlineLevel="0" collapsed="false">
      <c r="A23" s="12" t="s">
        <v>383</v>
      </c>
      <c r="B23" s="12" t="s">
        <v>384</v>
      </c>
      <c r="C23" s="12" t="s">
        <v>385</v>
      </c>
      <c r="D23" s="12" t="s">
        <v>386</v>
      </c>
      <c r="E23" s="12" t="s">
        <v>387</v>
      </c>
      <c r="F23" s="12" t="s">
        <v>254</v>
      </c>
    </row>
    <row r="24" customFormat="false" ht="35.05" hidden="false" customHeight="false" outlineLevel="0" collapsed="false">
      <c r="A24" s="12" t="s">
        <v>388</v>
      </c>
      <c r="B24" s="12" t="s">
        <v>389</v>
      </c>
      <c r="C24" s="12" t="s">
        <v>385</v>
      </c>
      <c r="D24" s="12" t="s">
        <v>390</v>
      </c>
      <c r="E24" s="12" t="s">
        <v>391</v>
      </c>
      <c r="F24" s="12" t="s">
        <v>254</v>
      </c>
    </row>
    <row r="25" customFormat="false" ht="23.85" hidden="false" customHeight="false" outlineLevel="0" collapsed="false">
      <c r="A25" s="12" t="s">
        <v>392</v>
      </c>
      <c r="B25" s="12" t="s">
        <v>393</v>
      </c>
      <c r="C25" s="12" t="s">
        <v>385</v>
      </c>
      <c r="D25" s="12" t="s">
        <v>394</v>
      </c>
      <c r="E25" s="12" t="s">
        <v>395</v>
      </c>
      <c r="F25" s="12" t="s">
        <v>254</v>
      </c>
    </row>
    <row r="26" customFormat="false" ht="23.85" hidden="false" customHeight="false" outlineLevel="0" collapsed="false">
      <c r="A26" s="12" t="s">
        <v>396</v>
      </c>
      <c r="B26" s="12" t="s">
        <v>397</v>
      </c>
      <c r="C26" s="12" t="s">
        <v>398</v>
      </c>
      <c r="D26" s="12" t="s">
        <v>399</v>
      </c>
      <c r="E26" s="12" t="s">
        <v>400</v>
      </c>
      <c r="F26" s="12" t="s">
        <v>401</v>
      </c>
    </row>
    <row r="27" customFormat="false" ht="23.85" hidden="false" customHeight="false" outlineLevel="0" collapsed="false">
      <c r="A27" s="12" t="s">
        <v>402</v>
      </c>
      <c r="B27" s="12" t="s">
        <v>403</v>
      </c>
      <c r="C27" s="12" t="s">
        <v>401</v>
      </c>
      <c r="D27" s="12" t="s">
        <v>404</v>
      </c>
      <c r="E27" s="12" t="s">
        <v>405</v>
      </c>
      <c r="F27" s="12" t="s">
        <v>406</v>
      </c>
    </row>
    <row r="28" customFormat="false" ht="15" hidden="false" customHeight="false" outlineLevel="0" collapsed="false">
      <c r="A28" s="12" t="s">
        <v>138</v>
      </c>
      <c r="B28" s="12" t="s">
        <v>407</v>
      </c>
      <c r="C28" s="12" t="s">
        <v>408</v>
      </c>
      <c r="D28" s="12" t="s">
        <v>409</v>
      </c>
      <c r="E28" s="12" t="s">
        <v>410</v>
      </c>
      <c r="F28" s="12" t="s">
        <v>254</v>
      </c>
    </row>
    <row r="29" customFormat="false" ht="23.85" hidden="false" customHeight="false" outlineLevel="0" collapsed="false">
      <c r="A29" s="12" t="s">
        <v>140</v>
      </c>
      <c r="B29" s="12" t="s">
        <v>411</v>
      </c>
      <c r="C29" s="12" t="s">
        <v>408</v>
      </c>
      <c r="D29" s="12" t="s">
        <v>412</v>
      </c>
      <c r="E29" s="12" t="s">
        <v>413</v>
      </c>
      <c r="F29" s="12" t="s">
        <v>254</v>
      </c>
    </row>
    <row r="30" customFormat="false" ht="35.05" hidden="false" customHeight="false" outlineLevel="0" collapsed="false">
      <c r="A30" s="12" t="s">
        <v>132</v>
      </c>
      <c r="B30" s="12" t="s">
        <v>414</v>
      </c>
      <c r="C30" s="12" t="s">
        <v>408</v>
      </c>
      <c r="D30" s="12" t="s">
        <v>415</v>
      </c>
      <c r="E30" s="12" t="s">
        <v>413</v>
      </c>
      <c r="F30" s="12" t="s">
        <v>254</v>
      </c>
    </row>
    <row r="31" customFormat="false" ht="23.85" hidden="false" customHeight="false" outlineLevel="0" collapsed="false">
      <c r="A31" s="12" t="s">
        <v>136</v>
      </c>
      <c r="B31" s="12" t="s">
        <v>416</v>
      </c>
      <c r="C31" s="12" t="s">
        <v>408</v>
      </c>
      <c r="D31" s="12" t="s">
        <v>417</v>
      </c>
      <c r="E31" s="12" t="s">
        <v>413</v>
      </c>
      <c r="F31" s="12" t="s">
        <v>254</v>
      </c>
    </row>
    <row r="32" customFormat="false" ht="46.25" hidden="false" customHeight="false" outlineLevel="0" collapsed="false">
      <c r="A32" s="12" t="s">
        <v>418</v>
      </c>
      <c r="B32" s="12" t="s">
        <v>419</v>
      </c>
      <c r="C32" s="12" t="s">
        <v>420</v>
      </c>
      <c r="D32" s="12" t="s">
        <v>421</v>
      </c>
      <c r="E32" s="12" t="s">
        <v>202</v>
      </c>
      <c r="F32" s="12" t="s">
        <v>366</v>
      </c>
    </row>
    <row r="33" customFormat="false" ht="35.05" hidden="false" customHeight="false" outlineLevel="0" collapsed="false">
      <c r="A33" s="12" t="s">
        <v>422</v>
      </c>
      <c r="B33" s="12" t="s">
        <v>423</v>
      </c>
      <c r="C33" s="12" t="s">
        <v>401</v>
      </c>
      <c r="D33" s="12" t="s">
        <v>424</v>
      </c>
      <c r="E33" s="12" t="s">
        <v>425</v>
      </c>
      <c r="F33" s="12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7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427</v>
      </c>
    </row>
    <row r="4" customFormat="false" ht="15" hidden="false" customHeight="false" outlineLevel="0" collapsed="false">
      <c r="A4" s="11" t="s">
        <v>428</v>
      </c>
      <c r="B4" s="11" t="s">
        <v>429</v>
      </c>
      <c r="C4" s="11" t="s">
        <v>430</v>
      </c>
      <c r="D4" s="11" t="s">
        <v>431</v>
      </c>
      <c r="E4" s="11" t="s">
        <v>432</v>
      </c>
      <c r="F4" s="11" t="s">
        <v>433</v>
      </c>
    </row>
    <row r="5" customFormat="false" ht="35.05" hidden="false" customHeight="false" outlineLevel="0" collapsed="false">
      <c r="A5" s="12" t="s">
        <v>434</v>
      </c>
      <c r="B5" s="12" t="s">
        <v>435</v>
      </c>
      <c r="C5" s="12" t="s">
        <v>235</v>
      </c>
      <c r="D5" s="12" t="s">
        <v>436</v>
      </c>
      <c r="E5" s="12" t="s">
        <v>437</v>
      </c>
      <c r="F5" s="12" t="s">
        <v>438</v>
      </c>
    </row>
    <row r="6" customFormat="false" ht="23.85" hidden="false" customHeight="false" outlineLevel="0" collapsed="false">
      <c r="A6" s="12" t="s">
        <v>439</v>
      </c>
      <c r="B6" s="12" t="s">
        <v>235</v>
      </c>
      <c r="C6" s="12" t="s">
        <v>258</v>
      </c>
      <c r="D6" s="12" t="s">
        <v>440</v>
      </c>
      <c r="E6" s="12" t="s">
        <v>441</v>
      </c>
      <c r="F6" s="12" t="s">
        <v>442</v>
      </c>
    </row>
    <row r="7" customFormat="false" ht="23.85" hidden="false" customHeight="false" outlineLevel="0" collapsed="false">
      <c r="A7" s="12" t="s">
        <v>443</v>
      </c>
      <c r="B7" s="12" t="s">
        <v>248</v>
      </c>
      <c r="C7" s="12" t="s">
        <v>258</v>
      </c>
      <c r="D7" s="12" t="s">
        <v>436</v>
      </c>
      <c r="E7" s="12" t="s">
        <v>444</v>
      </c>
      <c r="F7" s="12" t="s">
        <v>445</v>
      </c>
    </row>
    <row r="8" customFormat="false" ht="23.85" hidden="false" customHeight="false" outlineLevel="0" collapsed="false">
      <c r="A8" s="12" t="s">
        <v>446</v>
      </c>
      <c r="B8" s="12" t="s">
        <v>267</v>
      </c>
      <c r="C8" s="12" t="s">
        <v>248</v>
      </c>
      <c r="D8" s="12" t="s">
        <v>447</v>
      </c>
      <c r="E8" s="12" t="s">
        <v>448</v>
      </c>
      <c r="F8" s="12" t="s">
        <v>449</v>
      </c>
    </row>
    <row r="9" customFormat="false" ht="15" hidden="false" customHeight="false" outlineLevel="0" collapsed="false">
      <c r="A9" s="12" t="s">
        <v>450</v>
      </c>
      <c r="B9" s="12" t="s">
        <v>305</v>
      </c>
      <c r="C9" s="12" t="s">
        <v>248</v>
      </c>
      <c r="D9" s="12" t="s">
        <v>436</v>
      </c>
      <c r="E9" s="12" t="s">
        <v>451</v>
      </c>
      <c r="F9" s="12" t="s">
        <v>452</v>
      </c>
    </row>
    <row r="10" customFormat="false" ht="23.85" hidden="false" customHeight="false" outlineLevel="0" collapsed="false">
      <c r="A10" s="12" t="s">
        <v>453</v>
      </c>
      <c r="B10" s="12" t="s">
        <v>370</v>
      </c>
      <c r="C10" s="12" t="s">
        <v>454</v>
      </c>
      <c r="D10" s="12" t="s">
        <v>455</v>
      </c>
      <c r="E10" s="12" t="s">
        <v>456</v>
      </c>
      <c r="F10" s="12" t="s">
        <v>457</v>
      </c>
    </row>
    <row r="11" customFormat="false" ht="15" hidden="false" customHeight="false" outlineLevel="0" collapsed="false">
      <c r="A11" s="12" t="s">
        <v>458</v>
      </c>
      <c r="B11" s="12" t="s">
        <v>296</v>
      </c>
      <c r="C11" s="12" t="s">
        <v>459</v>
      </c>
      <c r="D11" s="12" t="s">
        <v>460</v>
      </c>
      <c r="E11" s="12" t="s">
        <v>461</v>
      </c>
      <c r="F11" s="12" t="s">
        <v>462</v>
      </c>
    </row>
    <row r="12" customFormat="false" ht="23.85" hidden="false" customHeight="false" outlineLevel="0" collapsed="false">
      <c r="A12" s="12" t="s">
        <v>463</v>
      </c>
      <c r="B12" s="12" t="s">
        <v>464</v>
      </c>
      <c r="C12" s="12" t="s">
        <v>267</v>
      </c>
      <c r="D12" s="12" t="s">
        <v>436</v>
      </c>
      <c r="E12" s="12" t="s">
        <v>465</v>
      </c>
      <c r="F12" s="12" t="s">
        <v>466</v>
      </c>
    </row>
    <row r="13" customFormat="false" ht="15" hidden="false" customHeight="false" outlineLevel="0" collapsed="false">
      <c r="A13" s="12" t="s">
        <v>467</v>
      </c>
      <c r="B13" s="12" t="s">
        <v>202</v>
      </c>
      <c r="C13" s="12" t="s">
        <v>305</v>
      </c>
      <c r="D13" s="12" t="s">
        <v>468</v>
      </c>
      <c r="E13" s="12" t="s">
        <v>469</v>
      </c>
      <c r="F13" s="12" t="s">
        <v>470</v>
      </c>
    </row>
    <row r="14" customFormat="false" ht="15" hidden="false" customHeight="false" outlineLevel="0" collapsed="false">
      <c r="A14" s="12" t="s">
        <v>471</v>
      </c>
      <c r="B14" s="12" t="s">
        <v>202</v>
      </c>
      <c r="C14" s="12" t="s">
        <v>315</v>
      </c>
      <c r="D14" s="12" t="s">
        <v>436</v>
      </c>
      <c r="E14" s="12" t="s">
        <v>472</v>
      </c>
      <c r="F14" s="12" t="s">
        <v>473</v>
      </c>
    </row>
    <row r="15" customFormat="false" ht="23.85" hidden="false" customHeight="false" outlineLevel="0" collapsed="false">
      <c r="A15" s="12" t="s">
        <v>474</v>
      </c>
      <c r="B15" s="12" t="s">
        <v>315</v>
      </c>
      <c r="C15" s="12" t="s">
        <v>341</v>
      </c>
      <c r="D15" s="12" t="s">
        <v>436</v>
      </c>
      <c r="E15" s="12" t="s">
        <v>475</v>
      </c>
      <c r="F15" s="12" t="s">
        <v>476</v>
      </c>
    </row>
    <row r="16" customFormat="false" ht="15" hidden="false" customHeight="false" outlineLevel="0" collapsed="false">
      <c r="A16" s="12" t="s">
        <v>477</v>
      </c>
      <c r="B16" s="12" t="s">
        <v>341</v>
      </c>
      <c r="C16" s="12" t="s">
        <v>296</v>
      </c>
      <c r="D16" s="12" t="s">
        <v>436</v>
      </c>
      <c r="E16" s="12" t="s">
        <v>478</v>
      </c>
      <c r="F16" s="12" t="s">
        <v>479</v>
      </c>
    </row>
    <row r="17" customFormat="false" ht="23.85" hidden="false" customHeight="false" outlineLevel="0" collapsed="false">
      <c r="A17" s="12" t="s">
        <v>480</v>
      </c>
      <c r="B17" s="12" t="s">
        <v>248</v>
      </c>
      <c r="C17" s="12" t="s">
        <v>325</v>
      </c>
      <c r="D17" s="12" t="s">
        <v>436</v>
      </c>
      <c r="E17" s="12" t="s">
        <v>481</v>
      </c>
      <c r="F17" s="12" t="s">
        <v>482</v>
      </c>
    </row>
    <row r="18" customFormat="false" ht="23.85" hidden="false" customHeight="false" outlineLevel="0" collapsed="false">
      <c r="A18" s="12" t="s">
        <v>483</v>
      </c>
      <c r="B18" s="12" t="s">
        <v>484</v>
      </c>
      <c r="C18" s="12" t="s">
        <v>333</v>
      </c>
      <c r="D18" s="12" t="s">
        <v>436</v>
      </c>
      <c r="E18" s="12" t="s">
        <v>485</v>
      </c>
      <c r="F18" s="12" t="s">
        <v>486</v>
      </c>
    </row>
    <row r="19" customFormat="false" ht="23.85" hidden="false" customHeight="false" outlineLevel="0" collapsed="false">
      <c r="A19" s="12" t="s">
        <v>487</v>
      </c>
      <c r="B19" s="12" t="s">
        <v>488</v>
      </c>
      <c r="C19" s="12" t="s">
        <v>370</v>
      </c>
      <c r="D19" s="12" t="s">
        <v>436</v>
      </c>
      <c r="E19" s="12" t="s">
        <v>489</v>
      </c>
      <c r="F19" s="12" t="s">
        <v>490</v>
      </c>
    </row>
    <row r="20" customFormat="false" ht="15" hidden="false" customHeight="false" outlineLevel="0" collapsed="false">
      <c r="A20" s="12" t="s">
        <v>491</v>
      </c>
      <c r="B20" s="12" t="s">
        <v>248</v>
      </c>
      <c r="C20" s="12" t="s">
        <v>361</v>
      </c>
      <c r="D20" s="12" t="s">
        <v>492</v>
      </c>
      <c r="E20" s="12" t="s">
        <v>493</v>
      </c>
      <c r="F20" s="12" t="s">
        <v>494</v>
      </c>
    </row>
    <row r="21" customFormat="false" ht="15" hidden="false" customHeight="false" outlineLevel="0" collapsed="false">
      <c r="A21" s="12" t="s">
        <v>495</v>
      </c>
      <c r="B21" s="12" t="s">
        <v>496</v>
      </c>
      <c r="C21" s="12" t="s">
        <v>296</v>
      </c>
      <c r="D21" s="12" t="s">
        <v>436</v>
      </c>
      <c r="E21" s="12" t="s">
        <v>497</v>
      </c>
      <c r="F21" s="12" t="s">
        <v>498</v>
      </c>
    </row>
    <row r="22" customFormat="false" ht="15" hidden="false" customHeight="false" outlineLevel="0" collapsed="false">
      <c r="A22" s="12" t="s">
        <v>499</v>
      </c>
      <c r="B22" s="12" t="s">
        <v>351</v>
      </c>
      <c r="C22" s="12" t="s">
        <v>351</v>
      </c>
      <c r="D22" s="12" t="s">
        <v>436</v>
      </c>
      <c r="E22" s="12" t="s">
        <v>500</v>
      </c>
      <c r="F22" s="12" t="s">
        <v>501</v>
      </c>
    </row>
    <row r="23" customFormat="false" ht="35.05" hidden="false" customHeight="false" outlineLevel="0" collapsed="false">
      <c r="A23" s="12" t="s">
        <v>502</v>
      </c>
      <c r="B23" s="12" t="s">
        <v>503</v>
      </c>
      <c r="C23" s="12" t="s">
        <v>286</v>
      </c>
      <c r="D23" s="12" t="s">
        <v>436</v>
      </c>
      <c r="E23" s="12" t="s">
        <v>504</v>
      </c>
      <c r="F23" s="12" t="s">
        <v>505</v>
      </c>
    </row>
    <row r="24" customFormat="false" ht="15" hidden="false" customHeight="false" outlineLevel="0" collapsed="false">
      <c r="A24" s="12" t="s">
        <v>506</v>
      </c>
      <c r="B24" s="12" t="s">
        <v>202</v>
      </c>
      <c r="C24" s="12" t="s">
        <v>402</v>
      </c>
      <c r="D24" s="12" t="s">
        <v>436</v>
      </c>
      <c r="E24" s="12" t="s">
        <v>507</v>
      </c>
      <c r="F24" s="12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Q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32"/>
    <col collapsed="false" customWidth="true" hidden="false" outlineLevel="0" max="15" min="15" style="0" width="38"/>
    <col collapsed="false" customWidth="true" hidden="false" outlineLevel="0" max="17" min="16" style="0" width="34"/>
  </cols>
  <sheetData>
    <row r="1" customFormat="false" ht="17.35" hidden="false" customHeight="false" outlineLevel="0" collapsed="false">
      <c r="A1" s="1" t="s">
        <v>509</v>
      </c>
    </row>
    <row r="2" customFormat="false" ht="15" hidden="false" customHeight="false" outlineLevel="0" collapsed="false">
      <c r="A2" s="2" t="s">
        <v>510</v>
      </c>
    </row>
    <row r="4" customFormat="false" ht="46.25" hidden="false" customHeight="false" outlineLevel="0" collapsed="false">
      <c r="A4" s="11" t="s">
        <v>511</v>
      </c>
      <c r="B4" s="11" t="s">
        <v>222</v>
      </c>
      <c r="C4" s="11" t="s">
        <v>512</v>
      </c>
      <c r="D4" s="11" t="s">
        <v>513</v>
      </c>
      <c r="E4" s="11" t="s">
        <v>514</v>
      </c>
      <c r="F4" s="11" t="s">
        <v>515</v>
      </c>
      <c r="G4" s="11" t="s">
        <v>516</v>
      </c>
      <c r="H4" s="11" t="s">
        <v>517</v>
      </c>
      <c r="I4" s="11" t="s">
        <v>518</v>
      </c>
      <c r="J4" s="11" t="s">
        <v>519</v>
      </c>
      <c r="K4" s="11" t="s">
        <v>520</v>
      </c>
      <c r="L4" s="11" t="s">
        <v>521</v>
      </c>
      <c r="M4" s="11" t="s">
        <v>522</v>
      </c>
      <c r="N4" s="11" t="s">
        <v>523</v>
      </c>
      <c r="O4" s="11" t="s">
        <v>524</v>
      </c>
      <c r="P4" s="11" t="s">
        <v>525</v>
      </c>
      <c r="Q4" s="11" t="s">
        <v>526</v>
      </c>
    </row>
    <row r="5" customFormat="false" ht="23.85" hidden="false" customHeight="false" outlineLevel="0" collapsed="false">
      <c r="A5" s="12" t="s">
        <v>527</v>
      </c>
      <c r="B5" s="12" t="s">
        <v>528</v>
      </c>
      <c r="C5" s="12" t="s">
        <v>529</v>
      </c>
      <c r="D5" s="12" t="s">
        <v>530</v>
      </c>
      <c r="E5" s="13" t="n">
        <v>8</v>
      </c>
      <c r="F5" s="13" t="n">
        <v>3</v>
      </c>
      <c r="G5" s="12" t="s">
        <v>531</v>
      </c>
      <c r="H5" s="15" t="n">
        <f aca="false">IF(G5="SATISFACCION",F5/SUMIF($G$5:$G$21,"SATISFACCION",$F$5:$F$21),0)</f>
        <v>0.0476190476190476</v>
      </c>
      <c r="I5" s="13" t="n">
        <v>4</v>
      </c>
      <c r="J5" s="12" t="n">
        <v>42.2</v>
      </c>
      <c r="K5" s="13" t="n">
        <v>50</v>
      </c>
      <c r="L5" s="12" t="s">
        <v>532</v>
      </c>
      <c r="M5" s="12" t="s">
        <v>533</v>
      </c>
      <c r="N5" s="12" t="s">
        <v>534</v>
      </c>
      <c r="O5" s="12" t="s">
        <v>535</v>
      </c>
      <c r="P5" s="12" t="s">
        <v>536</v>
      </c>
      <c r="Q5" s="12" t="s">
        <v>537</v>
      </c>
    </row>
    <row r="6" customFormat="false" ht="23.85" hidden="false" customHeight="false" outlineLevel="0" collapsed="false">
      <c r="A6" s="12" t="s">
        <v>538</v>
      </c>
      <c r="B6" s="12" t="s">
        <v>539</v>
      </c>
      <c r="C6" s="12" t="s">
        <v>529</v>
      </c>
      <c r="D6" s="12" t="s">
        <v>540</v>
      </c>
      <c r="E6" s="13" t="n">
        <v>8</v>
      </c>
      <c r="F6" s="13" t="n">
        <v>5</v>
      </c>
      <c r="G6" s="12" t="s">
        <v>531</v>
      </c>
      <c r="H6" s="15" t="n">
        <f aca="false">IF(G6="SATISFACCION",F6/SUMIF($G$5:$G$21,"SATISFACCION",$F$5:$F$21),0)</f>
        <v>0.0793650793650794</v>
      </c>
      <c r="I6" s="13" t="n">
        <v>7</v>
      </c>
      <c r="J6" s="12" t="n">
        <v>40.1</v>
      </c>
      <c r="K6" s="13" t="n">
        <v>45</v>
      </c>
      <c r="L6" s="12" t="s">
        <v>541</v>
      </c>
      <c r="M6" s="12" t="s">
        <v>542</v>
      </c>
      <c r="N6" s="12" t="s">
        <v>543</v>
      </c>
      <c r="O6" s="12" t="s">
        <v>544</v>
      </c>
      <c r="P6" s="12" t="s">
        <v>545</v>
      </c>
      <c r="Q6" s="12" t="s">
        <v>546</v>
      </c>
    </row>
    <row r="7" customFormat="false" ht="23.85" hidden="false" customHeight="false" outlineLevel="0" collapsed="false">
      <c r="A7" s="12" t="s">
        <v>547</v>
      </c>
      <c r="B7" s="12" t="s">
        <v>548</v>
      </c>
      <c r="C7" s="12" t="s">
        <v>529</v>
      </c>
      <c r="D7" s="12" t="s">
        <v>549</v>
      </c>
      <c r="E7" s="13" t="n">
        <v>9</v>
      </c>
      <c r="F7" s="13" t="n">
        <v>1</v>
      </c>
      <c r="G7" s="12" t="s">
        <v>531</v>
      </c>
      <c r="H7" s="15" t="n">
        <f aca="false">IF(G7="SATISFACCION",F7/SUMIF($G$5:$G$21,"SATISFACCION",$F$5:$F$21),0)</f>
        <v>0.0158730158730159</v>
      </c>
      <c r="I7" s="13" t="n">
        <v>4</v>
      </c>
      <c r="J7" s="12" t="n">
        <v>43.6</v>
      </c>
      <c r="K7" s="13" t="n">
        <v>50</v>
      </c>
      <c r="L7" s="12" t="s">
        <v>550</v>
      </c>
      <c r="M7" s="12" t="s">
        <v>551</v>
      </c>
      <c r="N7" s="12" t="s">
        <v>552</v>
      </c>
      <c r="O7" s="12" t="s">
        <v>553</v>
      </c>
      <c r="P7" s="12" t="s">
        <v>554</v>
      </c>
      <c r="Q7" s="12" t="s">
        <v>555</v>
      </c>
    </row>
    <row r="8" customFormat="false" ht="35.05" hidden="false" customHeight="false" outlineLevel="0" collapsed="false">
      <c r="A8" s="12" t="s">
        <v>556</v>
      </c>
      <c r="B8" s="12" t="s">
        <v>557</v>
      </c>
      <c r="C8" s="12" t="s">
        <v>558</v>
      </c>
      <c r="D8" s="12" t="s">
        <v>559</v>
      </c>
      <c r="E8" s="13" t="n">
        <v>8</v>
      </c>
      <c r="F8" s="13" t="n">
        <v>6</v>
      </c>
      <c r="G8" s="12" t="s">
        <v>531</v>
      </c>
      <c r="H8" s="15" t="n">
        <f aca="false">IF(G8="SATISFACCION",F8/SUMIF($G$5:$G$21,"SATISFACCION",$F$5:$F$21),0)</f>
        <v>0.0952380952380952</v>
      </c>
      <c r="I8" s="13" t="n">
        <v>6</v>
      </c>
      <c r="J8" s="12" t="n">
        <v>41.8</v>
      </c>
      <c r="K8" s="13" t="n">
        <v>50</v>
      </c>
      <c r="L8" s="12" t="s">
        <v>560</v>
      </c>
      <c r="M8" s="12" t="s">
        <v>561</v>
      </c>
      <c r="N8" s="12" t="s">
        <v>562</v>
      </c>
      <c r="O8" s="12" t="s">
        <v>563</v>
      </c>
      <c r="P8" s="12" t="s">
        <v>564</v>
      </c>
      <c r="Q8" s="12" t="s">
        <v>565</v>
      </c>
    </row>
    <row r="9" customFormat="false" ht="23.85" hidden="false" customHeight="false" outlineLevel="0" collapsed="false">
      <c r="A9" s="12" t="s">
        <v>566</v>
      </c>
      <c r="B9" s="12" t="s">
        <v>567</v>
      </c>
      <c r="C9" s="12" t="s">
        <v>529</v>
      </c>
      <c r="D9" s="12" t="s">
        <v>568</v>
      </c>
      <c r="E9" s="13" t="n">
        <v>5</v>
      </c>
      <c r="F9" s="13" t="n">
        <v>6</v>
      </c>
      <c r="G9" s="12" t="s">
        <v>531</v>
      </c>
      <c r="H9" s="15" t="n">
        <f aca="false">IF(G9="SATISFACCION",F9/SUMIF($G$5:$G$21,"SATISFACCION",$F$5:$F$21),0)</f>
        <v>0.0952380952380952</v>
      </c>
      <c r="I9" s="13" t="n">
        <v>5</v>
      </c>
      <c r="J9" s="12" t="n">
        <v>41.6</v>
      </c>
      <c r="K9" s="13" t="n">
        <v>50</v>
      </c>
      <c r="L9" s="12" t="s">
        <v>569</v>
      </c>
      <c r="M9" s="12" t="s">
        <v>202</v>
      </c>
      <c r="N9" s="12" t="s">
        <v>570</v>
      </c>
      <c r="O9" s="12" t="s">
        <v>571</v>
      </c>
      <c r="P9" s="12" t="s">
        <v>572</v>
      </c>
      <c r="Q9" s="12" t="s">
        <v>573</v>
      </c>
    </row>
    <row r="10" customFormat="false" ht="23.85" hidden="false" customHeight="false" outlineLevel="0" collapsed="false">
      <c r="A10" s="12" t="s">
        <v>574</v>
      </c>
      <c r="B10" s="12" t="s">
        <v>575</v>
      </c>
      <c r="C10" s="12" t="s">
        <v>576</v>
      </c>
      <c r="D10" s="12" t="s">
        <v>577</v>
      </c>
      <c r="E10" s="13" t="n">
        <v>5</v>
      </c>
      <c r="F10" s="13" t="n">
        <v>10</v>
      </c>
      <c r="G10" s="12" t="s">
        <v>531</v>
      </c>
      <c r="H10" s="15" t="n">
        <f aca="false">IF(G10="SATISFACCION",F10/SUMIF($G$5:$G$21,"SATISFACCION",$F$5:$F$21),0)</f>
        <v>0.158730158730159</v>
      </c>
      <c r="I10" s="13" t="s">
        <v>578</v>
      </c>
      <c r="J10" s="12" t="n">
        <v>43.8</v>
      </c>
      <c r="K10" s="13" t="s">
        <v>579</v>
      </c>
      <c r="L10" s="12" t="s">
        <v>580</v>
      </c>
      <c r="M10" s="12" t="s">
        <v>581</v>
      </c>
      <c r="N10" s="12" t="s">
        <v>202</v>
      </c>
      <c r="O10" s="12" t="s">
        <v>582</v>
      </c>
      <c r="P10" s="12" t="s">
        <v>583</v>
      </c>
      <c r="Q10" s="12" t="s">
        <v>584</v>
      </c>
    </row>
    <row r="11" customFormat="false" ht="46.25" hidden="false" customHeight="false" outlineLevel="0" collapsed="false">
      <c r="A11" s="12" t="s">
        <v>585</v>
      </c>
      <c r="B11" s="12" t="s">
        <v>586</v>
      </c>
      <c r="C11" s="12" t="s">
        <v>576</v>
      </c>
      <c r="D11" s="12" t="s">
        <v>587</v>
      </c>
      <c r="E11" s="13" t="n">
        <v>3</v>
      </c>
      <c r="F11" s="13" t="n">
        <v>10</v>
      </c>
      <c r="G11" s="12" t="s">
        <v>531</v>
      </c>
      <c r="H11" s="15" t="n">
        <f aca="false">IF(G11="SATISFACCION",F11/SUMIF($G$5:$G$21,"SATISFACCION",$F$5:$F$21),0)</f>
        <v>0.158730158730159</v>
      </c>
      <c r="I11" s="13" t="s">
        <v>578</v>
      </c>
      <c r="J11" s="12" t="n">
        <v>42.5</v>
      </c>
      <c r="K11" s="13" t="s">
        <v>579</v>
      </c>
      <c r="L11" s="12" t="s">
        <v>580</v>
      </c>
      <c r="M11" s="12" t="s">
        <v>588</v>
      </c>
      <c r="N11" s="12" t="s">
        <v>202</v>
      </c>
      <c r="O11" s="12" t="s">
        <v>589</v>
      </c>
      <c r="P11" s="12" t="s">
        <v>590</v>
      </c>
      <c r="Q11" s="12" t="s">
        <v>591</v>
      </c>
    </row>
    <row r="12" customFormat="false" ht="23.85" hidden="false" customHeight="false" outlineLevel="0" collapsed="false">
      <c r="A12" s="12" t="s">
        <v>592</v>
      </c>
      <c r="B12" s="12" t="s">
        <v>593</v>
      </c>
      <c r="C12" s="12" t="s">
        <v>594</v>
      </c>
      <c r="D12" s="12" t="s">
        <v>595</v>
      </c>
      <c r="E12" s="13" t="n">
        <v>5</v>
      </c>
      <c r="F12" s="13" t="n">
        <v>5</v>
      </c>
      <c r="G12" s="12" t="s">
        <v>531</v>
      </c>
      <c r="H12" s="15" t="n">
        <f aca="false">IF(G12="SATISFACCION",F12/SUMIF($G$5:$G$21,"SATISFACCION",$F$5:$F$21),0)</f>
        <v>0.0793650793650794</v>
      </c>
      <c r="I12" s="13" t="n">
        <v>6</v>
      </c>
      <c r="J12" s="12" t="n">
        <v>47.3</v>
      </c>
      <c r="K12" s="13" t="n">
        <v>50</v>
      </c>
      <c r="L12" s="12" t="s">
        <v>596</v>
      </c>
      <c r="M12" s="12" t="s">
        <v>370</v>
      </c>
      <c r="N12" s="12" t="s">
        <v>202</v>
      </c>
      <c r="O12" s="12" t="s">
        <v>597</v>
      </c>
      <c r="P12" s="12" t="s">
        <v>598</v>
      </c>
      <c r="Q12" s="12" t="s">
        <v>599</v>
      </c>
    </row>
    <row r="13" customFormat="false" ht="23.85" hidden="false" customHeight="false" outlineLevel="0" collapsed="false">
      <c r="A13" s="12" t="s">
        <v>600</v>
      </c>
      <c r="B13" s="12" t="s">
        <v>601</v>
      </c>
      <c r="C13" s="12" t="s">
        <v>594</v>
      </c>
      <c r="D13" s="12" t="s">
        <v>602</v>
      </c>
      <c r="E13" s="13" t="n">
        <v>6</v>
      </c>
      <c r="F13" s="13" t="n">
        <v>4</v>
      </c>
      <c r="G13" s="12" t="s">
        <v>531</v>
      </c>
      <c r="H13" s="15" t="n">
        <f aca="false">IF(G13="SATISFACCION",F13/SUMIF($G$5:$G$21,"SATISFACCION",$F$5:$F$21),0)</f>
        <v>0.0634920634920635</v>
      </c>
      <c r="I13" s="13" t="n">
        <v>6</v>
      </c>
      <c r="J13" s="12" t="n">
        <v>44.4</v>
      </c>
      <c r="K13" s="13" t="n">
        <v>50</v>
      </c>
      <c r="L13" s="12" t="s">
        <v>603</v>
      </c>
      <c r="M13" s="12" t="s">
        <v>370</v>
      </c>
      <c r="N13" s="12" t="s">
        <v>604</v>
      </c>
      <c r="O13" s="12" t="s">
        <v>605</v>
      </c>
      <c r="P13" s="12" t="s">
        <v>606</v>
      </c>
      <c r="Q13" s="12" t="s">
        <v>607</v>
      </c>
    </row>
    <row r="14" customFormat="false" ht="23.85" hidden="false" customHeight="false" outlineLevel="0" collapsed="false">
      <c r="A14" s="12" t="s">
        <v>608</v>
      </c>
      <c r="B14" s="12" t="s">
        <v>609</v>
      </c>
      <c r="C14" s="12" t="s">
        <v>594</v>
      </c>
      <c r="D14" s="12" t="s">
        <v>610</v>
      </c>
      <c r="E14" s="13" t="n">
        <v>3</v>
      </c>
      <c r="F14" s="13" t="n">
        <v>2</v>
      </c>
      <c r="G14" s="12" t="s">
        <v>531</v>
      </c>
      <c r="H14" s="15" t="n">
        <f aca="false">IF(G14="SATISFACCION",F14/SUMIF($G$5:$G$21,"SATISFACCION",$F$5:$F$21),0)</f>
        <v>0.0317460317460317</v>
      </c>
      <c r="I14" s="13" t="n">
        <v>3</v>
      </c>
      <c r="J14" s="12" t="n">
        <v>46.3</v>
      </c>
      <c r="K14" s="13" t="n">
        <v>50</v>
      </c>
      <c r="L14" s="12" t="s">
        <v>611</v>
      </c>
      <c r="M14" s="12" t="s">
        <v>202</v>
      </c>
      <c r="N14" s="12" t="s">
        <v>612</v>
      </c>
      <c r="O14" s="12" t="s">
        <v>613</v>
      </c>
      <c r="P14" s="12" t="s">
        <v>614</v>
      </c>
      <c r="Q14" s="12" t="s">
        <v>615</v>
      </c>
    </row>
    <row r="15" customFormat="false" ht="35.05" hidden="false" customHeight="false" outlineLevel="0" collapsed="false">
      <c r="A15" s="12" t="s">
        <v>616</v>
      </c>
      <c r="B15" s="12" t="s">
        <v>617</v>
      </c>
      <c r="C15" s="12" t="s">
        <v>618</v>
      </c>
      <c r="D15" s="12" t="s">
        <v>619</v>
      </c>
      <c r="E15" s="13" t="n">
        <v>7</v>
      </c>
      <c r="F15" s="13" t="n">
        <v>5</v>
      </c>
      <c r="G15" s="12" t="s">
        <v>531</v>
      </c>
      <c r="H15" s="15" t="n">
        <f aca="false">IF(G15="SATISFACCION",F15/SUMIF($G$5:$G$21,"SATISFACCION",$F$5:$F$21),0)</f>
        <v>0.0793650793650794</v>
      </c>
      <c r="I15" s="13" t="n">
        <v>5</v>
      </c>
      <c r="J15" s="12" t="n">
        <v>43.2</v>
      </c>
      <c r="K15" s="13" t="n">
        <v>50</v>
      </c>
      <c r="L15" s="12" t="s">
        <v>620</v>
      </c>
      <c r="M15" s="12" t="s">
        <v>621</v>
      </c>
      <c r="N15" s="12" t="s">
        <v>622</v>
      </c>
      <c r="O15" s="12" t="s">
        <v>623</v>
      </c>
      <c r="P15" s="12" t="s">
        <v>624</v>
      </c>
      <c r="Q15" s="12" t="s">
        <v>625</v>
      </c>
    </row>
    <row r="16" customFormat="false" ht="35.05" hidden="false" customHeight="false" outlineLevel="0" collapsed="false">
      <c r="A16" s="12" t="s">
        <v>626</v>
      </c>
      <c r="B16" s="12" t="s">
        <v>627</v>
      </c>
      <c r="C16" s="12" t="s">
        <v>618</v>
      </c>
      <c r="D16" s="12" t="s">
        <v>628</v>
      </c>
      <c r="E16" s="13" t="n">
        <v>5</v>
      </c>
      <c r="F16" s="13" t="n">
        <v>3</v>
      </c>
      <c r="G16" s="12" t="s">
        <v>531</v>
      </c>
      <c r="H16" s="15" t="n">
        <f aca="false">IF(G16="SATISFACCION",F16/SUMIF($G$5:$G$21,"SATISFACCION",$F$5:$F$21),0)</f>
        <v>0.0476190476190476</v>
      </c>
      <c r="I16" s="13" t="n">
        <v>5</v>
      </c>
      <c r="J16" s="12" t="n">
        <v>48.6</v>
      </c>
      <c r="K16" s="13" t="n">
        <v>50</v>
      </c>
      <c r="L16" s="12" t="s">
        <v>629</v>
      </c>
      <c r="M16" s="12" t="s">
        <v>630</v>
      </c>
      <c r="N16" s="12" t="s">
        <v>631</v>
      </c>
      <c r="O16" s="12" t="s">
        <v>632</v>
      </c>
      <c r="P16" s="12" t="s">
        <v>633</v>
      </c>
      <c r="Q16" s="12" t="s">
        <v>634</v>
      </c>
    </row>
    <row r="17" customFormat="false" ht="23.85" hidden="false" customHeight="false" outlineLevel="0" collapsed="false">
      <c r="A17" s="12" t="s">
        <v>635</v>
      </c>
      <c r="B17" s="12" t="s">
        <v>636</v>
      </c>
      <c r="C17" s="12" t="s">
        <v>618</v>
      </c>
      <c r="D17" s="12" t="s">
        <v>637</v>
      </c>
      <c r="E17" s="13" t="n">
        <v>5</v>
      </c>
      <c r="F17" s="13" t="n">
        <v>3</v>
      </c>
      <c r="G17" s="12" t="s">
        <v>531</v>
      </c>
      <c r="H17" s="15" t="n">
        <f aca="false">IF(G17="SATISFACCION",F17/SUMIF($G$5:$G$21,"SATISFACCION",$F$5:$F$21),0)</f>
        <v>0.0476190476190476</v>
      </c>
      <c r="I17" s="13" t="n">
        <v>6</v>
      </c>
      <c r="J17" s="12" t="n">
        <v>49.5</v>
      </c>
      <c r="K17" s="13" t="n">
        <v>50</v>
      </c>
      <c r="L17" s="12" t="s">
        <v>638</v>
      </c>
      <c r="M17" s="12" t="s">
        <v>202</v>
      </c>
      <c r="N17" s="12" t="s">
        <v>639</v>
      </c>
      <c r="O17" s="12" t="s">
        <v>640</v>
      </c>
      <c r="P17" s="12" t="s">
        <v>641</v>
      </c>
      <c r="Q17" s="12" t="s">
        <v>642</v>
      </c>
    </row>
    <row r="18" customFormat="false" ht="23.85" hidden="false" customHeight="false" outlineLevel="0" collapsed="false">
      <c r="A18" s="12" t="s">
        <v>643</v>
      </c>
      <c r="B18" s="12" t="s">
        <v>644</v>
      </c>
      <c r="C18" s="12" t="s">
        <v>645</v>
      </c>
      <c r="D18" s="12" t="s">
        <v>646</v>
      </c>
      <c r="E18" s="13" t="n">
        <v>8</v>
      </c>
      <c r="F18" s="13" t="n">
        <v>5</v>
      </c>
      <c r="G18" s="12" t="s">
        <v>134</v>
      </c>
      <c r="H18" s="15" t="n">
        <f aca="false">IF(G18="SATISFACCION",F18/SUMIF($G$5:$G$21,"SATISFACCION",$F$5:$F$21),0)</f>
        <v>0</v>
      </c>
      <c r="I18" s="13" t="n">
        <v>2</v>
      </c>
      <c r="J18" s="12" t="n">
        <v>44.5</v>
      </c>
      <c r="K18" s="13" t="n">
        <v>75</v>
      </c>
      <c r="L18" s="12" t="s">
        <v>647</v>
      </c>
      <c r="M18" s="12" t="s">
        <v>648</v>
      </c>
      <c r="N18" s="12" t="s">
        <v>649</v>
      </c>
      <c r="O18" s="12" t="s">
        <v>650</v>
      </c>
      <c r="P18" s="12" t="s">
        <v>651</v>
      </c>
      <c r="Q18" s="12" t="s">
        <v>652</v>
      </c>
    </row>
    <row r="19" customFormat="false" ht="23.85" hidden="false" customHeight="false" outlineLevel="0" collapsed="false">
      <c r="A19" s="12" t="s">
        <v>653</v>
      </c>
      <c r="B19" s="12" t="s">
        <v>654</v>
      </c>
      <c r="C19" s="12" t="s">
        <v>645</v>
      </c>
      <c r="D19" s="12" t="s">
        <v>655</v>
      </c>
      <c r="E19" s="13" t="n">
        <v>6</v>
      </c>
      <c r="F19" s="13" t="n">
        <v>2</v>
      </c>
      <c r="G19" s="12" t="s">
        <v>134</v>
      </c>
      <c r="H19" s="15" t="n">
        <f aca="false">IF(G19="SATISFACCION",F19/SUMIF($G$5:$G$21,"SATISFACCION",$F$5:$F$21),0)</f>
        <v>0</v>
      </c>
      <c r="I19" s="13" t="n">
        <v>4</v>
      </c>
      <c r="J19" s="12" t="n">
        <v>47.4</v>
      </c>
      <c r="K19" s="13" t="n">
        <v>60</v>
      </c>
      <c r="L19" s="12" t="s">
        <v>656</v>
      </c>
      <c r="M19" s="12" t="s">
        <v>202</v>
      </c>
      <c r="N19" s="12" t="s">
        <v>657</v>
      </c>
      <c r="O19" s="12" t="s">
        <v>658</v>
      </c>
      <c r="P19" s="12" t="s">
        <v>659</v>
      </c>
      <c r="Q19" s="12" t="s">
        <v>660</v>
      </c>
    </row>
    <row r="20" customFormat="false" ht="35.05" hidden="false" customHeight="false" outlineLevel="0" collapsed="false">
      <c r="A20" s="12" t="s">
        <v>661</v>
      </c>
      <c r="B20" s="12" t="s">
        <v>662</v>
      </c>
      <c r="C20" s="12" t="s">
        <v>645</v>
      </c>
      <c r="D20" s="12" t="s">
        <v>663</v>
      </c>
      <c r="E20" s="13" t="n">
        <v>7</v>
      </c>
      <c r="F20" s="13" t="n">
        <v>0</v>
      </c>
      <c r="G20" s="12" t="s">
        <v>664</v>
      </c>
      <c r="H20" s="15" t="n">
        <f aca="false">IF(G20="SATISFACCION",F20/SUMIF($G$5:$G$21,"SATISFACCION",$F$5:$F$21),0)</f>
        <v>0</v>
      </c>
      <c r="I20" s="13" t="n">
        <v>8</v>
      </c>
      <c r="J20" s="12" t="n">
        <v>53.1</v>
      </c>
      <c r="K20" s="13" t="n">
        <v>30</v>
      </c>
      <c r="L20" s="12" t="s">
        <v>665</v>
      </c>
      <c r="M20" s="12" t="s">
        <v>666</v>
      </c>
      <c r="N20" s="12" t="s">
        <v>667</v>
      </c>
      <c r="O20" s="12" t="s">
        <v>668</v>
      </c>
      <c r="P20" s="12" t="s">
        <v>669</v>
      </c>
      <c r="Q20" s="12" t="s">
        <v>670</v>
      </c>
    </row>
    <row r="21" customFormat="false" ht="23.85" hidden="false" customHeight="false" outlineLevel="0" collapsed="false">
      <c r="A21" s="12" t="s">
        <v>671</v>
      </c>
      <c r="B21" s="12" t="s">
        <v>672</v>
      </c>
      <c r="C21" s="12" t="s">
        <v>645</v>
      </c>
      <c r="D21" s="12" t="s">
        <v>673</v>
      </c>
      <c r="E21" s="13" t="n">
        <v>8</v>
      </c>
      <c r="F21" s="13" t="n">
        <v>6</v>
      </c>
      <c r="G21" s="12" t="s">
        <v>134</v>
      </c>
      <c r="H21" s="15" t="n">
        <f aca="false">IF(G21="SATISFACCION",F21/SUMIF($G$5:$G$21,"SATISFACCION",$F$5:$F$21),0)</f>
        <v>0</v>
      </c>
      <c r="I21" s="13" t="n">
        <v>5</v>
      </c>
      <c r="J21" s="12" t="n">
        <v>44.1</v>
      </c>
      <c r="K21" s="13" t="n">
        <v>50</v>
      </c>
      <c r="L21" s="12" t="s">
        <v>674</v>
      </c>
      <c r="M21" s="12" t="s">
        <v>675</v>
      </c>
      <c r="N21" s="12" t="s">
        <v>676</v>
      </c>
      <c r="O21" s="12" t="s">
        <v>677</v>
      </c>
      <c r="P21" s="12" t="s">
        <v>678</v>
      </c>
      <c r="Q21" s="12" t="s">
        <v>679</v>
      </c>
    </row>
    <row r="23" customFormat="false" ht="15" hidden="false" customHeight="false" outlineLevel="0" collapsed="false">
      <c r="A23" s="3" t="s">
        <v>680</v>
      </c>
      <c r="B23" s="4"/>
    </row>
    <row r="24" customFormat="false" ht="15" hidden="false" customHeight="false" outlineLevel="0" collapsed="false">
      <c r="A24" s="5" t="s">
        <v>514</v>
      </c>
      <c r="B24" s="6" t="s">
        <v>681</v>
      </c>
    </row>
    <row r="25" customFormat="false" ht="15" hidden="false" customHeight="false" outlineLevel="0" collapsed="false">
      <c r="A25" s="5" t="s">
        <v>515</v>
      </c>
      <c r="B25" s="6" t="s">
        <v>682</v>
      </c>
    </row>
    <row r="26" customFormat="false" ht="23.85" hidden="false" customHeight="false" outlineLevel="0" collapsed="false">
      <c r="A26" s="5" t="s">
        <v>518</v>
      </c>
      <c r="B26" s="6" t="s">
        <v>683</v>
      </c>
    </row>
    <row r="27" customFormat="false" ht="15" hidden="false" customHeight="false" outlineLevel="0" collapsed="false">
      <c r="A27" s="3" t="s">
        <v>684</v>
      </c>
      <c r="B27" s="4"/>
    </row>
    <row r="28" customFormat="false" ht="15" hidden="false" customHeight="false" outlineLevel="0" collapsed="false">
      <c r="A28" s="5" t="s">
        <v>685</v>
      </c>
      <c r="B28" s="6" t="s">
        <v>686</v>
      </c>
    </row>
    <row r="29" customFormat="false" ht="15" hidden="false" customHeight="false" outlineLevel="0" collapsed="false">
      <c r="A29" s="5" t="s">
        <v>687</v>
      </c>
      <c r="B29" s="6" t="s">
        <v>688</v>
      </c>
    </row>
    <row r="30" customFormat="false" ht="23.85" hidden="false" customHeight="false" outlineLevel="0" collapsed="false">
      <c r="A30" s="5" t="s">
        <v>689</v>
      </c>
      <c r="B30" s="6" t="s">
        <v>690</v>
      </c>
    </row>
    <row r="31" customFormat="false" ht="23.85" hidden="false" customHeight="false" outlineLevel="0" collapsed="false">
      <c r="A31" s="5" t="s">
        <v>691</v>
      </c>
      <c r="B31" s="6" t="s">
        <v>692</v>
      </c>
    </row>
    <row r="32" customFormat="false" ht="35.05" hidden="false" customHeight="false" outlineLevel="0" collapsed="false">
      <c r="A32" s="5" t="s">
        <v>693</v>
      </c>
      <c r="B32" s="6" t="s">
        <v>694</v>
      </c>
    </row>
    <row r="33" customFormat="false" ht="35.05" hidden="false" customHeight="false" outlineLevel="0" collapsed="false">
      <c r="A33" s="5" t="s">
        <v>695</v>
      </c>
      <c r="B33" s="6" t="s">
        <v>696</v>
      </c>
    </row>
    <row r="34" customFormat="false" ht="35.05" hidden="false" customHeight="false" outlineLevel="0" collapsed="false">
      <c r="A34" s="5" t="s">
        <v>697</v>
      </c>
      <c r="B34" s="6" t="s">
        <v>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699</v>
      </c>
    </row>
    <row r="2" customFormat="false" ht="15" hidden="false" customHeight="false" outlineLevel="0" collapsed="false">
      <c r="A2" s="2" t="s">
        <v>700</v>
      </c>
    </row>
    <row r="4" customFormat="false" ht="23.85" hidden="false" customHeight="false" outlineLevel="0" collapsed="false">
      <c r="A4" s="11" t="s">
        <v>511</v>
      </c>
      <c r="B4" s="11" t="s">
        <v>221</v>
      </c>
      <c r="C4" s="11" t="s">
        <v>701</v>
      </c>
      <c r="D4" s="11" t="s">
        <v>702</v>
      </c>
      <c r="E4" s="11" t="s">
        <v>703</v>
      </c>
    </row>
    <row r="5" customFormat="false" ht="15" hidden="false" customHeight="false" outlineLevel="0" collapsed="false">
      <c r="A5" s="12" t="s">
        <v>527</v>
      </c>
      <c r="B5" s="12" t="s">
        <v>267</v>
      </c>
      <c r="C5" s="13" t="n">
        <v>8</v>
      </c>
      <c r="D5" s="12" t="s">
        <v>243</v>
      </c>
      <c r="E5" s="12" t="s">
        <v>704</v>
      </c>
    </row>
    <row r="6" customFormat="false" ht="15" hidden="false" customHeight="false" outlineLevel="0" collapsed="false">
      <c r="A6" s="12" t="s">
        <v>527</v>
      </c>
      <c r="B6" s="12" t="s">
        <v>248</v>
      </c>
      <c r="C6" s="13" t="n">
        <v>8</v>
      </c>
      <c r="D6" s="12" t="s">
        <v>243</v>
      </c>
      <c r="E6" s="12" t="s">
        <v>705</v>
      </c>
    </row>
    <row r="7" customFormat="false" ht="15" hidden="false" customHeight="false" outlineLevel="0" collapsed="false">
      <c r="A7" s="12" t="s">
        <v>527</v>
      </c>
      <c r="B7" s="12" t="s">
        <v>277</v>
      </c>
      <c r="C7" s="13" t="n">
        <v>-7</v>
      </c>
      <c r="D7" s="12" t="s">
        <v>273</v>
      </c>
      <c r="E7" s="12" t="s">
        <v>706</v>
      </c>
    </row>
    <row r="8" customFormat="false" ht="15" hidden="false" customHeight="false" outlineLevel="0" collapsed="false">
      <c r="A8" s="12" t="s">
        <v>527</v>
      </c>
      <c r="B8" s="12" t="s">
        <v>235</v>
      </c>
      <c r="C8" s="13" t="n">
        <v>-5</v>
      </c>
      <c r="D8" s="12" t="s">
        <v>273</v>
      </c>
      <c r="E8" s="12" t="s">
        <v>707</v>
      </c>
    </row>
    <row r="9" customFormat="false" ht="15" hidden="false" customHeight="false" outlineLevel="0" collapsed="false">
      <c r="A9" s="12" t="s">
        <v>527</v>
      </c>
      <c r="B9" s="12" t="s">
        <v>370</v>
      </c>
      <c r="C9" s="13" t="n">
        <v>-5</v>
      </c>
      <c r="D9" s="12" t="s">
        <v>273</v>
      </c>
      <c r="E9" s="12" t="s">
        <v>708</v>
      </c>
    </row>
    <row r="10" customFormat="false" ht="15" hidden="false" customHeight="false" outlineLevel="0" collapsed="false">
      <c r="A10" s="12" t="s">
        <v>527</v>
      </c>
      <c r="B10" s="12" t="s">
        <v>296</v>
      </c>
      <c r="C10" s="13" t="n">
        <v>4</v>
      </c>
      <c r="D10" s="12" t="s">
        <v>321</v>
      </c>
      <c r="E10" s="12" t="s">
        <v>709</v>
      </c>
    </row>
    <row r="11" customFormat="false" ht="15" hidden="false" customHeight="false" outlineLevel="0" collapsed="false">
      <c r="A11" s="12" t="s">
        <v>527</v>
      </c>
      <c r="B11" s="12" t="s">
        <v>305</v>
      </c>
      <c r="C11" s="13" t="n">
        <v>4</v>
      </c>
      <c r="D11" s="12" t="s">
        <v>321</v>
      </c>
      <c r="E11" s="12" t="s">
        <v>710</v>
      </c>
    </row>
    <row r="12" customFormat="false" ht="15" hidden="false" customHeight="false" outlineLevel="0" collapsed="false">
      <c r="A12" s="12" t="s">
        <v>538</v>
      </c>
      <c r="B12" s="12" t="s">
        <v>277</v>
      </c>
      <c r="C12" s="13" t="n">
        <v>-10</v>
      </c>
      <c r="D12" s="12" t="s">
        <v>243</v>
      </c>
      <c r="E12" s="12" t="s">
        <v>711</v>
      </c>
    </row>
    <row r="13" customFormat="false" ht="15" hidden="false" customHeight="false" outlineLevel="0" collapsed="false">
      <c r="A13" s="12" t="s">
        <v>538</v>
      </c>
      <c r="B13" s="12" t="s">
        <v>296</v>
      </c>
      <c r="C13" s="13" t="n">
        <v>7</v>
      </c>
      <c r="D13" s="12" t="s">
        <v>273</v>
      </c>
      <c r="E13" s="12" t="s">
        <v>712</v>
      </c>
    </row>
    <row r="14" customFormat="false" ht="15" hidden="false" customHeight="false" outlineLevel="0" collapsed="false">
      <c r="A14" s="12" t="s">
        <v>538</v>
      </c>
      <c r="B14" s="12" t="s">
        <v>305</v>
      </c>
      <c r="C14" s="13" t="n">
        <v>6</v>
      </c>
      <c r="D14" s="12" t="s">
        <v>273</v>
      </c>
      <c r="E14" s="12" t="s">
        <v>713</v>
      </c>
    </row>
    <row r="15" customFormat="false" ht="15" hidden="false" customHeight="false" outlineLevel="0" collapsed="false">
      <c r="A15" s="12" t="s">
        <v>538</v>
      </c>
      <c r="B15" s="12" t="s">
        <v>235</v>
      </c>
      <c r="C15" s="13" t="n">
        <v>-4</v>
      </c>
      <c r="D15" s="12" t="s">
        <v>321</v>
      </c>
      <c r="E15" s="12" t="s">
        <v>714</v>
      </c>
    </row>
    <row r="16" customFormat="false" ht="15" hidden="false" customHeight="false" outlineLevel="0" collapsed="false">
      <c r="A16" s="12" t="s">
        <v>538</v>
      </c>
      <c r="B16" s="12" t="s">
        <v>351</v>
      </c>
      <c r="C16" s="13" t="n">
        <v>3</v>
      </c>
      <c r="D16" s="12" t="s">
        <v>321</v>
      </c>
      <c r="E16" s="12" t="s">
        <v>715</v>
      </c>
    </row>
    <row r="17" customFormat="false" ht="15" hidden="false" customHeight="false" outlineLevel="0" collapsed="false">
      <c r="A17" s="12" t="s">
        <v>547</v>
      </c>
      <c r="B17" s="12" t="s">
        <v>286</v>
      </c>
      <c r="C17" s="13" t="n">
        <v>10</v>
      </c>
      <c r="D17" s="12" t="s">
        <v>243</v>
      </c>
      <c r="E17" s="12" t="s">
        <v>716</v>
      </c>
    </row>
    <row r="18" customFormat="false" ht="15" hidden="false" customHeight="false" outlineLevel="0" collapsed="false">
      <c r="A18" s="12" t="s">
        <v>547</v>
      </c>
      <c r="B18" s="12" t="s">
        <v>235</v>
      </c>
      <c r="C18" s="13" t="n">
        <v>-7</v>
      </c>
      <c r="D18" s="12" t="s">
        <v>273</v>
      </c>
      <c r="E18" s="12" t="s">
        <v>717</v>
      </c>
    </row>
    <row r="19" customFormat="false" ht="15" hidden="false" customHeight="false" outlineLevel="0" collapsed="false">
      <c r="A19" s="12" t="s">
        <v>547</v>
      </c>
      <c r="B19" s="12" t="s">
        <v>296</v>
      </c>
      <c r="C19" s="13" t="n">
        <v>6</v>
      </c>
      <c r="D19" s="12" t="s">
        <v>273</v>
      </c>
      <c r="E19" s="12" t="s">
        <v>718</v>
      </c>
    </row>
    <row r="20" customFormat="false" ht="15" hidden="false" customHeight="false" outlineLevel="0" collapsed="false">
      <c r="A20" s="12" t="s">
        <v>547</v>
      </c>
      <c r="B20" s="12" t="s">
        <v>351</v>
      </c>
      <c r="C20" s="13" t="n">
        <v>5</v>
      </c>
      <c r="D20" s="12" t="s">
        <v>273</v>
      </c>
      <c r="E20" s="12" t="s">
        <v>719</v>
      </c>
    </row>
    <row r="21" customFormat="false" ht="15" hidden="false" customHeight="false" outlineLevel="0" collapsed="false">
      <c r="A21" s="12" t="s">
        <v>547</v>
      </c>
      <c r="B21" s="12" t="s">
        <v>267</v>
      </c>
      <c r="C21" s="13" t="n">
        <v>3</v>
      </c>
      <c r="D21" s="12" t="s">
        <v>321</v>
      </c>
      <c r="E21" s="12" t="s">
        <v>720</v>
      </c>
    </row>
    <row r="22" customFormat="false" ht="15" hidden="false" customHeight="false" outlineLevel="0" collapsed="false">
      <c r="A22" s="12" t="s">
        <v>547</v>
      </c>
      <c r="B22" s="12" t="s">
        <v>370</v>
      </c>
      <c r="C22" s="13" t="n">
        <v>-3</v>
      </c>
      <c r="D22" s="12" t="s">
        <v>321</v>
      </c>
      <c r="E22" s="12" t="s">
        <v>721</v>
      </c>
    </row>
    <row r="23" customFormat="false" ht="15" hidden="false" customHeight="false" outlineLevel="0" collapsed="false">
      <c r="A23" s="12" t="s">
        <v>556</v>
      </c>
      <c r="B23" s="12" t="s">
        <v>258</v>
      </c>
      <c r="C23" s="13" t="n">
        <v>10</v>
      </c>
      <c r="D23" s="12" t="s">
        <v>243</v>
      </c>
      <c r="E23" s="12" t="s">
        <v>722</v>
      </c>
    </row>
    <row r="24" customFormat="false" ht="15" hidden="false" customHeight="false" outlineLevel="0" collapsed="false">
      <c r="A24" s="12" t="s">
        <v>556</v>
      </c>
      <c r="B24" s="12" t="s">
        <v>248</v>
      </c>
      <c r="C24" s="13" t="n">
        <v>8</v>
      </c>
      <c r="D24" s="12" t="s">
        <v>243</v>
      </c>
      <c r="E24" s="12" t="s">
        <v>723</v>
      </c>
    </row>
    <row r="25" customFormat="false" ht="15" hidden="false" customHeight="false" outlineLevel="0" collapsed="false">
      <c r="A25" s="12" t="s">
        <v>556</v>
      </c>
      <c r="B25" s="12" t="s">
        <v>325</v>
      </c>
      <c r="C25" s="13" t="n">
        <v>4</v>
      </c>
      <c r="D25" s="12" t="s">
        <v>321</v>
      </c>
      <c r="E25" s="12" t="s">
        <v>724</v>
      </c>
    </row>
    <row r="26" customFormat="false" ht="15" hidden="false" customHeight="false" outlineLevel="0" collapsed="false">
      <c r="A26" s="12" t="s">
        <v>556</v>
      </c>
      <c r="B26" s="12" t="s">
        <v>235</v>
      </c>
      <c r="C26" s="13" t="n">
        <v>-4</v>
      </c>
      <c r="D26" s="12" t="s">
        <v>321</v>
      </c>
      <c r="E26" s="12" t="s">
        <v>725</v>
      </c>
    </row>
    <row r="27" customFormat="false" ht="15" hidden="false" customHeight="false" outlineLevel="0" collapsed="false">
      <c r="A27" s="12" t="s">
        <v>566</v>
      </c>
      <c r="B27" s="12" t="s">
        <v>248</v>
      </c>
      <c r="C27" s="13" t="n">
        <v>9</v>
      </c>
      <c r="D27" s="12" t="s">
        <v>243</v>
      </c>
      <c r="E27" s="12" t="s">
        <v>726</v>
      </c>
    </row>
    <row r="28" customFormat="false" ht="15" hidden="false" customHeight="false" outlineLevel="0" collapsed="false">
      <c r="A28" s="12" t="s">
        <v>566</v>
      </c>
      <c r="B28" s="12" t="s">
        <v>267</v>
      </c>
      <c r="C28" s="13" t="n">
        <v>8</v>
      </c>
      <c r="D28" s="12" t="s">
        <v>243</v>
      </c>
      <c r="E28" s="12" t="s">
        <v>727</v>
      </c>
    </row>
    <row r="29" customFormat="false" ht="15" hidden="false" customHeight="false" outlineLevel="0" collapsed="false">
      <c r="A29" s="12" t="s">
        <v>566</v>
      </c>
      <c r="B29" s="12" t="s">
        <v>277</v>
      </c>
      <c r="C29" s="13" t="n">
        <v>-7</v>
      </c>
      <c r="D29" s="12" t="s">
        <v>273</v>
      </c>
      <c r="E29" s="12" t="s">
        <v>728</v>
      </c>
    </row>
    <row r="30" customFormat="false" ht="15" hidden="false" customHeight="false" outlineLevel="0" collapsed="false">
      <c r="A30" s="12" t="s">
        <v>566</v>
      </c>
      <c r="B30" s="12" t="s">
        <v>235</v>
      </c>
      <c r="C30" s="13" t="n">
        <v>-5</v>
      </c>
      <c r="D30" s="12" t="s">
        <v>273</v>
      </c>
      <c r="E30" s="12" t="s">
        <v>729</v>
      </c>
    </row>
    <row r="31" customFormat="false" ht="15" hidden="false" customHeight="false" outlineLevel="0" collapsed="false">
      <c r="A31" s="12" t="s">
        <v>566</v>
      </c>
      <c r="B31" s="12" t="s">
        <v>258</v>
      </c>
      <c r="C31" s="13" t="n">
        <v>4</v>
      </c>
      <c r="D31" s="12" t="s">
        <v>321</v>
      </c>
      <c r="E31" s="12" t="s">
        <v>730</v>
      </c>
    </row>
    <row r="32" customFormat="false" ht="15" hidden="false" customHeight="false" outlineLevel="0" collapsed="false">
      <c r="A32" s="12" t="s">
        <v>566</v>
      </c>
      <c r="B32" s="12" t="s">
        <v>370</v>
      </c>
      <c r="C32" s="13" t="n">
        <v>-3</v>
      </c>
      <c r="D32" s="12" t="s">
        <v>321</v>
      </c>
      <c r="E32" s="12" t="s">
        <v>731</v>
      </c>
    </row>
    <row r="33" customFormat="false" ht="15" hidden="false" customHeight="false" outlineLevel="0" collapsed="false">
      <c r="A33" s="12" t="s">
        <v>574</v>
      </c>
      <c r="B33" s="12" t="s">
        <v>258</v>
      </c>
      <c r="C33" s="13" t="n">
        <v>9</v>
      </c>
      <c r="D33" s="12" t="s">
        <v>243</v>
      </c>
      <c r="E33" s="12" t="s">
        <v>732</v>
      </c>
    </row>
    <row r="34" customFormat="false" ht="15" hidden="false" customHeight="false" outlineLevel="0" collapsed="false">
      <c r="A34" s="12" t="s">
        <v>574</v>
      </c>
      <c r="B34" s="12" t="s">
        <v>235</v>
      </c>
      <c r="C34" s="13" t="n">
        <v>-8</v>
      </c>
      <c r="D34" s="12" t="s">
        <v>243</v>
      </c>
      <c r="E34" s="12" t="s">
        <v>733</v>
      </c>
    </row>
    <row r="35" customFormat="false" ht="15" hidden="false" customHeight="false" outlineLevel="0" collapsed="false">
      <c r="A35" s="12" t="s">
        <v>574</v>
      </c>
      <c r="B35" s="12" t="s">
        <v>333</v>
      </c>
      <c r="C35" s="13" t="n">
        <v>7</v>
      </c>
      <c r="D35" s="12" t="s">
        <v>273</v>
      </c>
      <c r="E35" s="12" t="s">
        <v>734</v>
      </c>
    </row>
    <row r="36" customFormat="false" ht="15" hidden="false" customHeight="false" outlineLevel="0" collapsed="false">
      <c r="A36" s="12" t="s">
        <v>574</v>
      </c>
      <c r="B36" s="12" t="s">
        <v>315</v>
      </c>
      <c r="C36" s="13" t="n">
        <v>5</v>
      </c>
      <c r="D36" s="12" t="s">
        <v>273</v>
      </c>
      <c r="E36" s="12" t="s">
        <v>735</v>
      </c>
    </row>
    <row r="37" customFormat="false" ht="15" hidden="false" customHeight="false" outlineLevel="0" collapsed="false">
      <c r="A37" s="12" t="s">
        <v>574</v>
      </c>
      <c r="B37" s="12" t="s">
        <v>277</v>
      </c>
      <c r="C37" s="13" t="n">
        <v>-5</v>
      </c>
      <c r="D37" s="12" t="s">
        <v>273</v>
      </c>
      <c r="E37" s="12" t="s">
        <v>736</v>
      </c>
    </row>
    <row r="38" customFormat="false" ht="15" hidden="false" customHeight="false" outlineLevel="0" collapsed="false">
      <c r="A38" s="12" t="s">
        <v>574</v>
      </c>
      <c r="B38" s="12" t="s">
        <v>325</v>
      </c>
      <c r="C38" s="13" t="n">
        <v>4</v>
      </c>
      <c r="D38" s="12" t="s">
        <v>321</v>
      </c>
      <c r="E38" s="12" t="s">
        <v>737</v>
      </c>
    </row>
    <row r="39" customFormat="false" ht="15" hidden="false" customHeight="false" outlineLevel="0" collapsed="false">
      <c r="A39" s="12" t="s">
        <v>574</v>
      </c>
      <c r="B39" s="12" t="s">
        <v>370</v>
      </c>
      <c r="C39" s="13" t="n">
        <v>-4</v>
      </c>
      <c r="D39" s="12" t="s">
        <v>321</v>
      </c>
      <c r="E39" s="12" t="s">
        <v>738</v>
      </c>
    </row>
    <row r="40" customFormat="false" ht="15" hidden="false" customHeight="false" outlineLevel="0" collapsed="false">
      <c r="A40" s="12" t="s">
        <v>574</v>
      </c>
      <c r="B40" s="12" t="s">
        <v>351</v>
      </c>
      <c r="C40" s="13" t="n">
        <v>3</v>
      </c>
      <c r="D40" s="12" t="s">
        <v>321</v>
      </c>
      <c r="E40" s="12" t="s">
        <v>739</v>
      </c>
    </row>
    <row r="41" customFormat="false" ht="15" hidden="false" customHeight="false" outlineLevel="0" collapsed="false">
      <c r="A41" s="12" t="s">
        <v>585</v>
      </c>
      <c r="B41" s="12" t="s">
        <v>325</v>
      </c>
      <c r="C41" s="13" t="n">
        <v>10</v>
      </c>
      <c r="D41" s="12" t="s">
        <v>243</v>
      </c>
      <c r="E41" s="12" t="s">
        <v>740</v>
      </c>
    </row>
    <row r="42" customFormat="false" ht="15" hidden="false" customHeight="false" outlineLevel="0" collapsed="false">
      <c r="A42" s="12" t="s">
        <v>585</v>
      </c>
      <c r="B42" s="12" t="s">
        <v>258</v>
      </c>
      <c r="C42" s="13" t="n">
        <v>8</v>
      </c>
      <c r="D42" s="12" t="s">
        <v>243</v>
      </c>
      <c r="E42" s="12" t="s">
        <v>741</v>
      </c>
    </row>
    <row r="43" customFormat="false" ht="15" hidden="false" customHeight="false" outlineLevel="0" collapsed="false">
      <c r="A43" s="12" t="s">
        <v>585</v>
      </c>
      <c r="B43" s="12" t="s">
        <v>248</v>
      </c>
      <c r="C43" s="13" t="n">
        <v>7</v>
      </c>
      <c r="D43" s="12" t="s">
        <v>273</v>
      </c>
      <c r="E43" s="12" t="s">
        <v>742</v>
      </c>
    </row>
    <row r="44" customFormat="false" ht="15" hidden="false" customHeight="false" outlineLevel="0" collapsed="false">
      <c r="A44" s="12" t="s">
        <v>585</v>
      </c>
      <c r="B44" s="12" t="s">
        <v>235</v>
      </c>
      <c r="C44" s="13" t="n">
        <v>-6</v>
      </c>
      <c r="D44" s="12" t="s">
        <v>273</v>
      </c>
      <c r="E44" s="12" t="s">
        <v>743</v>
      </c>
    </row>
    <row r="45" customFormat="false" ht="15" hidden="false" customHeight="false" outlineLevel="0" collapsed="false">
      <c r="A45" s="12" t="s">
        <v>585</v>
      </c>
      <c r="B45" s="12" t="s">
        <v>333</v>
      </c>
      <c r="C45" s="13" t="n">
        <v>5</v>
      </c>
      <c r="D45" s="12" t="s">
        <v>273</v>
      </c>
      <c r="E45" s="12" t="s">
        <v>744</v>
      </c>
    </row>
    <row r="46" customFormat="false" ht="15" hidden="false" customHeight="false" outlineLevel="0" collapsed="false">
      <c r="A46" s="12" t="s">
        <v>585</v>
      </c>
      <c r="B46" s="12" t="s">
        <v>315</v>
      </c>
      <c r="C46" s="13" t="n">
        <v>3</v>
      </c>
      <c r="D46" s="12" t="s">
        <v>321</v>
      </c>
      <c r="E46" s="12" t="s">
        <v>745</v>
      </c>
    </row>
    <row r="47" customFormat="false" ht="15" hidden="false" customHeight="false" outlineLevel="0" collapsed="false">
      <c r="A47" s="12" t="s">
        <v>592</v>
      </c>
      <c r="B47" s="12" t="s">
        <v>315</v>
      </c>
      <c r="C47" s="13" t="n">
        <v>10</v>
      </c>
      <c r="D47" s="12" t="s">
        <v>243</v>
      </c>
      <c r="E47" s="12" t="s">
        <v>746</v>
      </c>
    </row>
    <row r="48" customFormat="false" ht="15" hidden="false" customHeight="false" outlineLevel="0" collapsed="false">
      <c r="A48" s="12" t="s">
        <v>592</v>
      </c>
      <c r="B48" s="12" t="s">
        <v>341</v>
      </c>
      <c r="C48" s="13" t="n">
        <v>5</v>
      </c>
      <c r="D48" s="12" t="s">
        <v>273</v>
      </c>
      <c r="E48" s="12" t="s">
        <v>747</v>
      </c>
    </row>
    <row r="49" customFormat="false" ht="15" hidden="false" customHeight="false" outlineLevel="0" collapsed="false">
      <c r="A49" s="12" t="s">
        <v>592</v>
      </c>
      <c r="B49" s="12" t="s">
        <v>248</v>
      </c>
      <c r="C49" s="13" t="n">
        <v>5</v>
      </c>
      <c r="D49" s="12" t="s">
        <v>273</v>
      </c>
      <c r="E49" s="12" t="s">
        <v>748</v>
      </c>
    </row>
    <row r="50" customFormat="false" ht="15" hidden="false" customHeight="false" outlineLevel="0" collapsed="false">
      <c r="A50" s="12" t="s">
        <v>592</v>
      </c>
      <c r="B50" s="12" t="s">
        <v>351</v>
      </c>
      <c r="C50" s="13" t="n">
        <v>5</v>
      </c>
      <c r="D50" s="12" t="s">
        <v>273</v>
      </c>
      <c r="E50" s="12" t="s">
        <v>749</v>
      </c>
    </row>
    <row r="51" customFormat="false" ht="15" hidden="false" customHeight="false" outlineLevel="0" collapsed="false">
      <c r="A51" s="12" t="s">
        <v>592</v>
      </c>
      <c r="B51" s="12" t="s">
        <v>361</v>
      </c>
      <c r="C51" s="13" t="n">
        <v>3</v>
      </c>
      <c r="D51" s="12" t="s">
        <v>321</v>
      </c>
      <c r="E51" s="12" t="s">
        <v>750</v>
      </c>
    </row>
    <row r="52" customFormat="false" ht="15" hidden="false" customHeight="false" outlineLevel="0" collapsed="false">
      <c r="A52" s="12" t="s">
        <v>592</v>
      </c>
      <c r="B52" s="12" t="s">
        <v>258</v>
      </c>
      <c r="C52" s="13" t="n">
        <v>3</v>
      </c>
      <c r="D52" s="12" t="s">
        <v>321</v>
      </c>
      <c r="E52" s="12" t="s">
        <v>751</v>
      </c>
    </row>
    <row r="53" customFormat="false" ht="15" hidden="false" customHeight="false" outlineLevel="0" collapsed="false">
      <c r="A53" s="12" t="s">
        <v>600</v>
      </c>
      <c r="B53" s="12" t="s">
        <v>315</v>
      </c>
      <c r="C53" s="13" t="n">
        <v>9</v>
      </c>
      <c r="D53" s="12" t="s">
        <v>243</v>
      </c>
      <c r="E53" s="12" t="s">
        <v>752</v>
      </c>
    </row>
    <row r="54" customFormat="false" ht="15" hidden="false" customHeight="false" outlineLevel="0" collapsed="false">
      <c r="A54" s="12" t="s">
        <v>600</v>
      </c>
      <c r="B54" s="12" t="s">
        <v>258</v>
      </c>
      <c r="C54" s="13" t="n">
        <v>8</v>
      </c>
      <c r="D54" s="12" t="s">
        <v>243</v>
      </c>
      <c r="E54" s="12" t="s">
        <v>753</v>
      </c>
    </row>
    <row r="55" customFormat="false" ht="15" hidden="false" customHeight="false" outlineLevel="0" collapsed="false">
      <c r="A55" s="12" t="s">
        <v>600</v>
      </c>
      <c r="B55" s="12" t="s">
        <v>325</v>
      </c>
      <c r="C55" s="13" t="n">
        <v>3</v>
      </c>
      <c r="D55" s="12" t="s">
        <v>321</v>
      </c>
      <c r="E55" s="12" t="s">
        <v>754</v>
      </c>
    </row>
    <row r="56" customFormat="false" ht="15" hidden="false" customHeight="false" outlineLevel="0" collapsed="false">
      <c r="A56" s="12" t="s">
        <v>600</v>
      </c>
      <c r="B56" s="12" t="s">
        <v>235</v>
      </c>
      <c r="C56" s="13" t="n">
        <v>-3</v>
      </c>
      <c r="D56" s="12" t="s">
        <v>321</v>
      </c>
      <c r="E56" s="12" t="s">
        <v>755</v>
      </c>
    </row>
    <row r="57" customFormat="false" ht="15" hidden="false" customHeight="false" outlineLevel="0" collapsed="false">
      <c r="A57" s="12" t="s">
        <v>608</v>
      </c>
      <c r="B57" s="12" t="s">
        <v>341</v>
      </c>
      <c r="C57" s="13" t="n">
        <v>10</v>
      </c>
      <c r="D57" s="12" t="s">
        <v>243</v>
      </c>
      <c r="E57" s="12" t="s">
        <v>756</v>
      </c>
    </row>
    <row r="58" customFormat="false" ht="15" hidden="false" customHeight="false" outlineLevel="0" collapsed="false">
      <c r="A58" s="12" t="s">
        <v>608</v>
      </c>
      <c r="B58" s="12" t="s">
        <v>315</v>
      </c>
      <c r="C58" s="13" t="n">
        <v>6</v>
      </c>
      <c r="D58" s="12" t="s">
        <v>273</v>
      </c>
      <c r="E58" s="12" t="s">
        <v>757</v>
      </c>
    </row>
    <row r="59" customFormat="false" ht="15" hidden="false" customHeight="false" outlineLevel="0" collapsed="false">
      <c r="A59" s="12" t="s">
        <v>608</v>
      </c>
      <c r="B59" s="12" t="s">
        <v>351</v>
      </c>
      <c r="C59" s="13" t="n">
        <v>4</v>
      </c>
      <c r="D59" s="12" t="s">
        <v>321</v>
      </c>
      <c r="E59" s="12" t="s">
        <v>758</v>
      </c>
    </row>
    <row r="60" customFormat="false" ht="15" hidden="false" customHeight="false" outlineLevel="0" collapsed="false">
      <c r="A60" s="12" t="s">
        <v>608</v>
      </c>
      <c r="B60" s="12" t="s">
        <v>258</v>
      </c>
      <c r="C60" s="13" t="n">
        <v>3</v>
      </c>
      <c r="D60" s="12" t="s">
        <v>321</v>
      </c>
      <c r="E60" s="12" t="s">
        <v>759</v>
      </c>
    </row>
    <row r="61" customFormat="false" ht="15" hidden="false" customHeight="false" outlineLevel="0" collapsed="false">
      <c r="A61" s="12" t="s">
        <v>616</v>
      </c>
      <c r="B61" s="12" t="s">
        <v>325</v>
      </c>
      <c r="C61" s="13" t="n">
        <v>10</v>
      </c>
      <c r="D61" s="12" t="s">
        <v>243</v>
      </c>
      <c r="E61" s="12" t="s">
        <v>760</v>
      </c>
    </row>
    <row r="62" customFormat="false" ht="15" hidden="false" customHeight="false" outlineLevel="0" collapsed="false">
      <c r="A62" s="12" t="s">
        <v>616</v>
      </c>
      <c r="B62" s="12" t="s">
        <v>248</v>
      </c>
      <c r="C62" s="13" t="n">
        <v>6</v>
      </c>
      <c r="D62" s="12" t="s">
        <v>273</v>
      </c>
      <c r="E62" s="12" t="s">
        <v>761</v>
      </c>
    </row>
    <row r="63" customFormat="false" ht="15" hidden="false" customHeight="false" outlineLevel="0" collapsed="false">
      <c r="A63" s="12" t="s">
        <v>616</v>
      </c>
      <c r="B63" s="12" t="s">
        <v>258</v>
      </c>
      <c r="C63" s="13" t="n">
        <v>6</v>
      </c>
      <c r="D63" s="12" t="s">
        <v>273</v>
      </c>
      <c r="E63" s="12" t="s">
        <v>762</v>
      </c>
    </row>
    <row r="64" customFormat="false" ht="15" hidden="false" customHeight="false" outlineLevel="0" collapsed="false">
      <c r="A64" s="12" t="s">
        <v>616</v>
      </c>
      <c r="B64" s="12" t="s">
        <v>235</v>
      </c>
      <c r="C64" s="13" t="n">
        <v>-5</v>
      </c>
      <c r="D64" s="12" t="s">
        <v>273</v>
      </c>
      <c r="E64" s="12" t="s">
        <v>763</v>
      </c>
    </row>
    <row r="65" customFormat="false" ht="15" hidden="false" customHeight="false" outlineLevel="0" collapsed="false">
      <c r="A65" s="12" t="s">
        <v>616</v>
      </c>
      <c r="B65" s="12" t="s">
        <v>351</v>
      </c>
      <c r="C65" s="13" t="n">
        <v>3</v>
      </c>
      <c r="D65" s="12" t="s">
        <v>321</v>
      </c>
      <c r="E65" s="12" t="s">
        <v>764</v>
      </c>
    </row>
    <row r="66" customFormat="false" ht="15" hidden="false" customHeight="false" outlineLevel="0" collapsed="false">
      <c r="A66" s="12" t="s">
        <v>626</v>
      </c>
      <c r="B66" s="12" t="s">
        <v>351</v>
      </c>
      <c r="C66" s="13" t="n">
        <v>10</v>
      </c>
      <c r="D66" s="12" t="s">
        <v>243</v>
      </c>
      <c r="E66" s="12" t="s">
        <v>765</v>
      </c>
    </row>
    <row r="67" customFormat="false" ht="15" hidden="false" customHeight="false" outlineLevel="0" collapsed="false">
      <c r="A67" s="12" t="s">
        <v>626</v>
      </c>
      <c r="B67" s="12" t="s">
        <v>315</v>
      </c>
      <c r="C67" s="13" t="n">
        <v>5</v>
      </c>
      <c r="D67" s="12" t="s">
        <v>273</v>
      </c>
      <c r="E67" s="12" t="s">
        <v>766</v>
      </c>
    </row>
    <row r="68" customFormat="false" ht="15" hidden="false" customHeight="false" outlineLevel="0" collapsed="false">
      <c r="A68" s="12" t="s">
        <v>626</v>
      </c>
      <c r="B68" s="12" t="s">
        <v>325</v>
      </c>
      <c r="C68" s="13" t="n">
        <v>4</v>
      </c>
      <c r="D68" s="12" t="s">
        <v>321</v>
      </c>
      <c r="E68" s="12" t="s">
        <v>767</v>
      </c>
    </row>
    <row r="69" customFormat="false" ht="15" hidden="false" customHeight="false" outlineLevel="0" collapsed="false">
      <c r="A69" s="12" t="s">
        <v>626</v>
      </c>
      <c r="B69" s="12" t="s">
        <v>361</v>
      </c>
      <c r="C69" s="13" t="n">
        <v>3</v>
      </c>
      <c r="D69" s="12" t="s">
        <v>321</v>
      </c>
      <c r="E69" s="12" t="s">
        <v>768</v>
      </c>
    </row>
    <row r="70" customFormat="false" ht="15" hidden="false" customHeight="false" outlineLevel="0" collapsed="false">
      <c r="A70" s="12" t="s">
        <v>626</v>
      </c>
      <c r="B70" s="12" t="s">
        <v>258</v>
      </c>
      <c r="C70" s="13" t="n">
        <v>3</v>
      </c>
      <c r="D70" s="12" t="s">
        <v>321</v>
      </c>
      <c r="E70" s="12" t="s">
        <v>769</v>
      </c>
    </row>
    <row r="71" customFormat="false" ht="15" hidden="false" customHeight="false" outlineLevel="0" collapsed="false">
      <c r="A71" s="12" t="s">
        <v>635</v>
      </c>
      <c r="B71" s="12" t="s">
        <v>361</v>
      </c>
      <c r="C71" s="13" t="n">
        <v>10</v>
      </c>
      <c r="D71" s="12" t="s">
        <v>243</v>
      </c>
      <c r="E71" s="12" t="s">
        <v>770</v>
      </c>
    </row>
    <row r="72" customFormat="false" ht="15" hidden="false" customHeight="false" outlineLevel="0" collapsed="false">
      <c r="A72" s="12" t="s">
        <v>635</v>
      </c>
      <c r="B72" s="12" t="s">
        <v>351</v>
      </c>
      <c r="C72" s="13" t="n">
        <v>5</v>
      </c>
      <c r="D72" s="12" t="s">
        <v>273</v>
      </c>
      <c r="E72" s="12" t="s">
        <v>771</v>
      </c>
    </row>
    <row r="73" customFormat="false" ht="15" hidden="false" customHeight="false" outlineLevel="0" collapsed="false">
      <c r="A73" s="12" t="s">
        <v>635</v>
      </c>
      <c r="B73" s="12" t="s">
        <v>341</v>
      </c>
      <c r="C73" s="13" t="n">
        <v>3</v>
      </c>
      <c r="D73" s="12" t="s">
        <v>321</v>
      </c>
      <c r="E73" s="12" t="s">
        <v>772</v>
      </c>
    </row>
    <row r="74" customFormat="false" ht="15" hidden="false" customHeight="false" outlineLevel="0" collapsed="false">
      <c r="A74" s="12" t="s">
        <v>643</v>
      </c>
      <c r="B74" s="12" t="s">
        <v>132</v>
      </c>
      <c r="C74" s="13" t="n">
        <v>8</v>
      </c>
      <c r="D74" s="12" t="s">
        <v>243</v>
      </c>
      <c r="E74" s="12" t="s">
        <v>773</v>
      </c>
    </row>
    <row r="75" customFormat="false" ht="15" hidden="false" customHeight="false" outlineLevel="0" collapsed="false">
      <c r="A75" s="12" t="s">
        <v>643</v>
      </c>
      <c r="B75" s="12" t="s">
        <v>774</v>
      </c>
      <c r="C75" s="13" t="n">
        <v>5</v>
      </c>
      <c r="D75" s="12" t="s">
        <v>273</v>
      </c>
      <c r="E75" s="12" t="s">
        <v>775</v>
      </c>
    </row>
    <row r="76" customFormat="false" ht="15" hidden="false" customHeight="false" outlineLevel="0" collapsed="false">
      <c r="A76" s="12" t="s">
        <v>643</v>
      </c>
      <c r="B76" s="12" t="s">
        <v>776</v>
      </c>
      <c r="C76" s="13" t="n">
        <v>5</v>
      </c>
      <c r="D76" s="12" t="s">
        <v>273</v>
      </c>
      <c r="E76" s="12" t="s">
        <v>777</v>
      </c>
    </row>
    <row r="77" customFormat="false" ht="15" hidden="false" customHeight="false" outlineLevel="0" collapsed="false">
      <c r="A77" s="12" t="s">
        <v>643</v>
      </c>
      <c r="B77" s="12" t="s">
        <v>778</v>
      </c>
      <c r="C77" s="13" t="n">
        <v>4</v>
      </c>
      <c r="D77" s="12" t="s">
        <v>321</v>
      </c>
      <c r="E77" s="12" t="s">
        <v>779</v>
      </c>
    </row>
    <row r="78" customFormat="false" ht="15" hidden="false" customHeight="false" outlineLevel="0" collapsed="false">
      <c r="A78" s="12" t="s">
        <v>653</v>
      </c>
      <c r="B78" s="12" t="s">
        <v>132</v>
      </c>
      <c r="C78" s="13" t="n">
        <v>5</v>
      </c>
      <c r="D78" s="12" t="s">
        <v>273</v>
      </c>
      <c r="E78" s="12" t="s">
        <v>780</v>
      </c>
    </row>
    <row r="79" customFormat="false" ht="15" hidden="false" customHeight="false" outlineLevel="0" collapsed="false">
      <c r="A79" s="12" t="s">
        <v>653</v>
      </c>
      <c r="B79" s="12" t="s">
        <v>351</v>
      </c>
      <c r="C79" s="13" t="n">
        <v>5</v>
      </c>
      <c r="D79" s="12" t="s">
        <v>273</v>
      </c>
      <c r="E79" s="12" t="s">
        <v>781</v>
      </c>
    </row>
    <row r="80" customFormat="false" ht="15" hidden="false" customHeight="false" outlineLevel="0" collapsed="false">
      <c r="A80" s="12" t="s">
        <v>653</v>
      </c>
      <c r="B80" s="12" t="s">
        <v>286</v>
      </c>
      <c r="C80" s="13" t="n">
        <v>4</v>
      </c>
      <c r="D80" s="12" t="s">
        <v>321</v>
      </c>
      <c r="E80" s="12" t="s">
        <v>782</v>
      </c>
    </row>
    <row r="81" customFormat="false" ht="15" hidden="false" customHeight="false" outlineLevel="0" collapsed="false">
      <c r="A81" s="12" t="s">
        <v>653</v>
      </c>
      <c r="B81" s="12" t="s">
        <v>333</v>
      </c>
      <c r="C81" s="13" t="n">
        <v>3</v>
      </c>
      <c r="D81" s="12" t="s">
        <v>321</v>
      </c>
      <c r="E81" s="12" t="s">
        <v>783</v>
      </c>
    </row>
    <row r="82" customFormat="false" ht="15" hidden="false" customHeight="false" outlineLevel="0" collapsed="false">
      <c r="A82" s="12" t="s">
        <v>661</v>
      </c>
      <c r="B82" s="12" t="s">
        <v>351</v>
      </c>
      <c r="C82" s="13" t="n">
        <v>8</v>
      </c>
      <c r="D82" s="12" t="s">
        <v>243</v>
      </c>
      <c r="E82" s="12" t="s">
        <v>784</v>
      </c>
    </row>
    <row r="83" customFormat="false" ht="15" hidden="false" customHeight="false" outlineLevel="0" collapsed="false">
      <c r="A83" s="12" t="s">
        <v>661</v>
      </c>
      <c r="B83" s="12" t="s">
        <v>132</v>
      </c>
      <c r="C83" s="13" t="n">
        <v>4</v>
      </c>
      <c r="D83" s="12" t="s">
        <v>321</v>
      </c>
      <c r="E83" s="12" t="s">
        <v>785</v>
      </c>
    </row>
    <row r="84" customFormat="false" ht="15" hidden="false" customHeight="false" outlineLevel="0" collapsed="false">
      <c r="A84" s="12" t="s">
        <v>661</v>
      </c>
      <c r="B84" s="12" t="s">
        <v>370</v>
      </c>
      <c r="C84" s="13" t="n">
        <v>-3</v>
      </c>
      <c r="D84" s="12" t="s">
        <v>321</v>
      </c>
      <c r="E84" s="12" t="s">
        <v>786</v>
      </c>
    </row>
    <row r="85" customFormat="false" ht="15" hidden="false" customHeight="false" outlineLevel="0" collapsed="false">
      <c r="A85" s="12" t="s">
        <v>671</v>
      </c>
      <c r="B85" s="12" t="s">
        <v>305</v>
      </c>
      <c r="C85" s="13" t="n">
        <v>8</v>
      </c>
      <c r="D85" s="12" t="s">
        <v>243</v>
      </c>
      <c r="E85" s="12" t="s">
        <v>787</v>
      </c>
    </row>
    <row r="86" customFormat="false" ht="15" hidden="false" customHeight="false" outlineLevel="0" collapsed="false">
      <c r="A86" s="12" t="s">
        <v>671</v>
      </c>
      <c r="B86" s="12" t="s">
        <v>248</v>
      </c>
      <c r="C86" s="13" t="n">
        <v>6</v>
      </c>
      <c r="D86" s="12" t="s">
        <v>273</v>
      </c>
      <c r="E86" s="12" t="s">
        <v>788</v>
      </c>
    </row>
    <row r="87" customFormat="false" ht="15" hidden="false" customHeight="false" outlineLevel="0" collapsed="false">
      <c r="A87" s="12" t="s">
        <v>671</v>
      </c>
      <c r="B87" s="12" t="s">
        <v>325</v>
      </c>
      <c r="C87" s="13" t="n">
        <v>3</v>
      </c>
      <c r="D87" s="12" t="s">
        <v>321</v>
      </c>
      <c r="E87" s="12" t="s">
        <v>789</v>
      </c>
    </row>
    <row r="88" customFormat="false" ht="15" hidden="false" customHeight="false" outlineLevel="0" collapsed="false">
      <c r="A88" s="12" t="s">
        <v>671</v>
      </c>
      <c r="B88" s="12" t="s">
        <v>333</v>
      </c>
      <c r="C88" s="13" t="n">
        <v>3</v>
      </c>
      <c r="D88" s="12" t="s">
        <v>321</v>
      </c>
      <c r="E88" s="12" t="s">
        <v>790</v>
      </c>
    </row>
    <row r="89" customFormat="false" ht="15" hidden="false" customHeight="false" outlineLevel="0" collapsed="false">
      <c r="A89" s="12" t="s">
        <v>671</v>
      </c>
      <c r="B89" s="12" t="s">
        <v>132</v>
      </c>
      <c r="C89" s="13" t="n">
        <v>3</v>
      </c>
      <c r="D89" s="12" t="s">
        <v>321</v>
      </c>
      <c r="E89" s="12" t="s"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V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0" min="2" style="0" width="5.51"/>
    <col collapsed="false" customWidth="true" hidden="false" outlineLevel="0" max="22" min="21" style="0" width="12"/>
  </cols>
  <sheetData>
    <row r="1" customFormat="false" ht="17.35" hidden="false" customHeight="false" outlineLevel="0" collapsed="false">
      <c r="A1" s="1" t="s">
        <v>792</v>
      </c>
    </row>
    <row r="2" customFormat="false" ht="15" hidden="false" customHeight="false" outlineLevel="0" collapsed="false">
      <c r="A2" s="2" t="s">
        <v>793</v>
      </c>
    </row>
    <row r="4" customFormat="false" ht="79.1" hidden="false" customHeight="false" outlineLevel="0" collapsed="false">
      <c r="A4" s="7" t="s">
        <v>794</v>
      </c>
      <c r="B4" s="16" t="s">
        <v>235</v>
      </c>
      <c r="C4" s="16" t="s">
        <v>248</v>
      </c>
      <c r="D4" s="16" t="s">
        <v>258</v>
      </c>
      <c r="E4" s="16" t="s">
        <v>267</v>
      </c>
      <c r="F4" s="16" t="s">
        <v>277</v>
      </c>
      <c r="G4" s="16" t="s">
        <v>286</v>
      </c>
      <c r="H4" s="16" t="s">
        <v>296</v>
      </c>
      <c r="I4" s="16" t="s">
        <v>305</v>
      </c>
      <c r="J4" s="16" t="s">
        <v>315</v>
      </c>
      <c r="K4" s="16" t="s">
        <v>325</v>
      </c>
      <c r="L4" s="16" t="s">
        <v>333</v>
      </c>
      <c r="M4" s="16" t="s">
        <v>341</v>
      </c>
      <c r="N4" s="16" t="s">
        <v>351</v>
      </c>
      <c r="O4" s="16" t="s">
        <v>361</v>
      </c>
      <c r="P4" s="16" t="s">
        <v>370</v>
      </c>
      <c r="Q4" s="16" t="s">
        <v>132</v>
      </c>
      <c r="R4" s="16" t="s">
        <v>774</v>
      </c>
      <c r="S4" s="16" t="s">
        <v>776</v>
      </c>
      <c r="T4" s="16" t="s">
        <v>778</v>
      </c>
      <c r="U4" s="7" t="s">
        <v>795</v>
      </c>
      <c r="V4" s="7" t="s">
        <v>796</v>
      </c>
    </row>
    <row r="5" customFormat="false" ht="15" hidden="false" customHeight="false" outlineLevel="0" collapsed="false">
      <c r="A5" s="9" t="s">
        <v>527</v>
      </c>
      <c r="B5" s="17" t="n">
        <f aca="false">SUMIFS(03_MATRIZ!$C$5:$C$89,03_MATRIZ!$A$5:$A$89,$A5,03_MATRIZ!$B$5:$B$89,B$4)</f>
        <v>-5</v>
      </c>
      <c r="C5" s="17" t="n">
        <f aca="false">SUMIFS(03_MATRIZ!$C$5:$C$89,03_MATRIZ!$A$5:$A$89,$A5,03_MATRIZ!$B$5:$B$89,C$4)</f>
        <v>8</v>
      </c>
      <c r="D5" s="17" t="n">
        <f aca="false">SUMIFS(03_MATRIZ!$C$5:$C$89,03_MATRIZ!$A$5:$A$89,$A5,03_MATRIZ!$B$5:$B$89,D$4)</f>
        <v>0</v>
      </c>
      <c r="E5" s="17" t="n">
        <f aca="false">SUMIFS(03_MATRIZ!$C$5:$C$89,03_MATRIZ!$A$5:$A$89,$A5,03_MATRIZ!$B$5:$B$89,E$4)</f>
        <v>8</v>
      </c>
      <c r="F5" s="17" t="n">
        <f aca="false">SUMIFS(03_MATRIZ!$C$5:$C$89,03_MATRIZ!$A$5:$A$89,$A5,03_MATRIZ!$B$5:$B$89,F$4)</f>
        <v>-7</v>
      </c>
      <c r="G5" s="17" t="n">
        <f aca="false">SUMIFS(03_MATRIZ!$C$5:$C$89,03_MATRIZ!$A$5:$A$89,$A5,03_MATRIZ!$B$5:$B$89,G$4)</f>
        <v>0</v>
      </c>
      <c r="H5" s="17" t="n">
        <f aca="false">SUMIFS(03_MATRIZ!$C$5:$C$89,03_MATRIZ!$A$5:$A$89,$A5,03_MATRIZ!$B$5:$B$89,H$4)</f>
        <v>4</v>
      </c>
      <c r="I5" s="17" t="n">
        <f aca="false">SUMIFS(03_MATRIZ!$C$5:$C$89,03_MATRIZ!$A$5:$A$89,$A5,03_MATRIZ!$B$5:$B$89,I$4)</f>
        <v>4</v>
      </c>
      <c r="J5" s="17" t="n">
        <f aca="false">SUMIFS(03_MATRIZ!$C$5:$C$89,03_MATRIZ!$A$5:$A$89,$A5,03_MATRIZ!$B$5:$B$89,J$4)</f>
        <v>0</v>
      </c>
      <c r="K5" s="17" t="n">
        <f aca="false">SUMIFS(03_MATRIZ!$C$5:$C$89,03_MATRIZ!$A$5:$A$89,$A5,03_MATRIZ!$B$5:$B$89,K$4)</f>
        <v>0</v>
      </c>
      <c r="L5" s="17" t="n">
        <f aca="false">SUMIFS(03_MATRIZ!$C$5:$C$89,03_MATRIZ!$A$5:$A$89,$A5,03_MATRIZ!$B$5:$B$89,L$4)</f>
        <v>0</v>
      </c>
      <c r="M5" s="17" t="n">
        <f aca="false">SUMIFS(03_MATRIZ!$C$5:$C$89,03_MATRIZ!$A$5:$A$89,$A5,03_MATRIZ!$B$5:$B$89,M$4)</f>
        <v>0</v>
      </c>
      <c r="N5" s="17" t="n">
        <f aca="false">SUMIFS(03_MATRIZ!$C$5:$C$89,03_MATRIZ!$A$5:$A$89,$A5,03_MATRIZ!$B$5:$B$89,N$4)</f>
        <v>0</v>
      </c>
      <c r="O5" s="17" t="n">
        <f aca="false">SUMIFS(03_MATRIZ!$C$5:$C$89,03_MATRIZ!$A$5:$A$89,$A5,03_MATRIZ!$B$5:$B$89,O$4)</f>
        <v>0</v>
      </c>
      <c r="P5" s="17" t="n">
        <f aca="false">SUMIFS(03_MATRIZ!$C$5:$C$89,03_MATRIZ!$A$5:$A$89,$A5,03_MATRIZ!$B$5:$B$89,P$4)</f>
        <v>-5</v>
      </c>
      <c r="Q5" s="17" t="n">
        <f aca="false">SUMIFS(03_MATRIZ!$C$5:$C$89,03_MATRIZ!$A$5:$A$89,$A5,03_MATRIZ!$B$5:$B$89,Q$4)</f>
        <v>0</v>
      </c>
      <c r="R5" s="17" t="n">
        <f aca="false">SUMIFS(03_MATRIZ!$C$5:$C$89,03_MATRIZ!$A$5:$A$89,$A5,03_MATRIZ!$B$5:$B$89,R$4)</f>
        <v>0</v>
      </c>
      <c r="S5" s="17" t="n">
        <f aca="false">SUMIFS(03_MATRIZ!$C$5:$C$89,03_MATRIZ!$A$5:$A$89,$A5,03_MATRIZ!$B$5:$B$89,S$4)</f>
        <v>0</v>
      </c>
      <c r="T5" s="17" t="n">
        <f aca="false">SUMIFS(03_MATRIZ!$C$5:$C$89,03_MATRIZ!$A$5:$A$89,$A5,03_MATRIZ!$B$5:$B$89,T$4)</f>
        <v>0</v>
      </c>
      <c r="U5" s="10" t="n">
        <f aca="false">COUNTIF(B5:T5,"&lt;&gt;0")</f>
        <v>7</v>
      </c>
      <c r="V5" s="10" t="n">
        <f aca="false">SUMPRODUCT(ABS(B5:T5))</f>
        <v>41</v>
      </c>
    </row>
    <row r="6" customFormat="false" ht="15" hidden="false" customHeight="false" outlineLevel="0" collapsed="false">
      <c r="A6" s="9" t="s">
        <v>538</v>
      </c>
      <c r="B6" s="17" t="n">
        <f aca="false">SUMIFS(03_MATRIZ!$C$5:$C$89,03_MATRIZ!$A$5:$A$89,$A6,03_MATRIZ!$B$5:$B$89,B$4)</f>
        <v>-4</v>
      </c>
      <c r="C6" s="17" t="n">
        <f aca="false">SUMIFS(03_MATRIZ!$C$5:$C$89,03_MATRIZ!$A$5:$A$89,$A6,03_MATRIZ!$B$5:$B$89,C$4)</f>
        <v>0</v>
      </c>
      <c r="D6" s="17" t="n">
        <f aca="false">SUMIFS(03_MATRIZ!$C$5:$C$89,03_MATRIZ!$A$5:$A$89,$A6,03_MATRIZ!$B$5:$B$89,D$4)</f>
        <v>0</v>
      </c>
      <c r="E6" s="17" t="n">
        <f aca="false">SUMIFS(03_MATRIZ!$C$5:$C$89,03_MATRIZ!$A$5:$A$89,$A6,03_MATRIZ!$B$5:$B$89,E$4)</f>
        <v>0</v>
      </c>
      <c r="F6" s="17" t="n">
        <f aca="false">SUMIFS(03_MATRIZ!$C$5:$C$89,03_MATRIZ!$A$5:$A$89,$A6,03_MATRIZ!$B$5:$B$89,F$4)</f>
        <v>-10</v>
      </c>
      <c r="G6" s="17" t="n">
        <f aca="false">SUMIFS(03_MATRIZ!$C$5:$C$89,03_MATRIZ!$A$5:$A$89,$A6,03_MATRIZ!$B$5:$B$89,G$4)</f>
        <v>0</v>
      </c>
      <c r="H6" s="17" t="n">
        <f aca="false">SUMIFS(03_MATRIZ!$C$5:$C$89,03_MATRIZ!$A$5:$A$89,$A6,03_MATRIZ!$B$5:$B$89,H$4)</f>
        <v>7</v>
      </c>
      <c r="I6" s="17" t="n">
        <f aca="false">SUMIFS(03_MATRIZ!$C$5:$C$89,03_MATRIZ!$A$5:$A$89,$A6,03_MATRIZ!$B$5:$B$89,I$4)</f>
        <v>6</v>
      </c>
      <c r="J6" s="17" t="n">
        <f aca="false">SUMIFS(03_MATRIZ!$C$5:$C$89,03_MATRIZ!$A$5:$A$89,$A6,03_MATRIZ!$B$5:$B$89,J$4)</f>
        <v>0</v>
      </c>
      <c r="K6" s="17" t="n">
        <f aca="false">SUMIFS(03_MATRIZ!$C$5:$C$89,03_MATRIZ!$A$5:$A$89,$A6,03_MATRIZ!$B$5:$B$89,K$4)</f>
        <v>0</v>
      </c>
      <c r="L6" s="17" t="n">
        <f aca="false">SUMIFS(03_MATRIZ!$C$5:$C$89,03_MATRIZ!$A$5:$A$89,$A6,03_MATRIZ!$B$5:$B$89,L$4)</f>
        <v>0</v>
      </c>
      <c r="M6" s="17" t="n">
        <f aca="false">SUMIFS(03_MATRIZ!$C$5:$C$89,03_MATRIZ!$A$5:$A$89,$A6,03_MATRIZ!$B$5:$B$89,M$4)</f>
        <v>0</v>
      </c>
      <c r="N6" s="17" t="n">
        <f aca="false">SUMIFS(03_MATRIZ!$C$5:$C$89,03_MATRIZ!$A$5:$A$89,$A6,03_MATRIZ!$B$5:$B$89,N$4)</f>
        <v>3</v>
      </c>
      <c r="O6" s="17" t="n">
        <f aca="false">SUMIFS(03_MATRIZ!$C$5:$C$89,03_MATRIZ!$A$5:$A$89,$A6,03_MATRIZ!$B$5:$B$89,O$4)</f>
        <v>0</v>
      </c>
      <c r="P6" s="17" t="n">
        <f aca="false">SUMIFS(03_MATRIZ!$C$5:$C$89,03_MATRIZ!$A$5:$A$89,$A6,03_MATRIZ!$B$5:$B$89,P$4)</f>
        <v>0</v>
      </c>
      <c r="Q6" s="17" t="n">
        <f aca="false">SUMIFS(03_MATRIZ!$C$5:$C$89,03_MATRIZ!$A$5:$A$89,$A6,03_MATRIZ!$B$5:$B$89,Q$4)</f>
        <v>0</v>
      </c>
      <c r="R6" s="17" t="n">
        <f aca="false">SUMIFS(03_MATRIZ!$C$5:$C$89,03_MATRIZ!$A$5:$A$89,$A6,03_MATRIZ!$B$5:$B$89,R$4)</f>
        <v>0</v>
      </c>
      <c r="S6" s="17" t="n">
        <f aca="false">SUMIFS(03_MATRIZ!$C$5:$C$89,03_MATRIZ!$A$5:$A$89,$A6,03_MATRIZ!$B$5:$B$89,S$4)</f>
        <v>0</v>
      </c>
      <c r="T6" s="17" t="n">
        <f aca="false">SUMIFS(03_MATRIZ!$C$5:$C$89,03_MATRIZ!$A$5:$A$89,$A6,03_MATRIZ!$B$5:$B$89,T$4)</f>
        <v>0</v>
      </c>
      <c r="U6" s="10" t="n">
        <f aca="false">COUNTIF(B6:T6,"&lt;&gt;0")</f>
        <v>5</v>
      </c>
      <c r="V6" s="10" t="n">
        <f aca="false">SUMPRODUCT(ABS(B6:T6))</f>
        <v>30</v>
      </c>
    </row>
    <row r="7" customFormat="false" ht="15" hidden="false" customHeight="false" outlineLevel="0" collapsed="false">
      <c r="A7" s="9" t="s">
        <v>547</v>
      </c>
      <c r="B7" s="17" t="n">
        <f aca="false">SUMIFS(03_MATRIZ!$C$5:$C$89,03_MATRIZ!$A$5:$A$89,$A7,03_MATRIZ!$B$5:$B$89,B$4)</f>
        <v>-7</v>
      </c>
      <c r="C7" s="17" t="n">
        <f aca="false">SUMIFS(03_MATRIZ!$C$5:$C$89,03_MATRIZ!$A$5:$A$89,$A7,03_MATRIZ!$B$5:$B$89,C$4)</f>
        <v>0</v>
      </c>
      <c r="D7" s="17" t="n">
        <f aca="false">SUMIFS(03_MATRIZ!$C$5:$C$89,03_MATRIZ!$A$5:$A$89,$A7,03_MATRIZ!$B$5:$B$89,D$4)</f>
        <v>0</v>
      </c>
      <c r="E7" s="17" t="n">
        <f aca="false">SUMIFS(03_MATRIZ!$C$5:$C$89,03_MATRIZ!$A$5:$A$89,$A7,03_MATRIZ!$B$5:$B$89,E$4)</f>
        <v>3</v>
      </c>
      <c r="F7" s="17" t="n">
        <f aca="false">SUMIFS(03_MATRIZ!$C$5:$C$89,03_MATRIZ!$A$5:$A$89,$A7,03_MATRIZ!$B$5:$B$89,F$4)</f>
        <v>0</v>
      </c>
      <c r="G7" s="17" t="n">
        <f aca="false">SUMIFS(03_MATRIZ!$C$5:$C$89,03_MATRIZ!$A$5:$A$89,$A7,03_MATRIZ!$B$5:$B$89,G$4)</f>
        <v>10</v>
      </c>
      <c r="H7" s="17" t="n">
        <f aca="false">SUMIFS(03_MATRIZ!$C$5:$C$89,03_MATRIZ!$A$5:$A$89,$A7,03_MATRIZ!$B$5:$B$89,H$4)</f>
        <v>6</v>
      </c>
      <c r="I7" s="17" t="n">
        <f aca="false">SUMIFS(03_MATRIZ!$C$5:$C$89,03_MATRIZ!$A$5:$A$89,$A7,03_MATRIZ!$B$5:$B$89,I$4)</f>
        <v>0</v>
      </c>
      <c r="J7" s="17" t="n">
        <f aca="false">SUMIFS(03_MATRIZ!$C$5:$C$89,03_MATRIZ!$A$5:$A$89,$A7,03_MATRIZ!$B$5:$B$89,J$4)</f>
        <v>0</v>
      </c>
      <c r="K7" s="17" t="n">
        <f aca="false">SUMIFS(03_MATRIZ!$C$5:$C$89,03_MATRIZ!$A$5:$A$89,$A7,03_MATRIZ!$B$5:$B$89,K$4)</f>
        <v>0</v>
      </c>
      <c r="L7" s="17" t="n">
        <f aca="false">SUMIFS(03_MATRIZ!$C$5:$C$89,03_MATRIZ!$A$5:$A$89,$A7,03_MATRIZ!$B$5:$B$89,L$4)</f>
        <v>0</v>
      </c>
      <c r="M7" s="17" t="n">
        <f aca="false">SUMIFS(03_MATRIZ!$C$5:$C$89,03_MATRIZ!$A$5:$A$89,$A7,03_MATRIZ!$B$5:$B$89,M$4)</f>
        <v>0</v>
      </c>
      <c r="N7" s="17" t="n">
        <f aca="false">SUMIFS(03_MATRIZ!$C$5:$C$89,03_MATRIZ!$A$5:$A$89,$A7,03_MATRIZ!$B$5:$B$89,N$4)</f>
        <v>5</v>
      </c>
      <c r="O7" s="17" t="n">
        <f aca="false">SUMIFS(03_MATRIZ!$C$5:$C$89,03_MATRIZ!$A$5:$A$89,$A7,03_MATRIZ!$B$5:$B$89,O$4)</f>
        <v>0</v>
      </c>
      <c r="P7" s="17" t="n">
        <f aca="false">SUMIFS(03_MATRIZ!$C$5:$C$89,03_MATRIZ!$A$5:$A$89,$A7,03_MATRIZ!$B$5:$B$89,P$4)</f>
        <v>-3</v>
      </c>
      <c r="Q7" s="17" t="n">
        <f aca="false">SUMIFS(03_MATRIZ!$C$5:$C$89,03_MATRIZ!$A$5:$A$89,$A7,03_MATRIZ!$B$5:$B$89,Q$4)</f>
        <v>0</v>
      </c>
      <c r="R7" s="17" t="n">
        <f aca="false">SUMIFS(03_MATRIZ!$C$5:$C$89,03_MATRIZ!$A$5:$A$89,$A7,03_MATRIZ!$B$5:$B$89,R$4)</f>
        <v>0</v>
      </c>
      <c r="S7" s="17" t="n">
        <f aca="false">SUMIFS(03_MATRIZ!$C$5:$C$89,03_MATRIZ!$A$5:$A$89,$A7,03_MATRIZ!$B$5:$B$89,S$4)</f>
        <v>0</v>
      </c>
      <c r="T7" s="17" t="n">
        <f aca="false">SUMIFS(03_MATRIZ!$C$5:$C$89,03_MATRIZ!$A$5:$A$89,$A7,03_MATRIZ!$B$5:$B$89,T$4)</f>
        <v>0</v>
      </c>
      <c r="U7" s="10" t="n">
        <f aca="false">COUNTIF(B7:T7,"&lt;&gt;0")</f>
        <v>6</v>
      </c>
      <c r="V7" s="10" t="n">
        <f aca="false">SUMPRODUCT(ABS(B7:T7))</f>
        <v>34</v>
      </c>
    </row>
    <row r="8" customFormat="false" ht="15" hidden="false" customHeight="false" outlineLevel="0" collapsed="false">
      <c r="A8" s="9" t="s">
        <v>556</v>
      </c>
      <c r="B8" s="17" t="n">
        <f aca="false">SUMIFS(03_MATRIZ!$C$5:$C$89,03_MATRIZ!$A$5:$A$89,$A8,03_MATRIZ!$B$5:$B$89,B$4)</f>
        <v>-4</v>
      </c>
      <c r="C8" s="17" t="n">
        <f aca="false">SUMIFS(03_MATRIZ!$C$5:$C$89,03_MATRIZ!$A$5:$A$89,$A8,03_MATRIZ!$B$5:$B$89,C$4)</f>
        <v>8</v>
      </c>
      <c r="D8" s="17" t="n">
        <f aca="false">SUMIFS(03_MATRIZ!$C$5:$C$89,03_MATRIZ!$A$5:$A$89,$A8,03_MATRIZ!$B$5:$B$89,D$4)</f>
        <v>10</v>
      </c>
      <c r="E8" s="17" t="n">
        <f aca="false">SUMIFS(03_MATRIZ!$C$5:$C$89,03_MATRIZ!$A$5:$A$89,$A8,03_MATRIZ!$B$5:$B$89,E$4)</f>
        <v>0</v>
      </c>
      <c r="F8" s="17" t="n">
        <f aca="false">SUMIFS(03_MATRIZ!$C$5:$C$89,03_MATRIZ!$A$5:$A$89,$A8,03_MATRIZ!$B$5:$B$89,F$4)</f>
        <v>0</v>
      </c>
      <c r="G8" s="17" t="n">
        <f aca="false">SUMIFS(03_MATRIZ!$C$5:$C$89,03_MATRIZ!$A$5:$A$89,$A8,03_MATRIZ!$B$5:$B$89,G$4)</f>
        <v>0</v>
      </c>
      <c r="H8" s="17" t="n">
        <f aca="false">SUMIFS(03_MATRIZ!$C$5:$C$89,03_MATRIZ!$A$5:$A$89,$A8,03_MATRIZ!$B$5:$B$89,H$4)</f>
        <v>0</v>
      </c>
      <c r="I8" s="17" t="n">
        <f aca="false">SUMIFS(03_MATRIZ!$C$5:$C$89,03_MATRIZ!$A$5:$A$89,$A8,03_MATRIZ!$B$5:$B$89,I$4)</f>
        <v>0</v>
      </c>
      <c r="J8" s="17" t="n">
        <f aca="false">SUMIFS(03_MATRIZ!$C$5:$C$89,03_MATRIZ!$A$5:$A$89,$A8,03_MATRIZ!$B$5:$B$89,J$4)</f>
        <v>0</v>
      </c>
      <c r="K8" s="17" t="n">
        <f aca="false">SUMIFS(03_MATRIZ!$C$5:$C$89,03_MATRIZ!$A$5:$A$89,$A8,03_MATRIZ!$B$5:$B$89,K$4)</f>
        <v>4</v>
      </c>
      <c r="L8" s="17" t="n">
        <f aca="false">SUMIFS(03_MATRIZ!$C$5:$C$89,03_MATRIZ!$A$5:$A$89,$A8,03_MATRIZ!$B$5:$B$89,L$4)</f>
        <v>0</v>
      </c>
      <c r="M8" s="17" t="n">
        <f aca="false">SUMIFS(03_MATRIZ!$C$5:$C$89,03_MATRIZ!$A$5:$A$89,$A8,03_MATRIZ!$B$5:$B$89,M$4)</f>
        <v>0</v>
      </c>
      <c r="N8" s="17" t="n">
        <f aca="false">SUMIFS(03_MATRIZ!$C$5:$C$89,03_MATRIZ!$A$5:$A$89,$A8,03_MATRIZ!$B$5:$B$89,N$4)</f>
        <v>0</v>
      </c>
      <c r="O8" s="17" t="n">
        <f aca="false">SUMIFS(03_MATRIZ!$C$5:$C$89,03_MATRIZ!$A$5:$A$89,$A8,03_MATRIZ!$B$5:$B$89,O$4)</f>
        <v>0</v>
      </c>
      <c r="P8" s="17" t="n">
        <f aca="false">SUMIFS(03_MATRIZ!$C$5:$C$89,03_MATRIZ!$A$5:$A$89,$A8,03_MATRIZ!$B$5:$B$89,P$4)</f>
        <v>0</v>
      </c>
      <c r="Q8" s="17" t="n">
        <f aca="false">SUMIFS(03_MATRIZ!$C$5:$C$89,03_MATRIZ!$A$5:$A$89,$A8,03_MATRIZ!$B$5:$B$89,Q$4)</f>
        <v>0</v>
      </c>
      <c r="R8" s="17" t="n">
        <f aca="false">SUMIFS(03_MATRIZ!$C$5:$C$89,03_MATRIZ!$A$5:$A$89,$A8,03_MATRIZ!$B$5:$B$89,R$4)</f>
        <v>0</v>
      </c>
      <c r="S8" s="17" t="n">
        <f aca="false">SUMIFS(03_MATRIZ!$C$5:$C$89,03_MATRIZ!$A$5:$A$89,$A8,03_MATRIZ!$B$5:$B$89,S$4)</f>
        <v>0</v>
      </c>
      <c r="T8" s="17" t="n">
        <f aca="false">SUMIFS(03_MATRIZ!$C$5:$C$89,03_MATRIZ!$A$5:$A$89,$A8,03_MATRIZ!$B$5:$B$89,T$4)</f>
        <v>0</v>
      </c>
      <c r="U8" s="10" t="n">
        <f aca="false">COUNTIF(B8:T8,"&lt;&gt;0")</f>
        <v>4</v>
      </c>
      <c r="V8" s="10" t="n">
        <f aca="false">SUMPRODUCT(ABS(B8:T8))</f>
        <v>26</v>
      </c>
    </row>
    <row r="9" customFormat="false" ht="15" hidden="false" customHeight="false" outlineLevel="0" collapsed="false">
      <c r="A9" s="9" t="s">
        <v>566</v>
      </c>
      <c r="B9" s="17" t="n">
        <f aca="false">SUMIFS(03_MATRIZ!$C$5:$C$89,03_MATRIZ!$A$5:$A$89,$A9,03_MATRIZ!$B$5:$B$89,B$4)</f>
        <v>-5</v>
      </c>
      <c r="C9" s="17" t="n">
        <f aca="false">SUMIFS(03_MATRIZ!$C$5:$C$89,03_MATRIZ!$A$5:$A$89,$A9,03_MATRIZ!$B$5:$B$89,C$4)</f>
        <v>9</v>
      </c>
      <c r="D9" s="17" t="n">
        <f aca="false">SUMIFS(03_MATRIZ!$C$5:$C$89,03_MATRIZ!$A$5:$A$89,$A9,03_MATRIZ!$B$5:$B$89,D$4)</f>
        <v>4</v>
      </c>
      <c r="E9" s="17" t="n">
        <f aca="false">SUMIFS(03_MATRIZ!$C$5:$C$89,03_MATRIZ!$A$5:$A$89,$A9,03_MATRIZ!$B$5:$B$89,E$4)</f>
        <v>8</v>
      </c>
      <c r="F9" s="17" t="n">
        <f aca="false">SUMIFS(03_MATRIZ!$C$5:$C$89,03_MATRIZ!$A$5:$A$89,$A9,03_MATRIZ!$B$5:$B$89,F$4)</f>
        <v>-7</v>
      </c>
      <c r="G9" s="17" t="n">
        <f aca="false">SUMIFS(03_MATRIZ!$C$5:$C$89,03_MATRIZ!$A$5:$A$89,$A9,03_MATRIZ!$B$5:$B$89,G$4)</f>
        <v>0</v>
      </c>
      <c r="H9" s="17" t="n">
        <f aca="false">SUMIFS(03_MATRIZ!$C$5:$C$89,03_MATRIZ!$A$5:$A$89,$A9,03_MATRIZ!$B$5:$B$89,H$4)</f>
        <v>0</v>
      </c>
      <c r="I9" s="17" t="n">
        <f aca="false">SUMIFS(03_MATRIZ!$C$5:$C$89,03_MATRIZ!$A$5:$A$89,$A9,03_MATRIZ!$B$5:$B$89,I$4)</f>
        <v>0</v>
      </c>
      <c r="J9" s="17" t="n">
        <f aca="false">SUMIFS(03_MATRIZ!$C$5:$C$89,03_MATRIZ!$A$5:$A$89,$A9,03_MATRIZ!$B$5:$B$89,J$4)</f>
        <v>0</v>
      </c>
      <c r="K9" s="17" t="n">
        <f aca="false">SUMIFS(03_MATRIZ!$C$5:$C$89,03_MATRIZ!$A$5:$A$89,$A9,03_MATRIZ!$B$5:$B$89,K$4)</f>
        <v>0</v>
      </c>
      <c r="L9" s="17" t="n">
        <f aca="false">SUMIFS(03_MATRIZ!$C$5:$C$89,03_MATRIZ!$A$5:$A$89,$A9,03_MATRIZ!$B$5:$B$89,L$4)</f>
        <v>0</v>
      </c>
      <c r="M9" s="17" t="n">
        <f aca="false">SUMIFS(03_MATRIZ!$C$5:$C$89,03_MATRIZ!$A$5:$A$89,$A9,03_MATRIZ!$B$5:$B$89,M$4)</f>
        <v>0</v>
      </c>
      <c r="N9" s="17" t="n">
        <f aca="false">SUMIFS(03_MATRIZ!$C$5:$C$89,03_MATRIZ!$A$5:$A$89,$A9,03_MATRIZ!$B$5:$B$89,N$4)</f>
        <v>0</v>
      </c>
      <c r="O9" s="17" t="n">
        <f aca="false">SUMIFS(03_MATRIZ!$C$5:$C$89,03_MATRIZ!$A$5:$A$89,$A9,03_MATRIZ!$B$5:$B$89,O$4)</f>
        <v>0</v>
      </c>
      <c r="P9" s="17" t="n">
        <f aca="false">SUMIFS(03_MATRIZ!$C$5:$C$89,03_MATRIZ!$A$5:$A$89,$A9,03_MATRIZ!$B$5:$B$89,P$4)</f>
        <v>-3</v>
      </c>
      <c r="Q9" s="17" t="n">
        <f aca="false">SUMIFS(03_MATRIZ!$C$5:$C$89,03_MATRIZ!$A$5:$A$89,$A9,03_MATRIZ!$B$5:$B$89,Q$4)</f>
        <v>0</v>
      </c>
      <c r="R9" s="17" t="n">
        <f aca="false">SUMIFS(03_MATRIZ!$C$5:$C$89,03_MATRIZ!$A$5:$A$89,$A9,03_MATRIZ!$B$5:$B$89,R$4)</f>
        <v>0</v>
      </c>
      <c r="S9" s="17" t="n">
        <f aca="false">SUMIFS(03_MATRIZ!$C$5:$C$89,03_MATRIZ!$A$5:$A$89,$A9,03_MATRIZ!$B$5:$B$89,S$4)</f>
        <v>0</v>
      </c>
      <c r="T9" s="17" t="n">
        <f aca="false">SUMIFS(03_MATRIZ!$C$5:$C$89,03_MATRIZ!$A$5:$A$89,$A9,03_MATRIZ!$B$5:$B$89,T$4)</f>
        <v>0</v>
      </c>
      <c r="U9" s="10" t="n">
        <f aca="false">COUNTIF(B9:T9,"&lt;&gt;0")</f>
        <v>6</v>
      </c>
      <c r="V9" s="10" t="n">
        <f aca="false">SUMPRODUCT(ABS(B9:T9))</f>
        <v>36</v>
      </c>
    </row>
    <row r="10" customFormat="false" ht="15" hidden="false" customHeight="false" outlineLevel="0" collapsed="false">
      <c r="A10" s="9" t="s">
        <v>574</v>
      </c>
      <c r="B10" s="17" t="n">
        <f aca="false">SUMIFS(03_MATRIZ!$C$5:$C$89,03_MATRIZ!$A$5:$A$89,$A10,03_MATRIZ!$B$5:$B$89,B$4)</f>
        <v>-8</v>
      </c>
      <c r="C10" s="17" t="n">
        <f aca="false">SUMIFS(03_MATRIZ!$C$5:$C$89,03_MATRIZ!$A$5:$A$89,$A10,03_MATRIZ!$B$5:$B$89,C$4)</f>
        <v>0</v>
      </c>
      <c r="D10" s="17" t="n">
        <f aca="false">SUMIFS(03_MATRIZ!$C$5:$C$89,03_MATRIZ!$A$5:$A$89,$A10,03_MATRIZ!$B$5:$B$89,D$4)</f>
        <v>9</v>
      </c>
      <c r="E10" s="17" t="n">
        <f aca="false">SUMIFS(03_MATRIZ!$C$5:$C$89,03_MATRIZ!$A$5:$A$89,$A10,03_MATRIZ!$B$5:$B$89,E$4)</f>
        <v>0</v>
      </c>
      <c r="F10" s="17" t="n">
        <f aca="false">SUMIFS(03_MATRIZ!$C$5:$C$89,03_MATRIZ!$A$5:$A$89,$A10,03_MATRIZ!$B$5:$B$89,F$4)</f>
        <v>-5</v>
      </c>
      <c r="G10" s="17" t="n">
        <f aca="false">SUMIFS(03_MATRIZ!$C$5:$C$89,03_MATRIZ!$A$5:$A$89,$A10,03_MATRIZ!$B$5:$B$89,G$4)</f>
        <v>0</v>
      </c>
      <c r="H10" s="17" t="n">
        <f aca="false">SUMIFS(03_MATRIZ!$C$5:$C$89,03_MATRIZ!$A$5:$A$89,$A10,03_MATRIZ!$B$5:$B$89,H$4)</f>
        <v>0</v>
      </c>
      <c r="I10" s="17" t="n">
        <f aca="false">SUMIFS(03_MATRIZ!$C$5:$C$89,03_MATRIZ!$A$5:$A$89,$A10,03_MATRIZ!$B$5:$B$89,I$4)</f>
        <v>0</v>
      </c>
      <c r="J10" s="17" t="n">
        <f aca="false">SUMIFS(03_MATRIZ!$C$5:$C$89,03_MATRIZ!$A$5:$A$89,$A10,03_MATRIZ!$B$5:$B$89,J$4)</f>
        <v>5</v>
      </c>
      <c r="K10" s="17" t="n">
        <f aca="false">SUMIFS(03_MATRIZ!$C$5:$C$89,03_MATRIZ!$A$5:$A$89,$A10,03_MATRIZ!$B$5:$B$89,K$4)</f>
        <v>4</v>
      </c>
      <c r="L10" s="17" t="n">
        <f aca="false">SUMIFS(03_MATRIZ!$C$5:$C$89,03_MATRIZ!$A$5:$A$89,$A10,03_MATRIZ!$B$5:$B$89,L$4)</f>
        <v>7</v>
      </c>
      <c r="M10" s="17" t="n">
        <f aca="false">SUMIFS(03_MATRIZ!$C$5:$C$89,03_MATRIZ!$A$5:$A$89,$A10,03_MATRIZ!$B$5:$B$89,M$4)</f>
        <v>0</v>
      </c>
      <c r="N10" s="17" t="n">
        <f aca="false">SUMIFS(03_MATRIZ!$C$5:$C$89,03_MATRIZ!$A$5:$A$89,$A10,03_MATRIZ!$B$5:$B$89,N$4)</f>
        <v>3</v>
      </c>
      <c r="O10" s="17" t="n">
        <f aca="false">SUMIFS(03_MATRIZ!$C$5:$C$89,03_MATRIZ!$A$5:$A$89,$A10,03_MATRIZ!$B$5:$B$89,O$4)</f>
        <v>0</v>
      </c>
      <c r="P10" s="17" t="n">
        <f aca="false">SUMIFS(03_MATRIZ!$C$5:$C$89,03_MATRIZ!$A$5:$A$89,$A10,03_MATRIZ!$B$5:$B$89,P$4)</f>
        <v>-4</v>
      </c>
      <c r="Q10" s="17" t="n">
        <f aca="false">SUMIFS(03_MATRIZ!$C$5:$C$89,03_MATRIZ!$A$5:$A$89,$A10,03_MATRIZ!$B$5:$B$89,Q$4)</f>
        <v>0</v>
      </c>
      <c r="R10" s="17" t="n">
        <f aca="false">SUMIFS(03_MATRIZ!$C$5:$C$89,03_MATRIZ!$A$5:$A$89,$A10,03_MATRIZ!$B$5:$B$89,R$4)</f>
        <v>0</v>
      </c>
      <c r="S10" s="17" t="n">
        <f aca="false">SUMIFS(03_MATRIZ!$C$5:$C$89,03_MATRIZ!$A$5:$A$89,$A10,03_MATRIZ!$B$5:$B$89,S$4)</f>
        <v>0</v>
      </c>
      <c r="T10" s="17" t="n">
        <f aca="false">SUMIFS(03_MATRIZ!$C$5:$C$89,03_MATRIZ!$A$5:$A$89,$A10,03_MATRIZ!$B$5:$B$89,T$4)</f>
        <v>0</v>
      </c>
      <c r="U10" s="10" t="n">
        <f aca="false">COUNTIF(B10:T10,"&lt;&gt;0")</f>
        <v>8</v>
      </c>
      <c r="V10" s="10" t="n">
        <f aca="false">SUMPRODUCT(ABS(B10:T10))</f>
        <v>45</v>
      </c>
    </row>
    <row r="11" customFormat="false" ht="15" hidden="false" customHeight="false" outlineLevel="0" collapsed="false">
      <c r="A11" s="9" t="s">
        <v>585</v>
      </c>
      <c r="B11" s="17" t="n">
        <f aca="false">SUMIFS(03_MATRIZ!$C$5:$C$89,03_MATRIZ!$A$5:$A$89,$A11,03_MATRIZ!$B$5:$B$89,B$4)</f>
        <v>-6</v>
      </c>
      <c r="C11" s="17" t="n">
        <f aca="false">SUMIFS(03_MATRIZ!$C$5:$C$89,03_MATRIZ!$A$5:$A$89,$A11,03_MATRIZ!$B$5:$B$89,C$4)</f>
        <v>7</v>
      </c>
      <c r="D11" s="17" t="n">
        <f aca="false">SUMIFS(03_MATRIZ!$C$5:$C$89,03_MATRIZ!$A$5:$A$89,$A11,03_MATRIZ!$B$5:$B$89,D$4)</f>
        <v>8</v>
      </c>
      <c r="E11" s="17" t="n">
        <f aca="false">SUMIFS(03_MATRIZ!$C$5:$C$89,03_MATRIZ!$A$5:$A$89,$A11,03_MATRIZ!$B$5:$B$89,E$4)</f>
        <v>0</v>
      </c>
      <c r="F11" s="17" t="n">
        <f aca="false">SUMIFS(03_MATRIZ!$C$5:$C$89,03_MATRIZ!$A$5:$A$89,$A11,03_MATRIZ!$B$5:$B$89,F$4)</f>
        <v>0</v>
      </c>
      <c r="G11" s="17" t="n">
        <f aca="false">SUMIFS(03_MATRIZ!$C$5:$C$89,03_MATRIZ!$A$5:$A$89,$A11,03_MATRIZ!$B$5:$B$89,G$4)</f>
        <v>0</v>
      </c>
      <c r="H11" s="17" t="n">
        <f aca="false">SUMIFS(03_MATRIZ!$C$5:$C$89,03_MATRIZ!$A$5:$A$89,$A11,03_MATRIZ!$B$5:$B$89,H$4)</f>
        <v>0</v>
      </c>
      <c r="I11" s="17" t="n">
        <f aca="false">SUMIFS(03_MATRIZ!$C$5:$C$89,03_MATRIZ!$A$5:$A$89,$A11,03_MATRIZ!$B$5:$B$89,I$4)</f>
        <v>0</v>
      </c>
      <c r="J11" s="17" t="n">
        <f aca="false">SUMIFS(03_MATRIZ!$C$5:$C$89,03_MATRIZ!$A$5:$A$89,$A11,03_MATRIZ!$B$5:$B$89,J$4)</f>
        <v>3</v>
      </c>
      <c r="K11" s="17" t="n">
        <f aca="false">SUMIFS(03_MATRIZ!$C$5:$C$89,03_MATRIZ!$A$5:$A$89,$A11,03_MATRIZ!$B$5:$B$89,K$4)</f>
        <v>10</v>
      </c>
      <c r="L11" s="17" t="n">
        <f aca="false">SUMIFS(03_MATRIZ!$C$5:$C$89,03_MATRIZ!$A$5:$A$89,$A11,03_MATRIZ!$B$5:$B$89,L$4)</f>
        <v>5</v>
      </c>
      <c r="M11" s="17" t="n">
        <f aca="false">SUMIFS(03_MATRIZ!$C$5:$C$89,03_MATRIZ!$A$5:$A$89,$A11,03_MATRIZ!$B$5:$B$89,M$4)</f>
        <v>0</v>
      </c>
      <c r="N11" s="17" t="n">
        <f aca="false">SUMIFS(03_MATRIZ!$C$5:$C$89,03_MATRIZ!$A$5:$A$89,$A11,03_MATRIZ!$B$5:$B$89,N$4)</f>
        <v>0</v>
      </c>
      <c r="O11" s="17" t="n">
        <f aca="false">SUMIFS(03_MATRIZ!$C$5:$C$89,03_MATRIZ!$A$5:$A$89,$A11,03_MATRIZ!$B$5:$B$89,O$4)</f>
        <v>0</v>
      </c>
      <c r="P11" s="17" t="n">
        <f aca="false">SUMIFS(03_MATRIZ!$C$5:$C$89,03_MATRIZ!$A$5:$A$89,$A11,03_MATRIZ!$B$5:$B$89,P$4)</f>
        <v>0</v>
      </c>
      <c r="Q11" s="17" t="n">
        <f aca="false">SUMIFS(03_MATRIZ!$C$5:$C$89,03_MATRIZ!$A$5:$A$89,$A11,03_MATRIZ!$B$5:$B$89,Q$4)</f>
        <v>0</v>
      </c>
      <c r="R11" s="17" t="n">
        <f aca="false">SUMIFS(03_MATRIZ!$C$5:$C$89,03_MATRIZ!$A$5:$A$89,$A11,03_MATRIZ!$B$5:$B$89,R$4)</f>
        <v>0</v>
      </c>
      <c r="S11" s="17" t="n">
        <f aca="false">SUMIFS(03_MATRIZ!$C$5:$C$89,03_MATRIZ!$A$5:$A$89,$A11,03_MATRIZ!$B$5:$B$89,S$4)</f>
        <v>0</v>
      </c>
      <c r="T11" s="17" t="n">
        <f aca="false">SUMIFS(03_MATRIZ!$C$5:$C$89,03_MATRIZ!$A$5:$A$89,$A11,03_MATRIZ!$B$5:$B$89,T$4)</f>
        <v>0</v>
      </c>
      <c r="U11" s="10" t="n">
        <f aca="false">COUNTIF(B11:T11,"&lt;&gt;0")</f>
        <v>6</v>
      </c>
      <c r="V11" s="10" t="n">
        <f aca="false">SUMPRODUCT(ABS(B11:T11))</f>
        <v>39</v>
      </c>
    </row>
    <row r="12" customFormat="false" ht="15" hidden="false" customHeight="false" outlineLevel="0" collapsed="false">
      <c r="A12" s="9" t="s">
        <v>592</v>
      </c>
      <c r="B12" s="17" t="n">
        <f aca="false">SUMIFS(03_MATRIZ!$C$5:$C$89,03_MATRIZ!$A$5:$A$89,$A12,03_MATRIZ!$B$5:$B$89,B$4)</f>
        <v>0</v>
      </c>
      <c r="C12" s="17" t="n">
        <f aca="false">SUMIFS(03_MATRIZ!$C$5:$C$89,03_MATRIZ!$A$5:$A$89,$A12,03_MATRIZ!$B$5:$B$89,C$4)</f>
        <v>5</v>
      </c>
      <c r="D12" s="17" t="n">
        <f aca="false">SUMIFS(03_MATRIZ!$C$5:$C$89,03_MATRIZ!$A$5:$A$89,$A12,03_MATRIZ!$B$5:$B$89,D$4)</f>
        <v>3</v>
      </c>
      <c r="E12" s="17" t="n">
        <f aca="false">SUMIFS(03_MATRIZ!$C$5:$C$89,03_MATRIZ!$A$5:$A$89,$A12,03_MATRIZ!$B$5:$B$89,E$4)</f>
        <v>0</v>
      </c>
      <c r="F12" s="17" t="n">
        <f aca="false">SUMIFS(03_MATRIZ!$C$5:$C$89,03_MATRIZ!$A$5:$A$89,$A12,03_MATRIZ!$B$5:$B$89,F$4)</f>
        <v>0</v>
      </c>
      <c r="G12" s="17" t="n">
        <f aca="false">SUMIFS(03_MATRIZ!$C$5:$C$89,03_MATRIZ!$A$5:$A$89,$A12,03_MATRIZ!$B$5:$B$89,G$4)</f>
        <v>0</v>
      </c>
      <c r="H12" s="17" t="n">
        <f aca="false">SUMIFS(03_MATRIZ!$C$5:$C$89,03_MATRIZ!$A$5:$A$89,$A12,03_MATRIZ!$B$5:$B$89,H$4)</f>
        <v>0</v>
      </c>
      <c r="I12" s="17" t="n">
        <f aca="false">SUMIFS(03_MATRIZ!$C$5:$C$89,03_MATRIZ!$A$5:$A$89,$A12,03_MATRIZ!$B$5:$B$89,I$4)</f>
        <v>0</v>
      </c>
      <c r="J12" s="17" t="n">
        <f aca="false">SUMIFS(03_MATRIZ!$C$5:$C$89,03_MATRIZ!$A$5:$A$89,$A12,03_MATRIZ!$B$5:$B$89,J$4)</f>
        <v>10</v>
      </c>
      <c r="K12" s="17" t="n">
        <f aca="false">SUMIFS(03_MATRIZ!$C$5:$C$89,03_MATRIZ!$A$5:$A$89,$A12,03_MATRIZ!$B$5:$B$89,K$4)</f>
        <v>0</v>
      </c>
      <c r="L12" s="17" t="n">
        <f aca="false">SUMIFS(03_MATRIZ!$C$5:$C$89,03_MATRIZ!$A$5:$A$89,$A12,03_MATRIZ!$B$5:$B$89,L$4)</f>
        <v>0</v>
      </c>
      <c r="M12" s="17" t="n">
        <f aca="false">SUMIFS(03_MATRIZ!$C$5:$C$89,03_MATRIZ!$A$5:$A$89,$A12,03_MATRIZ!$B$5:$B$89,M$4)</f>
        <v>5</v>
      </c>
      <c r="N12" s="17" t="n">
        <f aca="false">SUMIFS(03_MATRIZ!$C$5:$C$89,03_MATRIZ!$A$5:$A$89,$A12,03_MATRIZ!$B$5:$B$89,N$4)</f>
        <v>5</v>
      </c>
      <c r="O12" s="17" t="n">
        <f aca="false">SUMIFS(03_MATRIZ!$C$5:$C$89,03_MATRIZ!$A$5:$A$89,$A12,03_MATRIZ!$B$5:$B$89,O$4)</f>
        <v>3</v>
      </c>
      <c r="P12" s="17" t="n">
        <f aca="false">SUMIFS(03_MATRIZ!$C$5:$C$89,03_MATRIZ!$A$5:$A$89,$A12,03_MATRIZ!$B$5:$B$89,P$4)</f>
        <v>0</v>
      </c>
      <c r="Q12" s="17" t="n">
        <f aca="false">SUMIFS(03_MATRIZ!$C$5:$C$89,03_MATRIZ!$A$5:$A$89,$A12,03_MATRIZ!$B$5:$B$89,Q$4)</f>
        <v>0</v>
      </c>
      <c r="R12" s="17" t="n">
        <f aca="false">SUMIFS(03_MATRIZ!$C$5:$C$89,03_MATRIZ!$A$5:$A$89,$A12,03_MATRIZ!$B$5:$B$89,R$4)</f>
        <v>0</v>
      </c>
      <c r="S12" s="17" t="n">
        <f aca="false">SUMIFS(03_MATRIZ!$C$5:$C$89,03_MATRIZ!$A$5:$A$89,$A12,03_MATRIZ!$B$5:$B$89,S$4)</f>
        <v>0</v>
      </c>
      <c r="T12" s="17" t="n">
        <f aca="false">SUMIFS(03_MATRIZ!$C$5:$C$89,03_MATRIZ!$A$5:$A$89,$A12,03_MATRIZ!$B$5:$B$89,T$4)</f>
        <v>0</v>
      </c>
      <c r="U12" s="10" t="n">
        <f aca="false">COUNTIF(B12:T12,"&lt;&gt;0")</f>
        <v>6</v>
      </c>
      <c r="V12" s="10" t="n">
        <f aca="false">SUMPRODUCT(ABS(B12:T12))</f>
        <v>31</v>
      </c>
    </row>
    <row r="13" customFormat="false" ht="15" hidden="false" customHeight="false" outlineLevel="0" collapsed="false">
      <c r="A13" s="9" t="s">
        <v>600</v>
      </c>
      <c r="B13" s="17" t="n">
        <f aca="false">SUMIFS(03_MATRIZ!$C$5:$C$89,03_MATRIZ!$A$5:$A$89,$A13,03_MATRIZ!$B$5:$B$89,B$4)</f>
        <v>-3</v>
      </c>
      <c r="C13" s="17" t="n">
        <f aca="false">SUMIFS(03_MATRIZ!$C$5:$C$89,03_MATRIZ!$A$5:$A$89,$A13,03_MATRIZ!$B$5:$B$89,C$4)</f>
        <v>0</v>
      </c>
      <c r="D13" s="17" t="n">
        <f aca="false">SUMIFS(03_MATRIZ!$C$5:$C$89,03_MATRIZ!$A$5:$A$89,$A13,03_MATRIZ!$B$5:$B$89,D$4)</f>
        <v>8</v>
      </c>
      <c r="E13" s="17" t="n">
        <f aca="false">SUMIFS(03_MATRIZ!$C$5:$C$89,03_MATRIZ!$A$5:$A$89,$A13,03_MATRIZ!$B$5:$B$89,E$4)</f>
        <v>0</v>
      </c>
      <c r="F13" s="17" t="n">
        <f aca="false">SUMIFS(03_MATRIZ!$C$5:$C$89,03_MATRIZ!$A$5:$A$89,$A13,03_MATRIZ!$B$5:$B$89,F$4)</f>
        <v>0</v>
      </c>
      <c r="G13" s="17" t="n">
        <f aca="false">SUMIFS(03_MATRIZ!$C$5:$C$89,03_MATRIZ!$A$5:$A$89,$A13,03_MATRIZ!$B$5:$B$89,G$4)</f>
        <v>0</v>
      </c>
      <c r="H13" s="17" t="n">
        <f aca="false">SUMIFS(03_MATRIZ!$C$5:$C$89,03_MATRIZ!$A$5:$A$89,$A13,03_MATRIZ!$B$5:$B$89,H$4)</f>
        <v>0</v>
      </c>
      <c r="I13" s="17" t="n">
        <f aca="false">SUMIFS(03_MATRIZ!$C$5:$C$89,03_MATRIZ!$A$5:$A$89,$A13,03_MATRIZ!$B$5:$B$89,I$4)</f>
        <v>0</v>
      </c>
      <c r="J13" s="17" t="n">
        <f aca="false">SUMIFS(03_MATRIZ!$C$5:$C$89,03_MATRIZ!$A$5:$A$89,$A13,03_MATRIZ!$B$5:$B$89,J$4)</f>
        <v>9</v>
      </c>
      <c r="K13" s="17" t="n">
        <f aca="false">SUMIFS(03_MATRIZ!$C$5:$C$89,03_MATRIZ!$A$5:$A$89,$A13,03_MATRIZ!$B$5:$B$89,K$4)</f>
        <v>3</v>
      </c>
      <c r="L13" s="17" t="n">
        <f aca="false">SUMIFS(03_MATRIZ!$C$5:$C$89,03_MATRIZ!$A$5:$A$89,$A13,03_MATRIZ!$B$5:$B$89,L$4)</f>
        <v>0</v>
      </c>
      <c r="M13" s="17" t="n">
        <f aca="false">SUMIFS(03_MATRIZ!$C$5:$C$89,03_MATRIZ!$A$5:$A$89,$A13,03_MATRIZ!$B$5:$B$89,M$4)</f>
        <v>0</v>
      </c>
      <c r="N13" s="17" t="n">
        <f aca="false">SUMIFS(03_MATRIZ!$C$5:$C$89,03_MATRIZ!$A$5:$A$89,$A13,03_MATRIZ!$B$5:$B$89,N$4)</f>
        <v>0</v>
      </c>
      <c r="O13" s="17" t="n">
        <f aca="false">SUMIFS(03_MATRIZ!$C$5:$C$89,03_MATRIZ!$A$5:$A$89,$A13,03_MATRIZ!$B$5:$B$89,O$4)</f>
        <v>0</v>
      </c>
      <c r="P13" s="17" t="n">
        <f aca="false">SUMIFS(03_MATRIZ!$C$5:$C$89,03_MATRIZ!$A$5:$A$89,$A13,03_MATRIZ!$B$5:$B$89,P$4)</f>
        <v>0</v>
      </c>
      <c r="Q13" s="17" t="n">
        <f aca="false">SUMIFS(03_MATRIZ!$C$5:$C$89,03_MATRIZ!$A$5:$A$89,$A13,03_MATRIZ!$B$5:$B$89,Q$4)</f>
        <v>0</v>
      </c>
      <c r="R13" s="17" t="n">
        <f aca="false">SUMIFS(03_MATRIZ!$C$5:$C$89,03_MATRIZ!$A$5:$A$89,$A13,03_MATRIZ!$B$5:$B$89,R$4)</f>
        <v>0</v>
      </c>
      <c r="S13" s="17" t="n">
        <f aca="false">SUMIFS(03_MATRIZ!$C$5:$C$89,03_MATRIZ!$A$5:$A$89,$A13,03_MATRIZ!$B$5:$B$89,S$4)</f>
        <v>0</v>
      </c>
      <c r="T13" s="17" t="n">
        <f aca="false">SUMIFS(03_MATRIZ!$C$5:$C$89,03_MATRIZ!$A$5:$A$89,$A13,03_MATRIZ!$B$5:$B$89,T$4)</f>
        <v>0</v>
      </c>
      <c r="U13" s="10" t="n">
        <f aca="false">COUNTIF(B13:T13,"&lt;&gt;0")</f>
        <v>4</v>
      </c>
      <c r="V13" s="10" t="n">
        <f aca="false">SUMPRODUCT(ABS(B13:T13))</f>
        <v>23</v>
      </c>
    </row>
    <row r="14" customFormat="false" ht="15" hidden="false" customHeight="false" outlineLevel="0" collapsed="false">
      <c r="A14" s="9" t="s">
        <v>608</v>
      </c>
      <c r="B14" s="17" t="n">
        <f aca="false">SUMIFS(03_MATRIZ!$C$5:$C$89,03_MATRIZ!$A$5:$A$89,$A14,03_MATRIZ!$B$5:$B$89,B$4)</f>
        <v>0</v>
      </c>
      <c r="C14" s="17" t="n">
        <f aca="false">SUMIFS(03_MATRIZ!$C$5:$C$89,03_MATRIZ!$A$5:$A$89,$A14,03_MATRIZ!$B$5:$B$89,C$4)</f>
        <v>0</v>
      </c>
      <c r="D14" s="17" t="n">
        <f aca="false">SUMIFS(03_MATRIZ!$C$5:$C$89,03_MATRIZ!$A$5:$A$89,$A14,03_MATRIZ!$B$5:$B$89,D$4)</f>
        <v>3</v>
      </c>
      <c r="E14" s="17" t="n">
        <f aca="false">SUMIFS(03_MATRIZ!$C$5:$C$89,03_MATRIZ!$A$5:$A$89,$A14,03_MATRIZ!$B$5:$B$89,E$4)</f>
        <v>0</v>
      </c>
      <c r="F14" s="17" t="n">
        <f aca="false">SUMIFS(03_MATRIZ!$C$5:$C$89,03_MATRIZ!$A$5:$A$89,$A14,03_MATRIZ!$B$5:$B$89,F$4)</f>
        <v>0</v>
      </c>
      <c r="G14" s="17" t="n">
        <f aca="false">SUMIFS(03_MATRIZ!$C$5:$C$89,03_MATRIZ!$A$5:$A$89,$A14,03_MATRIZ!$B$5:$B$89,G$4)</f>
        <v>0</v>
      </c>
      <c r="H14" s="17" t="n">
        <f aca="false">SUMIFS(03_MATRIZ!$C$5:$C$89,03_MATRIZ!$A$5:$A$89,$A14,03_MATRIZ!$B$5:$B$89,H$4)</f>
        <v>0</v>
      </c>
      <c r="I14" s="17" t="n">
        <f aca="false">SUMIFS(03_MATRIZ!$C$5:$C$89,03_MATRIZ!$A$5:$A$89,$A14,03_MATRIZ!$B$5:$B$89,I$4)</f>
        <v>0</v>
      </c>
      <c r="J14" s="17" t="n">
        <f aca="false">SUMIFS(03_MATRIZ!$C$5:$C$89,03_MATRIZ!$A$5:$A$89,$A14,03_MATRIZ!$B$5:$B$89,J$4)</f>
        <v>6</v>
      </c>
      <c r="K14" s="17" t="n">
        <f aca="false">SUMIFS(03_MATRIZ!$C$5:$C$89,03_MATRIZ!$A$5:$A$89,$A14,03_MATRIZ!$B$5:$B$89,K$4)</f>
        <v>0</v>
      </c>
      <c r="L14" s="17" t="n">
        <f aca="false">SUMIFS(03_MATRIZ!$C$5:$C$89,03_MATRIZ!$A$5:$A$89,$A14,03_MATRIZ!$B$5:$B$89,L$4)</f>
        <v>0</v>
      </c>
      <c r="M14" s="17" t="n">
        <f aca="false">SUMIFS(03_MATRIZ!$C$5:$C$89,03_MATRIZ!$A$5:$A$89,$A14,03_MATRIZ!$B$5:$B$89,M$4)</f>
        <v>10</v>
      </c>
      <c r="N14" s="17" t="n">
        <f aca="false">SUMIFS(03_MATRIZ!$C$5:$C$89,03_MATRIZ!$A$5:$A$89,$A14,03_MATRIZ!$B$5:$B$89,N$4)</f>
        <v>4</v>
      </c>
      <c r="O14" s="17" t="n">
        <f aca="false">SUMIFS(03_MATRIZ!$C$5:$C$89,03_MATRIZ!$A$5:$A$89,$A14,03_MATRIZ!$B$5:$B$89,O$4)</f>
        <v>0</v>
      </c>
      <c r="P14" s="17" t="n">
        <f aca="false">SUMIFS(03_MATRIZ!$C$5:$C$89,03_MATRIZ!$A$5:$A$89,$A14,03_MATRIZ!$B$5:$B$89,P$4)</f>
        <v>0</v>
      </c>
      <c r="Q14" s="17" t="n">
        <f aca="false">SUMIFS(03_MATRIZ!$C$5:$C$89,03_MATRIZ!$A$5:$A$89,$A14,03_MATRIZ!$B$5:$B$89,Q$4)</f>
        <v>0</v>
      </c>
      <c r="R14" s="17" t="n">
        <f aca="false">SUMIFS(03_MATRIZ!$C$5:$C$89,03_MATRIZ!$A$5:$A$89,$A14,03_MATRIZ!$B$5:$B$89,R$4)</f>
        <v>0</v>
      </c>
      <c r="S14" s="17" t="n">
        <f aca="false">SUMIFS(03_MATRIZ!$C$5:$C$89,03_MATRIZ!$A$5:$A$89,$A14,03_MATRIZ!$B$5:$B$89,S$4)</f>
        <v>0</v>
      </c>
      <c r="T14" s="17" t="n">
        <f aca="false">SUMIFS(03_MATRIZ!$C$5:$C$89,03_MATRIZ!$A$5:$A$89,$A14,03_MATRIZ!$B$5:$B$89,T$4)</f>
        <v>0</v>
      </c>
      <c r="U14" s="10" t="n">
        <f aca="false">COUNTIF(B14:T14,"&lt;&gt;0")</f>
        <v>4</v>
      </c>
      <c r="V14" s="10" t="n">
        <f aca="false">SUMPRODUCT(ABS(B14:T14))</f>
        <v>23</v>
      </c>
    </row>
    <row r="15" customFormat="false" ht="15" hidden="false" customHeight="false" outlineLevel="0" collapsed="false">
      <c r="A15" s="9" t="s">
        <v>616</v>
      </c>
      <c r="B15" s="17" t="n">
        <f aca="false">SUMIFS(03_MATRIZ!$C$5:$C$89,03_MATRIZ!$A$5:$A$89,$A15,03_MATRIZ!$B$5:$B$89,B$4)</f>
        <v>-5</v>
      </c>
      <c r="C15" s="17" t="n">
        <f aca="false">SUMIFS(03_MATRIZ!$C$5:$C$89,03_MATRIZ!$A$5:$A$89,$A15,03_MATRIZ!$B$5:$B$89,C$4)</f>
        <v>6</v>
      </c>
      <c r="D15" s="17" t="n">
        <f aca="false">SUMIFS(03_MATRIZ!$C$5:$C$89,03_MATRIZ!$A$5:$A$89,$A15,03_MATRIZ!$B$5:$B$89,D$4)</f>
        <v>6</v>
      </c>
      <c r="E15" s="17" t="n">
        <f aca="false">SUMIFS(03_MATRIZ!$C$5:$C$89,03_MATRIZ!$A$5:$A$89,$A15,03_MATRIZ!$B$5:$B$89,E$4)</f>
        <v>0</v>
      </c>
      <c r="F15" s="17" t="n">
        <f aca="false">SUMIFS(03_MATRIZ!$C$5:$C$89,03_MATRIZ!$A$5:$A$89,$A15,03_MATRIZ!$B$5:$B$89,F$4)</f>
        <v>0</v>
      </c>
      <c r="G15" s="17" t="n">
        <f aca="false">SUMIFS(03_MATRIZ!$C$5:$C$89,03_MATRIZ!$A$5:$A$89,$A15,03_MATRIZ!$B$5:$B$89,G$4)</f>
        <v>0</v>
      </c>
      <c r="H15" s="17" t="n">
        <f aca="false">SUMIFS(03_MATRIZ!$C$5:$C$89,03_MATRIZ!$A$5:$A$89,$A15,03_MATRIZ!$B$5:$B$89,H$4)</f>
        <v>0</v>
      </c>
      <c r="I15" s="17" t="n">
        <f aca="false">SUMIFS(03_MATRIZ!$C$5:$C$89,03_MATRIZ!$A$5:$A$89,$A15,03_MATRIZ!$B$5:$B$89,I$4)</f>
        <v>0</v>
      </c>
      <c r="J15" s="17" t="n">
        <f aca="false">SUMIFS(03_MATRIZ!$C$5:$C$89,03_MATRIZ!$A$5:$A$89,$A15,03_MATRIZ!$B$5:$B$89,J$4)</f>
        <v>0</v>
      </c>
      <c r="K15" s="17" t="n">
        <f aca="false">SUMIFS(03_MATRIZ!$C$5:$C$89,03_MATRIZ!$A$5:$A$89,$A15,03_MATRIZ!$B$5:$B$89,K$4)</f>
        <v>10</v>
      </c>
      <c r="L15" s="17" t="n">
        <f aca="false">SUMIFS(03_MATRIZ!$C$5:$C$89,03_MATRIZ!$A$5:$A$89,$A15,03_MATRIZ!$B$5:$B$89,L$4)</f>
        <v>0</v>
      </c>
      <c r="M15" s="17" t="n">
        <f aca="false">SUMIFS(03_MATRIZ!$C$5:$C$89,03_MATRIZ!$A$5:$A$89,$A15,03_MATRIZ!$B$5:$B$89,M$4)</f>
        <v>0</v>
      </c>
      <c r="N15" s="17" t="n">
        <f aca="false">SUMIFS(03_MATRIZ!$C$5:$C$89,03_MATRIZ!$A$5:$A$89,$A15,03_MATRIZ!$B$5:$B$89,N$4)</f>
        <v>3</v>
      </c>
      <c r="O15" s="17" t="n">
        <f aca="false">SUMIFS(03_MATRIZ!$C$5:$C$89,03_MATRIZ!$A$5:$A$89,$A15,03_MATRIZ!$B$5:$B$89,O$4)</f>
        <v>0</v>
      </c>
      <c r="P15" s="17" t="n">
        <f aca="false">SUMIFS(03_MATRIZ!$C$5:$C$89,03_MATRIZ!$A$5:$A$89,$A15,03_MATRIZ!$B$5:$B$89,P$4)</f>
        <v>0</v>
      </c>
      <c r="Q15" s="17" t="n">
        <f aca="false">SUMIFS(03_MATRIZ!$C$5:$C$89,03_MATRIZ!$A$5:$A$89,$A15,03_MATRIZ!$B$5:$B$89,Q$4)</f>
        <v>0</v>
      </c>
      <c r="R15" s="17" t="n">
        <f aca="false">SUMIFS(03_MATRIZ!$C$5:$C$89,03_MATRIZ!$A$5:$A$89,$A15,03_MATRIZ!$B$5:$B$89,R$4)</f>
        <v>0</v>
      </c>
      <c r="S15" s="17" t="n">
        <f aca="false">SUMIFS(03_MATRIZ!$C$5:$C$89,03_MATRIZ!$A$5:$A$89,$A15,03_MATRIZ!$B$5:$B$89,S$4)</f>
        <v>0</v>
      </c>
      <c r="T15" s="17" t="n">
        <f aca="false">SUMIFS(03_MATRIZ!$C$5:$C$89,03_MATRIZ!$A$5:$A$89,$A15,03_MATRIZ!$B$5:$B$89,T$4)</f>
        <v>0</v>
      </c>
      <c r="U15" s="10" t="n">
        <f aca="false">COUNTIF(B15:T15,"&lt;&gt;0")</f>
        <v>5</v>
      </c>
      <c r="V15" s="10" t="n">
        <f aca="false">SUMPRODUCT(ABS(B15:T15))</f>
        <v>30</v>
      </c>
    </row>
    <row r="16" customFormat="false" ht="15" hidden="false" customHeight="false" outlineLevel="0" collapsed="false">
      <c r="A16" s="9" t="s">
        <v>626</v>
      </c>
      <c r="B16" s="17" t="n">
        <f aca="false">SUMIFS(03_MATRIZ!$C$5:$C$89,03_MATRIZ!$A$5:$A$89,$A16,03_MATRIZ!$B$5:$B$89,B$4)</f>
        <v>0</v>
      </c>
      <c r="C16" s="17" t="n">
        <f aca="false">SUMIFS(03_MATRIZ!$C$5:$C$89,03_MATRIZ!$A$5:$A$89,$A16,03_MATRIZ!$B$5:$B$89,C$4)</f>
        <v>0</v>
      </c>
      <c r="D16" s="17" t="n">
        <f aca="false">SUMIFS(03_MATRIZ!$C$5:$C$89,03_MATRIZ!$A$5:$A$89,$A16,03_MATRIZ!$B$5:$B$89,D$4)</f>
        <v>3</v>
      </c>
      <c r="E16" s="17" t="n">
        <f aca="false">SUMIFS(03_MATRIZ!$C$5:$C$89,03_MATRIZ!$A$5:$A$89,$A16,03_MATRIZ!$B$5:$B$89,E$4)</f>
        <v>0</v>
      </c>
      <c r="F16" s="17" t="n">
        <f aca="false">SUMIFS(03_MATRIZ!$C$5:$C$89,03_MATRIZ!$A$5:$A$89,$A16,03_MATRIZ!$B$5:$B$89,F$4)</f>
        <v>0</v>
      </c>
      <c r="G16" s="17" t="n">
        <f aca="false">SUMIFS(03_MATRIZ!$C$5:$C$89,03_MATRIZ!$A$5:$A$89,$A16,03_MATRIZ!$B$5:$B$89,G$4)</f>
        <v>0</v>
      </c>
      <c r="H16" s="17" t="n">
        <f aca="false">SUMIFS(03_MATRIZ!$C$5:$C$89,03_MATRIZ!$A$5:$A$89,$A16,03_MATRIZ!$B$5:$B$89,H$4)</f>
        <v>0</v>
      </c>
      <c r="I16" s="17" t="n">
        <f aca="false">SUMIFS(03_MATRIZ!$C$5:$C$89,03_MATRIZ!$A$5:$A$89,$A16,03_MATRIZ!$B$5:$B$89,I$4)</f>
        <v>0</v>
      </c>
      <c r="J16" s="17" t="n">
        <f aca="false">SUMIFS(03_MATRIZ!$C$5:$C$89,03_MATRIZ!$A$5:$A$89,$A16,03_MATRIZ!$B$5:$B$89,J$4)</f>
        <v>5</v>
      </c>
      <c r="K16" s="17" t="n">
        <f aca="false">SUMIFS(03_MATRIZ!$C$5:$C$89,03_MATRIZ!$A$5:$A$89,$A16,03_MATRIZ!$B$5:$B$89,K$4)</f>
        <v>4</v>
      </c>
      <c r="L16" s="17" t="n">
        <f aca="false">SUMIFS(03_MATRIZ!$C$5:$C$89,03_MATRIZ!$A$5:$A$89,$A16,03_MATRIZ!$B$5:$B$89,L$4)</f>
        <v>0</v>
      </c>
      <c r="M16" s="17" t="n">
        <f aca="false">SUMIFS(03_MATRIZ!$C$5:$C$89,03_MATRIZ!$A$5:$A$89,$A16,03_MATRIZ!$B$5:$B$89,M$4)</f>
        <v>0</v>
      </c>
      <c r="N16" s="17" t="n">
        <f aca="false">SUMIFS(03_MATRIZ!$C$5:$C$89,03_MATRIZ!$A$5:$A$89,$A16,03_MATRIZ!$B$5:$B$89,N$4)</f>
        <v>10</v>
      </c>
      <c r="O16" s="17" t="n">
        <f aca="false">SUMIFS(03_MATRIZ!$C$5:$C$89,03_MATRIZ!$A$5:$A$89,$A16,03_MATRIZ!$B$5:$B$89,O$4)</f>
        <v>3</v>
      </c>
      <c r="P16" s="17" t="n">
        <f aca="false">SUMIFS(03_MATRIZ!$C$5:$C$89,03_MATRIZ!$A$5:$A$89,$A16,03_MATRIZ!$B$5:$B$89,P$4)</f>
        <v>0</v>
      </c>
      <c r="Q16" s="17" t="n">
        <f aca="false">SUMIFS(03_MATRIZ!$C$5:$C$89,03_MATRIZ!$A$5:$A$89,$A16,03_MATRIZ!$B$5:$B$89,Q$4)</f>
        <v>0</v>
      </c>
      <c r="R16" s="17" t="n">
        <f aca="false">SUMIFS(03_MATRIZ!$C$5:$C$89,03_MATRIZ!$A$5:$A$89,$A16,03_MATRIZ!$B$5:$B$89,R$4)</f>
        <v>0</v>
      </c>
      <c r="S16" s="17" t="n">
        <f aca="false">SUMIFS(03_MATRIZ!$C$5:$C$89,03_MATRIZ!$A$5:$A$89,$A16,03_MATRIZ!$B$5:$B$89,S$4)</f>
        <v>0</v>
      </c>
      <c r="T16" s="17" t="n">
        <f aca="false">SUMIFS(03_MATRIZ!$C$5:$C$89,03_MATRIZ!$A$5:$A$89,$A16,03_MATRIZ!$B$5:$B$89,T$4)</f>
        <v>0</v>
      </c>
      <c r="U16" s="10" t="n">
        <f aca="false">COUNTIF(B16:T16,"&lt;&gt;0")</f>
        <v>5</v>
      </c>
      <c r="V16" s="10" t="n">
        <f aca="false">SUMPRODUCT(ABS(B16:T16))</f>
        <v>25</v>
      </c>
    </row>
    <row r="17" customFormat="false" ht="15" hidden="false" customHeight="false" outlineLevel="0" collapsed="false">
      <c r="A17" s="9" t="s">
        <v>635</v>
      </c>
      <c r="B17" s="17" t="n">
        <f aca="false">SUMIFS(03_MATRIZ!$C$5:$C$89,03_MATRIZ!$A$5:$A$89,$A17,03_MATRIZ!$B$5:$B$89,B$4)</f>
        <v>0</v>
      </c>
      <c r="C17" s="17" t="n">
        <f aca="false">SUMIFS(03_MATRIZ!$C$5:$C$89,03_MATRIZ!$A$5:$A$89,$A17,03_MATRIZ!$B$5:$B$89,C$4)</f>
        <v>0</v>
      </c>
      <c r="D17" s="17" t="n">
        <f aca="false">SUMIFS(03_MATRIZ!$C$5:$C$89,03_MATRIZ!$A$5:$A$89,$A17,03_MATRIZ!$B$5:$B$89,D$4)</f>
        <v>0</v>
      </c>
      <c r="E17" s="17" t="n">
        <f aca="false">SUMIFS(03_MATRIZ!$C$5:$C$89,03_MATRIZ!$A$5:$A$89,$A17,03_MATRIZ!$B$5:$B$89,E$4)</f>
        <v>0</v>
      </c>
      <c r="F17" s="17" t="n">
        <f aca="false">SUMIFS(03_MATRIZ!$C$5:$C$89,03_MATRIZ!$A$5:$A$89,$A17,03_MATRIZ!$B$5:$B$89,F$4)</f>
        <v>0</v>
      </c>
      <c r="G17" s="17" t="n">
        <f aca="false">SUMIFS(03_MATRIZ!$C$5:$C$89,03_MATRIZ!$A$5:$A$89,$A17,03_MATRIZ!$B$5:$B$89,G$4)</f>
        <v>0</v>
      </c>
      <c r="H17" s="17" t="n">
        <f aca="false">SUMIFS(03_MATRIZ!$C$5:$C$89,03_MATRIZ!$A$5:$A$89,$A17,03_MATRIZ!$B$5:$B$89,H$4)</f>
        <v>0</v>
      </c>
      <c r="I17" s="17" t="n">
        <f aca="false">SUMIFS(03_MATRIZ!$C$5:$C$89,03_MATRIZ!$A$5:$A$89,$A17,03_MATRIZ!$B$5:$B$89,I$4)</f>
        <v>0</v>
      </c>
      <c r="J17" s="17" t="n">
        <f aca="false">SUMIFS(03_MATRIZ!$C$5:$C$89,03_MATRIZ!$A$5:$A$89,$A17,03_MATRIZ!$B$5:$B$89,J$4)</f>
        <v>0</v>
      </c>
      <c r="K17" s="17" t="n">
        <f aca="false">SUMIFS(03_MATRIZ!$C$5:$C$89,03_MATRIZ!$A$5:$A$89,$A17,03_MATRIZ!$B$5:$B$89,K$4)</f>
        <v>0</v>
      </c>
      <c r="L17" s="17" t="n">
        <f aca="false">SUMIFS(03_MATRIZ!$C$5:$C$89,03_MATRIZ!$A$5:$A$89,$A17,03_MATRIZ!$B$5:$B$89,L$4)</f>
        <v>0</v>
      </c>
      <c r="M17" s="17" t="n">
        <f aca="false">SUMIFS(03_MATRIZ!$C$5:$C$89,03_MATRIZ!$A$5:$A$89,$A17,03_MATRIZ!$B$5:$B$89,M$4)</f>
        <v>3</v>
      </c>
      <c r="N17" s="17" t="n">
        <f aca="false">SUMIFS(03_MATRIZ!$C$5:$C$89,03_MATRIZ!$A$5:$A$89,$A17,03_MATRIZ!$B$5:$B$89,N$4)</f>
        <v>5</v>
      </c>
      <c r="O17" s="17" t="n">
        <f aca="false">SUMIFS(03_MATRIZ!$C$5:$C$89,03_MATRIZ!$A$5:$A$89,$A17,03_MATRIZ!$B$5:$B$89,O$4)</f>
        <v>10</v>
      </c>
      <c r="P17" s="17" t="n">
        <f aca="false">SUMIFS(03_MATRIZ!$C$5:$C$89,03_MATRIZ!$A$5:$A$89,$A17,03_MATRIZ!$B$5:$B$89,P$4)</f>
        <v>0</v>
      </c>
      <c r="Q17" s="17" t="n">
        <f aca="false">SUMIFS(03_MATRIZ!$C$5:$C$89,03_MATRIZ!$A$5:$A$89,$A17,03_MATRIZ!$B$5:$B$89,Q$4)</f>
        <v>0</v>
      </c>
      <c r="R17" s="17" t="n">
        <f aca="false">SUMIFS(03_MATRIZ!$C$5:$C$89,03_MATRIZ!$A$5:$A$89,$A17,03_MATRIZ!$B$5:$B$89,R$4)</f>
        <v>0</v>
      </c>
      <c r="S17" s="17" t="n">
        <f aca="false">SUMIFS(03_MATRIZ!$C$5:$C$89,03_MATRIZ!$A$5:$A$89,$A17,03_MATRIZ!$B$5:$B$89,S$4)</f>
        <v>0</v>
      </c>
      <c r="T17" s="17" t="n">
        <f aca="false">SUMIFS(03_MATRIZ!$C$5:$C$89,03_MATRIZ!$A$5:$A$89,$A17,03_MATRIZ!$B$5:$B$89,T$4)</f>
        <v>0</v>
      </c>
      <c r="U17" s="10" t="n">
        <f aca="false">COUNTIF(B17:T17,"&lt;&gt;0")</f>
        <v>3</v>
      </c>
      <c r="V17" s="10" t="n">
        <f aca="false">SUMPRODUCT(ABS(B17:T17))</f>
        <v>18</v>
      </c>
    </row>
    <row r="18" customFormat="false" ht="15" hidden="false" customHeight="false" outlineLevel="0" collapsed="false">
      <c r="A18" s="9" t="s">
        <v>643</v>
      </c>
      <c r="B18" s="17" t="n">
        <f aca="false">SUMIFS(03_MATRIZ!$C$5:$C$89,03_MATRIZ!$A$5:$A$89,$A18,03_MATRIZ!$B$5:$B$89,B$4)</f>
        <v>0</v>
      </c>
      <c r="C18" s="17" t="n">
        <f aca="false">SUMIFS(03_MATRIZ!$C$5:$C$89,03_MATRIZ!$A$5:$A$89,$A18,03_MATRIZ!$B$5:$B$89,C$4)</f>
        <v>0</v>
      </c>
      <c r="D18" s="17" t="n">
        <f aca="false">SUMIFS(03_MATRIZ!$C$5:$C$89,03_MATRIZ!$A$5:$A$89,$A18,03_MATRIZ!$B$5:$B$89,D$4)</f>
        <v>0</v>
      </c>
      <c r="E18" s="17" t="n">
        <f aca="false">SUMIFS(03_MATRIZ!$C$5:$C$89,03_MATRIZ!$A$5:$A$89,$A18,03_MATRIZ!$B$5:$B$89,E$4)</f>
        <v>0</v>
      </c>
      <c r="F18" s="17" t="n">
        <f aca="false">SUMIFS(03_MATRIZ!$C$5:$C$89,03_MATRIZ!$A$5:$A$89,$A18,03_MATRIZ!$B$5:$B$89,F$4)</f>
        <v>0</v>
      </c>
      <c r="G18" s="17" t="n">
        <f aca="false">SUMIFS(03_MATRIZ!$C$5:$C$89,03_MATRIZ!$A$5:$A$89,$A18,03_MATRIZ!$B$5:$B$89,G$4)</f>
        <v>0</v>
      </c>
      <c r="H18" s="17" t="n">
        <f aca="false">SUMIFS(03_MATRIZ!$C$5:$C$89,03_MATRIZ!$A$5:$A$89,$A18,03_MATRIZ!$B$5:$B$89,H$4)</f>
        <v>0</v>
      </c>
      <c r="I18" s="17" t="n">
        <f aca="false">SUMIFS(03_MATRIZ!$C$5:$C$89,03_MATRIZ!$A$5:$A$89,$A18,03_MATRIZ!$B$5:$B$89,I$4)</f>
        <v>0</v>
      </c>
      <c r="J18" s="17" t="n">
        <f aca="false">SUMIFS(03_MATRIZ!$C$5:$C$89,03_MATRIZ!$A$5:$A$89,$A18,03_MATRIZ!$B$5:$B$89,J$4)</f>
        <v>0</v>
      </c>
      <c r="K18" s="17" t="n">
        <f aca="false">SUMIFS(03_MATRIZ!$C$5:$C$89,03_MATRIZ!$A$5:$A$89,$A18,03_MATRIZ!$B$5:$B$89,K$4)</f>
        <v>0</v>
      </c>
      <c r="L18" s="17" t="n">
        <f aca="false">SUMIFS(03_MATRIZ!$C$5:$C$89,03_MATRIZ!$A$5:$A$89,$A18,03_MATRIZ!$B$5:$B$89,L$4)</f>
        <v>0</v>
      </c>
      <c r="M18" s="17" t="n">
        <f aca="false">SUMIFS(03_MATRIZ!$C$5:$C$89,03_MATRIZ!$A$5:$A$89,$A18,03_MATRIZ!$B$5:$B$89,M$4)</f>
        <v>0</v>
      </c>
      <c r="N18" s="17" t="n">
        <f aca="false">SUMIFS(03_MATRIZ!$C$5:$C$89,03_MATRIZ!$A$5:$A$89,$A18,03_MATRIZ!$B$5:$B$89,N$4)</f>
        <v>0</v>
      </c>
      <c r="O18" s="17" t="n">
        <f aca="false">SUMIFS(03_MATRIZ!$C$5:$C$89,03_MATRIZ!$A$5:$A$89,$A18,03_MATRIZ!$B$5:$B$89,O$4)</f>
        <v>0</v>
      </c>
      <c r="P18" s="17" t="n">
        <f aca="false">SUMIFS(03_MATRIZ!$C$5:$C$89,03_MATRIZ!$A$5:$A$89,$A18,03_MATRIZ!$B$5:$B$89,P$4)</f>
        <v>0</v>
      </c>
      <c r="Q18" s="17" t="n">
        <f aca="false">SUMIFS(03_MATRIZ!$C$5:$C$89,03_MATRIZ!$A$5:$A$89,$A18,03_MATRIZ!$B$5:$B$89,Q$4)</f>
        <v>8</v>
      </c>
      <c r="R18" s="17" t="n">
        <f aca="false">SUMIFS(03_MATRIZ!$C$5:$C$89,03_MATRIZ!$A$5:$A$89,$A18,03_MATRIZ!$B$5:$B$89,R$4)</f>
        <v>5</v>
      </c>
      <c r="S18" s="17" t="n">
        <f aca="false">SUMIFS(03_MATRIZ!$C$5:$C$89,03_MATRIZ!$A$5:$A$89,$A18,03_MATRIZ!$B$5:$B$89,S$4)</f>
        <v>5</v>
      </c>
      <c r="T18" s="17" t="n">
        <f aca="false">SUMIFS(03_MATRIZ!$C$5:$C$89,03_MATRIZ!$A$5:$A$89,$A18,03_MATRIZ!$B$5:$B$89,T$4)</f>
        <v>4</v>
      </c>
      <c r="U18" s="10" t="n">
        <f aca="false">COUNTIF(B18:T18,"&lt;&gt;0")</f>
        <v>4</v>
      </c>
      <c r="V18" s="10" t="n">
        <f aca="false">SUMPRODUCT(ABS(B18:T18))</f>
        <v>22</v>
      </c>
    </row>
    <row r="19" customFormat="false" ht="15" hidden="false" customHeight="false" outlineLevel="0" collapsed="false">
      <c r="A19" s="9" t="s">
        <v>653</v>
      </c>
      <c r="B19" s="17" t="n">
        <f aca="false">SUMIFS(03_MATRIZ!$C$5:$C$89,03_MATRIZ!$A$5:$A$89,$A19,03_MATRIZ!$B$5:$B$89,B$4)</f>
        <v>0</v>
      </c>
      <c r="C19" s="17" t="n">
        <f aca="false">SUMIFS(03_MATRIZ!$C$5:$C$89,03_MATRIZ!$A$5:$A$89,$A19,03_MATRIZ!$B$5:$B$89,C$4)</f>
        <v>0</v>
      </c>
      <c r="D19" s="17" t="n">
        <f aca="false">SUMIFS(03_MATRIZ!$C$5:$C$89,03_MATRIZ!$A$5:$A$89,$A19,03_MATRIZ!$B$5:$B$89,D$4)</f>
        <v>0</v>
      </c>
      <c r="E19" s="17" t="n">
        <f aca="false">SUMIFS(03_MATRIZ!$C$5:$C$89,03_MATRIZ!$A$5:$A$89,$A19,03_MATRIZ!$B$5:$B$89,E$4)</f>
        <v>0</v>
      </c>
      <c r="F19" s="17" t="n">
        <f aca="false">SUMIFS(03_MATRIZ!$C$5:$C$89,03_MATRIZ!$A$5:$A$89,$A19,03_MATRIZ!$B$5:$B$89,F$4)</f>
        <v>0</v>
      </c>
      <c r="G19" s="17" t="n">
        <f aca="false">SUMIFS(03_MATRIZ!$C$5:$C$89,03_MATRIZ!$A$5:$A$89,$A19,03_MATRIZ!$B$5:$B$89,G$4)</f>
        <v>4</v>
      </c>
      <c r="H19" s="17" t="n">
        <f aca="false">SUMIFS(03_MATRIZ!$C$5:$C$89,03_MATRIZ!$A$5:$A$89,$A19,03_MATRIZ!$B$5:$B$89,H$4)</f>
        <v>0</v>
      </c>
      <c r="I19" s="17" t="n">
        <f aca="false">SUMIFS(03_MATRIZ!$C$5:$C$89,03_MATRIZ!$A$5:$A$89,$A19,03_MATRIZ!$B$5:$B$89,I$4)</f>
        <v>0</v>
      </c>
      <c r="J19" s="17" t="n">
        <f aca="false">SUMIFS(03_MATRIZ!$C$5:$C$89,03_MATRIZ!$A$5:$A$89,$A19,03_MATRIZ!$B$5:$B$89,J$4)</f>
        <v>0</v>
      </c>
      <c r="K19" s="17" t="n">
        <f aca="false">SUMIFS(03_MATRIZ!$C$5:$C$89,03_MATRIZ!$A$5:$A$89,$A19,03_MATRIZ!$B$5:$B$89,K$4)</f>
        <v>0</v>
      </c>
      <c r="L19" s="17" t="n">
        <f aca="false">SUMIFS(03_MATRIZ!$C$5:$C$89,03_MATRIZ!$A$5:$A$89,$A19,03_MATRIZ!$B$5:$B$89,L$4)</f>
        <v>3</v>
      </c>
      <c r="M19" s="17" t="n">
        <f aca="false">SUMIFS(03_MATRIZ!$C$5:$C$89,03_MATRIZ!$A$5:$A$89,$A19,03_MATRIZ!$B$5:$B$89,M$4)</f>
        <v>0</v>
      </c>
      <c r="N19" s="17" t="n">
        <f aca="false">SUMIFS(03_MATRIZ!$C$5:$C$89,03_MATRIZ!$A$5:$A$89,$A19,03_MATRIZ!$B$5:$B$89,N$4)</f>
        <v>5</v>
      </c>
      <c r="O19" s="17" t="n">
        <f aca="false">SUMIFS(03_MATRIZ!$C$5:$C$89,03_MATRIZ!$A$5:$A$89,$A19,03_MATRIZ!$B$5:$B$89,O$4)</f>
        <v>0</v>
      </c>
      <c r="P19" s="17" t="n">
        <f aca="false">SUMIFS(03_MATRIZ!$C$5:$C$89,03_MATRIZ!$A$5:$A$89,$A19,03_MATRIZ!$B$5:$B$89,P$4)</f>
        <v>0</v>
      </c>
      <c r="Q19" s="17" t="n">
        <f aca="false">SUMIFS(03_MATRIZ!$C$5:$C$89,03_MATRIZ!$A$5:$A$89,$A19,03_MATRIZ!$B$5:$B$89,Q$4)</f>
        <v>5</v>
      </c>
      <c r="R19" s="17" t="n">
        <f aca="false">SUMIFS(03_MATRIZ!$C$5:$C$89,03_MATRIZ!$A$5:$A$89,$A19,03_MATRIZ!$B$5:$B$89,R$4)</f>
        <v>0</v>
      </c>
      <c r="S19" s="17" t="n">
        <f aca="false">SUMIFS(03_MATRIZ!$C$5:$C$89,03_MATRIZ!$A$5:$A$89,$A19,03_MATRIZ!$B$5:$B$89,S$4)</f>
        <v>0</v>
      </c>
      <c r="T19" s="17" t="n">
        <f aca="false">SUMIFS(03_MATRIZ!$C$5:$C$89,03_MATRIZ!$A$5:$A$89,$A19,03_MATRIZ!$B$5:$B$89,T$4)</f>
        <v>0</v>
      </c>
      <c r="U19" s="10" t="n">
        <f aca="false">COUNTIF(B19:T19,"&lt;&gt;0")</f>
        <v>4</v>
      </c>
      <c r="V19" s="10" t="n">
        <f aca="false">SUMPRODUCT(ABS(B19:T19))</f>
        <v>17</v>
      </c>
    </row>
    <row r="20" customFormat="false" ht="15" hidden="false" customHeight="false" outlineLevel="0" collapsed="false">
      <c r="A20" s="9" t="s">
        <v>661</v>
      </c>
      <c r="B20" s="17" t="n">
        <f aca="false">SUMIFS(03_MATRIZ!$C$5:$C$89,03_MATRIZ!$A$5:$A$89,$A20,03_MATRIZ!$B$5:$B$89,B$4)</f>
        <v>0</v>
      </c>
      <c r="C20" s="17" t="n">
        <f aca="false">SUMIFS(03_MATRIZ!$C$5:$C$89,03_MATRIZ!$A$5:$A$89,$A20,03_MATRIZ!$B$5:$B$89,C$4)</f>
        <v>0</v>
      </c>
      <c r="D20" s="17" t="n">
        <f aca="false">SUMIFS(03_MATRIZ!$C$5:$C$89,03_MATRIZ!$A$5:$A$89,$A20,03_MATRIZ!$B$5:$B$89,D$4)</f>
        <v>0</v>
      </c>
      <c r="E20" s="17" t="n">
        <f aca="false">SUMIFS(03_MATRIZ!$C$5:$C$89,03_MATRIZ!$A$5:$A$89,$A20,03_MATRIZ!$B$5:$B$89,E$4)</f>
        <v>0</v>
      </c>
      <c r="F20" s="17" t="n">
        <f aca="false">SUMIFS(03_MATRIZ!$C$5:$C$89,03_MATRIZ!$A$5:$A$89,$A20,03_MATRIZ!$B$5:$B$89,F$4)</f>
        <v>0</v>
      </c>
      <c r="G20" s="17" t="n">
        <f aca="false">SUMIFS(03_MATRIZ!$C$5:$C$89,03_MATRIZ!$A$5:$A$89,$A20,03_MATRIZ!$B$5:$B$89,G$4)</f>
        <v>0</v>
      </c>
      <c r="H20" s="17" t="n">
        <f aca="false">SUMIFS(03_MATRIZ!$C$5:$C$89,03_MATRIZ!$A$5:$A$89,$A20,03_MATRIZ!$B$5:$B$89,H$4)</f>
        <v>0</v>
      </c>
      <c r="I20" s="17" t="n">
        <f aca="false">SUMIFS(03_MATRIZ!$C$5:$C$89,03_MATRIZ!$A$5:$A$89,$A20,03_MATRIZ!$B$5:$B$89,I$4)</f>
        <v>0</v>
      </c>
      <c r="J20" s="17" t="n">
        <f aca="false">SUMIFS(03_MATRIZ!$C$5:$C$89,03_MATRIZ!$A$5:$A$89,$A20,03_MATRIZ!$B$5:$B$89,J$4)</f>
        <v>0</v>
      </c>
      <c r="K20" s="17" t="n">
        <f aca="false">SUMIFS(03_MATRIZ!$C$5:$C$89,03_MATRIZ!$A$5:$A$89,$A20,03_MATRIZ!$B$5:$B$89,K$4)</f>
        <v>0</v>
      </c>
      <c r="L20" s="17" t="n">
        <f aca="false">SUMIFS(03_MATRIZ!$C$5:$C$89,03_MATRIZ!$A$5:$A$89,$A20,03_MATRIZ!$B$5:$B$89,L$4)</f>
        <v>0</v>
      </c>
      <c r="M20" s="17" t="n">
        <f aca="false">SUMIFS(03_MATRIZ!$C$5:$C$89,03_MATRIZ!$A$5:$A$89,$A20,03_MATRIZ!$B$5:$B$89,M$4)</f>
        <v>0</v>
      </c>
      <c r="N20" s="17" t="n">
        <f aca="false">SUMIFS(03_MATRIZ!$C$5:$C$89,03_MATRIZ!$A$5:$A$89,$A20,03_MATRIZ!$B$5:$B$89,N$4)</f>
        <v>8</v>
      </c>
      <c r="O20" s="17" t="n">
        <f aca="false">SUMIFS(03_MATRIZ!$C$5:$C$89,03_MATRIZ!$A$5:$A$89,$A20,03_MATRIZ!$B$5:$B$89,O$4)</f>
        <v>0</v>
      </c>
      <c r="P20" s="17" t="n">
        <f aca="false">SUMIFS(03_MATRIZ!$C$5:$C$89,03_MATRIZ!$A$5:$A$89,$A20,03_MATRIZ!$B$5:$B$89,P$4)</f>
        <v>-3</v>
      </c>
      <c r="Q20" s="17" t="n">
        <f aca="false">SUMIFS(03_MATRIZ!$C$5:$C$89,03_MATRIZ!$A$5:$A$89,$A20,03_MATRIZ!$B$5:$B$89,Q$4)</f>
        <v>4</v>
      </c>
      <c r="R20" s="17" t="n">
        <f aca="false">SUMIFS(03_MATRIZ!$C$5:$C$89,03_MATRIZ!$A$5:$A$89,$A20,03_MATRIZ!$B$5:$B$89,R$4)</f>
        <v>0</v>
      </c>
      <c r="S20" s="17" t="n">
        <f aca="false">SUMIFS(03_MATRIZ!$C$5:$C$89,03_MATRIZ!$A$5:$A$89,$A20,03_MATRIZ!$B$5:$B$89,S$4)</f>
        <v>0</v>
      </c>
      <c r="T20" s="17" t="n">
        <f aca="false">SUMIFS(03_MATRIZ!$C$5:$C$89,03_MATRIZ!$A$5:$A$89,$A20,03_MATRIZ!$B$5:$B$89,T$4)</f>
        <v>0</v>
      </c>
      <c r="U20" s="10" t="n">
        <f aca="false">COUNTIF(B20:T20,"&lt;&gt;0")</f>
        <v>3</v>
      </c>
      <c r="V20" s="10" t="n">
        <f aca="false">SUMPRODUCT(ABS(B20:T20))</f>
        <v>15</v>
      </c>
    </row>
    <row r="21" customFormat="false" ht="15" hidden="false" customHeight="false" outlineLevel="0" collapsed="false">
      <c r="A21" s="9" t="s">
        <v>671</v>
      </c>
      <c r="B21" s="17" t="n">
        <f aca="false">SUMIFS(03_MATRIZ!$C$5:$C$89,03_MATRIZ!$A$5:$A$89,$A21,03_MATRIZ!$B$5:$B$89,B$4)</f>
        <v>0</v>
      </c>
      <c r="C21" s="17" t="n">
        <f aca="false">SUMIFS(03_MATRIZ!$C$5:$C$89,03_MATRIZ!$A$5:$A$89,$A21,03_MATRIZ!$B$5:$B$89,C$4)</f>
        <v>6</v>
      </c>
      <c r="D21" s="17" t="n">
        <f aca="false">SUMIFS(03_MATRIZ!$C$5:$C$89,03_MATRIZ!$A$5:$A$89,$A21,03_MATRIZ!$B$5:$B$89,D$4)</f>
        <v>0</v>
      </c>
      <c r="E21" s="17" t="n">
        <f aca="false">SUMIFS(03_MATRIZ!$C$5:$C$89,03_MATRIZ!$A$5:$A$89,$A21,03_MATRIZ!$B$5:$B$89,E$4)</f>
        <v>0</v>
      </c>
      <c r="F21" s="17" t="n">
        <f aca="false">SUMIFS(03_MATRIZ!$C$5:$C$89,03_MATRIZ!$A$5:$A$89,$A21,03_MATRIZ!$B$5:$B$89,F$4)</f>
        <v>0</v>
      </c>
      <c r="G21" s="17" t="n">
        <f aca="false">SUMIFS(03_MATRIZ!$C$5:$C$89,03_MATRIZ!$A$5:$A$89,$A21,03_MATRIZ!$B$5:$B$89,G$4)</f>
        <v>0</v>
      </c>
      <c r="H21" s="17" t="n">
        <f aca="false">SUMIFS(03_MATRIZ!$C$5:$C$89,03_MATRIZ!$A$5:$A$89,$A21,03_MATRIZ!$B$5:$B$89,H$4)</f>
        <v>0</v>
      </c>
      <c r="I21" s="17" t="n">
        <f aca="false">SUMIFS(03_MATRIZ!$C$5:$C$89,03_MATRIZ!$A$5:$A$89,$A21,03_MATRIZ!$B$5:$B$89,I$4)</f>
        <v>8</v>
      </c>
      <c r="J21" s="17" t="n">
        <f aca="false">SUMIFS(03_MATRIZ!$C$5:$C$89,03_MATRIZ!$A$5:$A$89,$A21,03_MATRIZ!$B$5:$B$89,J$4)</f>
        <v>0</v>
      </c>
      <c r="K21" s="17" t="n">
        <f aca="false">SUMIFS(03_MATRIZ!$C$5:$C$89,03_MATRIZ!$A$5:$A$89,$A21,03_MATRIZ!$B$5:$B$89,K$4)</f>
        <v>3</v>
      </c>
      <c r="L21" s="17" t="n">
        <f aca="false">SUMIFS(03_MATRIZ!$C$5:$C$89,03_MATRIZ!$A$5:$A$89,$A21,03_MATRIZ!$B$5:$B$89,L$4)</f>
        <v>3</v>
      </c>
      <c r="M21" s="17" t="n">
        <f aca="false">SUMIFS(03_MATRIZ!$C$5:$C$89,03_MATRIZ!$A$5:$A$89,$A21,03_MATRIZ!$B$5:$B$89,M$4)</f>
        <v>0</v>
      </c>
      <c r="N21" s="17" t="n">
        <f aca="false">SUMIFS(03_MATRIZ!$C$5:$C$89,03_MATRIZ!$A$5:$A$89,$A21,03_MATRIZ!$B$5:$B$89,N$4)</f>
        <v>0</v>
      </c>
      <c r="O21" s="17" t="n">
        <f aca="false">SUMIFS(03_MATRIZ!$C$5:$C$89,03_MATRIZ!$A$5:$A$89,$A21,03_MATRIZ!$B$5:$B$89,O$4)</f>
        <v>0</v>
      </c>
      <c r="P21" s="17" t="n">
        <f aca="false">SUMIFS(03_MATRIZ!$C$5:$C$89,03_MATRIZ!$A$5:$A$89,$A21,03_MATRIZ!$B$5:$B$89,P$4)</f>
        <v>0</v>
      </c>
      <c r="Q21" s="17" t="n">
        <f aca="false">SUMIFS(03_MATRIZ!$C$5:$C$89,03_MATRIZ!$A$5:$A$89,$A21,03_MATRIZ!$B$5:$B$89,Q$4)</f>
        <v>3</v>
      </c>
      <c r="R21" s="17" t="n">
        <f aca="false">SUMIFS(03_MATRIZ!$C$5:$C$89,03_MATRIZ!$A$5:$A$89,$A21,03_MATRIZ!$B$5:$B$89,R$4)</f>
        <v>0</v>
      </c>
      <c r="S21" s="17" t="n">
        <f aca="false">SUMIFS(03_MATRIZ!$C$5:$C$89,03_MATRIZ!$A$5:$A$89,$A21,03_MATRIZ!$B$5:$B$89,S$4)</f>
        <v>0</v>
      </c>
      <c r="T21" s="17" t="n">
        <f aca="false">SUMIFS(03_MATRIZ!$C$5:$C$89,03_MATRIZ!$A$5:$A$89,$A21,03_MATRIZ!$B$5:$B$89,T$4)</f>
        <v>0</v>
      </c>
      <c r="U21" s="10" t="n">
        <f aca="false">COUNTIF(B21:T21,"&lt;&gt;0")</f>
        <v>5</v>
      </c>
      <c r="V21" s="10" t="n">
        <f aca="false">SUMPRODUCT(ABS(B21:T21))</f>
        <v>23</v>
      </c>
    </row>
    <row r="23" customFormat="false" ht="15" hidden="false" customHeight="false" outlineLevel="0" collapsed="false">
      <c r="A23" s="14" t="s">
        <v>797</v>
      </c>
    </row>
    <row r="24" customFormat="false" ht="15" hidden="false" customHeight="false" outlineLevel="0" collapsed="false">
      <c r="A24" s="10" t="s">
        <v>798</v>
      </c>
      <c r="B24" s="10" t="n">
        <f aca="false">COUNTIF(B5:B21,"&lt;&gt;0")</f>
        <v>9</v>
      </c>
      <c r="C24" s="10" t="n">
        <f aca="false">COUNTIF(C5:C21,"&lt;&gt;0")</f>
        <v>7</v>
      </c>
      <c r="D24" s="10" t="n">
        <f aca="false">COUNTIF(D5:D21,"&lt;&gt;0")</f>
        <v>9</v>
      </c>
      <c r="E24" s="10" t="n">
        <f aca="false">COUNTIF(E5:E21,"&lt;&gt;0")</f>
        <v>3</v>
      </c>
      <c r="F24" s="10" t="n">
        <f aca="false">COUNTIF(F5:F21,"&lt;&gt;0")</f>
        <v>4</v>
      </c>
      <c r="G24" s="10" t="n">
        <f aca="false">COUNTIF(G5:G21,"&lt;&gt;0")</f>
        <v>2</v>
      </c>
      <c r="H24" s="10" t="n">
        <f aca="false">COUNTIF(H5:H21,"&lt;&gt;0")</f>
        <v>3</v>
      </c>
      <c r="I24" s="10" t="n">
        <f aca="false">COUNTIF(I5:I21,"&lt;&gt;0")</f>
        <v>3</v>
      </c>
      <c r="J24" s="10" t="n">
        <f aca="false">COUNTIF(J5:J21,"&lt;&gt;0")</f>
        <v>6</v>
      </c>
      <c r="K24" s="10" t="n">
        <f aca="false">COUNTIF(K5:K21,"&lt;&gt;0")</f>
        <v>7</v>
      </c>
      <c r="L24" s="10" t="n">
        <f aca="false">COUNTIF(L5:L21,"&lt;&gt;0")</f>
        <v>4</v>
      </c>
      <c r="M24" s="10" t="n">
        <f aca="false">COUNTIF(M5:M21,"&lt;&gt;0")</f>
        <v>3</v>
      </c>
      <c r="N24" s="10" t="n">
        <f aca="false">COUNTIF(N5:N21,"&lt;&gt;0")</f>
        <v>10</v>
      </c>
      <c r="O24" s="10" t="n">
        <f aca="false">COUNTIF(O5:O21,"&lt;&gt;0")</f>
        <v>3</v>
      </c>
      <c r="P24" s="10" t="n">
        <f aca="false">COUNTIF(P5:P21,"&lt;&gt;0")</f>
        <v>5</v>
      </c>
      <c r="Q24" s="10" t="n">
        <f aca="false">COUNTIF(Q5:Q21,"&lt;&gt;0")</f>
        <v>4</v>
      </c>
      <c r="R24" s="10" t="n">
        <f aca="false">COUNTIF(R5:R21,"&lt;&gt;0")</f>
        <v>1</v>
      </c>
      <c r="S24" s="10" t="n">
        <f aca="false">COUNTIF(S5:S21,"&lt;&gt;0")</f>
        <v>1</v>
      </c>
      <c r="T24" s="10" t="n">
        <f aca="false">COUNTIF(T5:T21,"&lt;&gt;0")</f>
        <v>1</v>
      </c>
    </row>
  </sheetData>
  <conditionalFormatting sqref="B5:T21">
    <cfRule type="colorScale" priority="2">
      <colorScale>
        <cfvo type="num" val="-10"/>
        <cfvo type="num" val="0"/>
        <cfvo type="num" val="10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R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7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48"/>
    <col collapsed="false" customWidth="true" hidden="false" outlineLevel="0" max="14" min="13" style="0" width="30"/>
    <col collapsed="false" customWidth="true" hidden="false" outlineLevel="0" max="16" min="15" style="0" width="26"/>
    <col collapsed="false" customWidth="true" hidden="false" outlineLevel="0" max="17" min="17" style="0" width="36"/>
    <col collapsed="false" customWidth="true" hidden="false" outlineLevel="0" max="18" min="18" style="0" width="8"/>
  </cols>
  <sheetData>
    <row r="1" customFormat="false" ht="17.35" hidden="false" customHeight="false" outlineLevel="0" collapsed="false">
      <c r="A1" s="1" t="s">
        <v>799</v>
      </c>
    </row>
    <row r="2" customFormat="false" ht="15" hidden="false" customHeight="false" outlineLevel="0" collapsed="false">
      <c r="A2" s="2" t="s">
        <v>800</v>
      </c>
    </row>
    <row r="4" customFormat="false" ht="35.05" hidden="false" customHeight="false" outlineLevel="0" collapsed="false">
      <c r="A4" s="11" t="s">
        <v>801</v>
      </c>
      <c r="B4" s="11" t="s">
        <v>222</v>
      </c>
      <c r="C4" s="11" t="s">
        <v>513</v>
      </c>
      <c r="D4" s="11" t="s">
        <v>802</v>
      </c>
      <c r="E4" s="11" t="s">
        <v>803</v>
      </c>
      <c r="F4" s="11" t="s">
        <v>804</v>
      </c>
      <c r="G4" s="11" t="s">
        <v>805</v>
      </c>
      <c r="H4" s="11" t="s">
        <v>806</v>
      </c>
      <c r="I4" s="11" t="s">
        <v>807</v>
      </c>
      <c r="J4" s="11" t="s">
        <v>808</v>
      </c>
      <c r="K4" s="11" t="s">
        <v>809</v>
      </c>
      <c r="L4" s="11" t="s">
        <v>810</v>
      </c>
      <c r="M4" s="11" t="s">
        <v>811</v>
      </c>
      <c r="N4" s="11" t="s">
        <v>812</v>
      </c>
      <c r="O4" s="11" t="s">
        <v>813</v>
      </c>
      <c r="P4" s="11" t="s">
        <v>814</v>
      </c>
      <c r="Q4" s="11" t="s">
        <v>815</v>
      </c>
      <c r="R4" s="11" t="s">
        <v>816</v>
      </c>
    </row>
    <row r="5" customFormat="false" ht="46.25" hidden="false" customHeight="false" outlineLevel="0" collapsed="false">
      <c r="A5" s="12" t="s">
        <v>817</v>
      </c>
      <c r="B5" s="12" t="s">
        <v>818</v>
      </c>
      <c r="C5" s="12" t="s">
        <v>819</v>
      </c>
      <c r="D5" s="12" t="s">
        <v>820</v>
      </c>
      <c r="E5" s="18" t="s">
        <v>821</v>
      </c>
      <c r="F5" s="12" t="s">
        <v>817</v>
      </c>
      <c r="G5" s="13" t="n">
        <v>1</v>
      </c>
      <c r="H5" s="13" t="n">
        <v>250</v>
      </c>
      <c r="I5" s="13" t="n">
        <v>1</v>
      </c>
      <c r="J5" s="12" t="s">
        <v>822</v>
      </c>
      <c r="K5" s="12"/>
      <c r="L5" s="12" t="s">
        <v>823</v>
      </c>
      <c r="M5" s="12" t="s">
        <v>202</v>
      </c>
      <c r="N5" s="12" t="s">
        <v>202</v>
      </c>
      <c r="O5" s="12" t="s">
        <v>824</v>
      </c>
      <c r="P5" s="12" t="s">
        <v>202</v>
      </c>
      <c r="Q5" s="12" t="s">
        <v>825</v>
      </c>
      <c r="R5" s="12" t="n">
        <f aca="false">COUNTIF(05_EFECTOS!$B$5:$B$306,A5)</f>
        <v>11</v>
      </c>
    </row>
    <row r="6" customFormat="false" ht="35.05" hidden="false" customHeight="false" outlineLevel="0" collapsed="false">
      <c r="A6" s="12" t="s">
        <v>826</v>
      </c>
      <c r="B6" s="12" t="s">
        <v>827</v>
      </c>
      <c r="C6" s="12" t="s">
        <v>828</v>
      </c>
      <c r="D6" s="12" t="s">
        <v>820</v>
      </c>
      <c r="E6" s="19" t="s">
        <v>829</v>
      </c>
      <c r="F6" s="12" t="s">
        <v>202</v>
      </c>
      <c r="G6" s="13" t="n">
        <v>1</v>
      </c>
      <c r="H6" s="13" t="n">
        <v>-50</v>
      </c>
      <c r="I6" s="13" t="n">
        <v>2</v>
      </c>
      <c r="J6" s="12" t="s">
        <v>822</v>
      </c>
      <c r="K6" s="12"/>
      <c r="L6" s="12" t="s">
        <v>830</v>
      </c>
      <c r="M6" s="12" t="s">
        <v>202</v>
      </c>
      <c r="N6" s="12" t="s">
        <v>202</v>
      </c>
      <c r="O6" s="12" t="s">
        <v>831</v>
      </c>
      <c r="P6" s="12" t="s">
        <v>202</v>
      </c>
      <c r="Q6" s="12" t="s">
        <v>832</v>
      </c>
      <c r="R6" s="12" t="n">
        <f aca="false">COUNTIF(05_EFECTOS!$B$5:$B$306,A6)</f>
        <v>9</v>
      </c>
    </row>
    <row r="7" customFormat="false" ht="23.85" hidden="false" customHeight="false" outlineLevel="0" collapsed="false">
      <c r="A7" s="12" t="s">
        <v>833</v>
      </c>
      <c r="B7" s="12" t="s">
        <v>834</v>
      </c>
      <c r="C7" s="12" t="s">
        <v>835</v>
      </c>
      <c r="D7" s="12" t="s">
        <v>820</v>
      </c>
      <c r="E7" s="19" t="s">
        <v>829</v>
      </c>
      <c r="F7" s="12" t="s">
        <v>202</v>
      </c>
      <c r="G7" s="13" t="n">
        <v>1</v>
      </c>
      <c r="H7" s="13" t="n">
        <v>100</v>
      </c>
      <c r="I7" s="13" t="n">
        <v>4</v>
      </c>
      <c r="J7" s="12" t="s">
        <v>822</v>
      </c>
      <c r="K7" s="12"/>
      <c r="L7" s="12" t="s">
        <v>836</v>
      </c>
      <c r="M7" s="12" t="s">
        <v>202</v>
      </c>
      <c r="N7" s="12" t="s">
        <v>837</v>
      </c>
      <c r="O7" s="12" t="s">
        <v>838</v>
      </c>
      <c r="P7" s="12" t="s">
        <v>202</v>
      </c>
      <c r="Q7" s="12" t="s">
        <v>839</v>
      </c>
      <c r="R7" s="12" t="n">
        <f aca="false">COUNTIF(05_EFECTOS!$B$5:$B$306,A7)</f>
        <v>8</v>
      </c>
    </row>
    <row r="8" customFormat="false" ht="35.05" hidden="false" customHeight="false" outlineLevel="0" collapsed="false">
      <c r="A8" s="12" t="s">
        <v>840</v>
      </c>
      <c r="B8" s="12" t="s">
        <v>841</v>
      </c>
      <c r="C8" s="12" t="s">
        <v>842</v>
      </c>
      <c r="D8" s="12" t="s">
        <v>820</v>
      </c>
      <c r="E8" s="19" t="s">
        <v>829</v>
      </c>
      <c r="F8" s="12" t="s">
        <v>202</v>
      </c>
      <c r="G8" s="13" t="n">
        <v>1</v>
      </c>
      <c r="H8" s="13" t="n">
        <v>0</v>
      </c>
      <c r="I8" s="13" t="n">
        <v>0</v>
      </c>
      <c r="J8" s="12" t="s">
        <v>822</v>
      </c>
      <c r="K8" s="12" t="s">
        <v>843</v>
      </c>
      <c r="L8" s="12" t="s">
        <v>844</v>
      </c>
      <c r="M8" s="12" t="s">
        <v>845</v>
      </c>
      <c r="N8" s="12" t="s">
        <v>846</v>
      </c>
      <c r="O8" s="12" t="s">
        <v>847</v>
      </c>
      <c r="P8" s="12" t="s">
        <v>202</v>
      </c>
      <c r="Q8" s="12" t="s">
        <v>848</v>
      </c>
      <c r="R8" s="12" t="n">
        <f aca="false">COUNTIF(05_EFECTOS!$B$5:$B$306,A8)</f>
        <v>5</v>
      </c>
    </row>
    <row r="9" customFormat="false" ht="23.85" hidden="false" customHeight="false" outlineLevel="0" collapsed="false">
      <c r="A9" s="12" t="s">
        <v>846</v>
      </c>
      <c r="B9" s="12" t="s">
        <v>849</v>
      </c>
      <c r="C9" s="12" t="s">
        <v>850</v>
      </c>
      <c r="D9" s="12" t="s">
        <v>820</v>
      </c>
      <c r="E9" s="19" t="s">
        <v>829</v>
      </c>
      <c r="F9" s="12" t="s">
        <v>202</v>
      </c>
      <c r="G9" s="13" t="n">
        <v>2</v>
      </c>
      <c r="H9" s="13" t="n">
        <v>0</v>
      </c>
      <c r="I9" s="13" t="n">
        <v>0</v>
      </c>
      <c r="J9" s="12" t="s">
        <v>822</v>
      </c>
      <c r="K9" s="12"/>
      <c r="L9" s="12" t="s">
        <v>851</v>
      </c>
      <c r="M9" s="12" t="s">
        <v>852</v>
      </c>
      <c r="N9" s="12" t="s">
        <v>202</v>
      </c>
      <c r="O9" s="12" t="s">
        <v>853</v>
      </c>
      <c r="P9" s="12" t="s">
        <v>202</v>
      </c>
      <c r="Q9" s="12" t="s">
        <v>854</v>
      </c>
      <c r="R9" s="12" t="n">
        <f aca="false">COUNTIF(05_EFECTOS!$B$5:$B$306,A9)</f>
        <v>7</v>
      </c>
    </row>
    <row r="10" customFormat="false" ht="35.05" hidden="false" customHeight="false" outlineLevel="0" collapsed="false">
      <c r="A10" s="12" t="s">
        <v>855</v>
      </c>
      <c r="B10" s="12" t="s">
        <v>856</v>
      </c>
      <c r="C10" s="12" t="s">
        <v>857</v>
      </c>
      <c r="D10" s="12" t="s">
        <v>820</v>
      </c>
      <c r="E10" s="18" t="s">
        <v>821</v>
      </c>
      <c r="F10" s="12" t="s">
        <v>855</v>
      </c>
      <c r="G10" s="13" t="n">
        <v>1</v>
      </c>
      <c r="H10" s="13" t="n">
        <v>-50</v>
      </c>
      <c r="I10" s="13" t="n">
        <v>2</v>
      </c>
      <c r="J10" s="12" t="s">
        <v>822</v>
      </c>
      <c r="K10" s="12"/>
      <c r="L10" s="12" t="s">
        <v>858</v>
      </c>
      <c r="M10" s="12" t="s">
        <v>202</v>
      </c>
      <c r="N10" s="12" t="s">
        <v>202</v>
      </c>
      <c r="O10" s="12" t="s">
        <v>859</v>
      </c>
      <c r="P10" s="12" t="s">
        <v>202</v>
      </c>
      <c r="Q10" s="12" t="s">
        <v>860</v>
      </c>
      <c r="R10" s="12" t="n">
        <f aca="false">COUNTIF(05_EFECTOS!$B$5:$B$306,A10)</f>
        <v>7</v>
      </c>
    </row>
    <row r="11" customFormat="false" ht="35.05" hidden="false" customHeight="false" outlineLevel="0" collapsed="false">
      <c r="A11" s="12" t="s">
        <v>861</v>
      </c>
      <c r="B11" s="12" t="s">
        <v>862</v>
      </c>
      <c r="C11" s="12" t="s">
        <v>863</v>
      </c>
      <c r="D11" s="12" t="s">
        <v>820</v>
      </c>
      <c r="E11" s="18" t="s">
        <v>821</v>
      </c>
      <c r="F11" s="12" t="s">
        <v>861</v>
      </c>
      <c r="G11" s="13" t="n">
        <v>1</v>
      </c>
      <c r="H11" s="13" t="n">
        <v>200</v>
      </c>
      <c r="I11" s="13" t="n">
        <v>2</v>
      </c>
      <c r="J11" s="12" t="s">
        <v>822</v>
      </c>
      <c r="K11" s="12"/>
      <c r="L11" s="12" t="s">
        <v>864</v>
      </c>
      <c r="M11" s="12" t="s">
        <v>202</v>
      </c>
      <c r="N11" s="12" t="s">
        <v>202</v>
      </c>
      <c r="O11" s="12" t="s">
        <v>865</v>
      </c>
      <c r="P11" s="12" t="s">
        <v>202</v>
      </c>
      <c r="Q11" s="12" t="s">
        <v>866</v>
      </c>
      <c r="R11" s="12" t="n">
        <f aca="false">COUNTIF(05_EFECTOS!$B$5:$B$306,A11)</f>
        <v>8</v>
      </c>
    </row>
    <row r="12" customFormat="false" ht="35.05" hidden="false" customHeight="false" outlineLevel="0" collapsed="false">
      <c r="A12" s="12" t="s">
        <v>867</v>
      </c>
      <c r="B12" s="12" t="s">
        <v>868</v>
      </c>
      <c r="C12" s="12" t="s">
        <v>869</v>
      </c>
      <c r="D12" s="12" t="s">
        <v>820</v>
      </c>
      <c r="E12" s="19" t="s">
        <v>829</v>
      </c>
      <c r="F12" s="12" t="s">
        <v>202</v>
      </c>
      <c r="G12" s="13" t="n">
        <v>2</v>
      </c>
      <c r="H12" s="13" t="n">
        <v>600</v>
      </c>
      <c r="I12" s="13" t="n">
        <v>8</v>
      </c>
      <c r="J12" s="12" t="s">
        <v>870</v>
      </c>
      <c r="K12" s="12"/>
      <c r="L12" s="12" t="s">
        <v>871</v>
      </c>
      <c r="M12" s="12" t="s">
        <v>872</v>
      </c>
      <c r="N12" s="12" t="s">
        <v>202</v>
      </c>
      <c r="O12" s="12" t="s">
        <v>873</v>
      </c>
      <c r="P12" s="12" t="s">
        <v>202</v>
      </c>
      <c r="Q12" s="12" t="s">
        <v>874</v>
      </c>
      <c r="R12" s="12" t="n">
        <f aca="false">COUNTIF(05_EFECTOS!$B$5:$B$306,A12)</f>
        <v>7</v>
      </c>
    </row>
    <row r="13" customFormat="false" ht="35.05" hidden="false" customHeight="false" outlineLevel="0" collapsed="false">
      <c r="A13" s="12" t="s">
        <v>875</v>
      </c>
      <c r="B13" s="12" t="s">
        <v>876</v>
      </c>
      <c r="C13" s="12" t="s">
        <v>877</v>
      </c>
      <c r="D13" s="12" t="s">
        <v>820</v>
      </c>
      <c r="E13" s="18" t="s">
        <v>821</v>
      </c>
      <c r="F13" s="12" t="s">
        <v>875</v>
      </c>
      <c r="G13" s="13" t="n">
        <v>1</v>
      </c>
      <c r="H13" s="13" t="n">
        <v>800</v>
      </c>
      <c r="I13" s="13" t="n">
        <v>8</v>
      </c>
      <c r="J13" s="12" t="s">
        <v>822</v>
      </c>
      <c r="K13" s="12"/>
      <c r="L13" s="12" t="s">
        <v>878</v>
      </c>
      <c r="M13" s="12" t="s">
        <v>879</v>
      </c>
      <c r="N13" s="12" t="s">
        <v>202</v>
      </c>
      <c r="O13" s="12" t="s">
        <v>880</v>
      </c>
      <c r="P13" s="12" t="s">
        <v>202</v>
      </c>
      <c r="Q13" s="12" t="s">
        <v>881</v>
      </c>
      <c r="R13" s="12" t="n">
        <f aca="false">COUNTIF(05_EFECTOS!$B$5:$B$306,A13)</f>
        <v>9</v>
      </c>
    </row>
    <row r="14" customFormat="false" ht="35.05" hidden="false" customHeight="false" outlineLevel="0" collapsed="false">
      <c r="A14" s="12" t="s">
        <v>882</v>
      </c>
      <c r="B14" s="12" t="s">
        <v>883</v>
      </c>
      <c r="C14" s="12" t="s">
        <v>884</v>
      </c>
      <c r="D14" s="12" t="s">
        <v>820</v>
      </c>
      <c r="E14" s="18" t="s">
        <v>821</v>
      </c>
      <c r="F14" s="12" t="s">
        <v>882</v>
      </c>
      <c r="G14" s="13" t="n">
        <v>1</v>
      </c>
      <c r="H14" s="13" t="n">
        <v>500</v>
      </c>
      <c r="I14" s="13" t="n">
        <v>4</v>
      </c>
      <c r="J14" s="12" t="s">
        <v>822</v>
      </c>
      <c r="K14" s="12"/>
      <c r="L14" s="12" t="s">
        <v>885</v>
      </c>
      <c r="M14" s="12" t="s">
        <v>886</v>
      </c>
      <c r="N14" s="12" t="s">
        <v>202</v>
      </c>
      <c r="O14" s="12" t="s">
        <v>887</v>
      </c>
      <c r="P14" s="12" t="s">
        <v>202</v>
      </c>
      <c r="Q14" s="12" t="s">
        <v>888</v>
      </c>
      <c r="R14" s="12" t="n">
        <f aca="false">COUNTIF(05_EFECTOS!$B$5:$B$306,A14)</f>
        <v>4</v>
      </c>
    </row>
    <row r="15" customFormat="false" ht="23.85" hidden="false" customHeight="false" outlineLevel="0" collapsed="false">
      <c r="A15" s="12" t="s">
        <v>889</v>
      </c>
      <c r="B15" s="12" t="s">
        <v>890</v>
      </c>
      <c r="C15" s="12" t="s">
        <v>891</v>
      </c>
      <c r="D15" s="12" t="s">
        <v>892</v>
      </c>
      <c r="E15" s="18" t="s">
        <v>821</v>
      </c>
      <c r="F15" s="12" t="s">
        <v>889</v>
      </c>
      <c r="G15" s="13" t="n">
        <v>1</v>
      </c>
      <c r="H15" s="13" t="n">
        <v>-80</v>
      </c>
      <c r="I15" s="13" t="n">
        <v>4</v>
      </c>
      <c r="J15" s="12" t="s">
        <v>822</v>
      </c>
      <c r="K15" s="12"/>
      <c r="L15" s="12" t="s">
        <v>893</v>
      </c>
      <c r="M15" s="12" t="s">
        <v>202</v>
      </c>
      <c r="N15" s="12" t="s">
        <v>894</v>
      </c>
      <c r="O15" s="12" t="s">
        <v>202</v>
      </c>
      <c r="P15" s="12" t="s">
        <v>202</v>
      </c>
      <c r="Q15" s="12" t="s">
        <v>895</v>
      </c>
      <c r="R15" s="12" t="n">
        <f aca="false">COUNTIF(05_EFECTOS!$B$5:$B$306,A15)</f>
        <v>4</v>
      </c>
    </row>
    <row r="16" customFormat="false" ht="23.85" hidden="false" customHeight="false" outlineLevel="0" collapsed="false">
      <c r="A16" s="12" t="s">
        <v>894</v>
      </c>
      <c r="B16" s="12" t="s">
        <v>896</v>
      </c>
      <c r="C16" s="12" t="s">
        <v>897</v>
      </c>
      <c r="D16" s="12" t="s">
        <v>892</v>
      </c>
      <c r="E16" s="20" t="s">
        <v>898</v>
      </c>
      <c r="F16" s="12" t="s">
        <v>899</v>
      </c>
      <c r="G16" s="13" t="n">
        <v>2</v>
      </c>
      <c r="H16" s="13" t="n">
        <v>0</v>
      </c>
      <c r="I16" s="13" t="n">
        <v>8</v>
      </c>
      <c r="J16" s="12" t="s">
        <v>808</v>
      </c>
      <c r="K16" s="12"/>
      <c r="L16" s="12" t="s">
        <v>900</v>
      </c>
      <c r="M16" s="12" t="s">
        <v>901</v>
      </c>
      <c r="N16" s="12" t="s">
        <v>202</v>
      </c>
      <c r="O16" s="12" t="s">
        <v>202</v>
      </c>
      <c r="P16" s="12" t="s">
        <v>202</v>
      </c>
      <c r="Q16" s="12" t="s">
        <v>902</v>
      </c>
      <c r="R16" s="12" t="n">
        <f aca="false">COUNTIF(05_EFECTOS!$B$5:$B$306,A16)</f>
        <v>4</v>
      </c>
    </row>
    <row r="17" customFormat="false" ht="23.85" hidden="false" customHeight="false" outlineLevel="0" collapsed="false">
      <c r="A17" s="12" t="s">
        <v>903</v>
      </c>
      <c r="B17" s="12" t="s">
        <v>904</v>
      </c>
      <c r="C17" s="12" t="s">
        <v>905</v>
      </c>
      <c r="D17" s="12" t="s">
        <v>892</v>
      </c>
      <c r="E17" s="19" t="s">
        <v>829</v>
      </c>
      <c r="F17" s="12" t="s">
        <v>899</v>
      </c>
      <c r="G17" s="13" t="n">
        <v>2</v>
      </c>
      <c r="H17" s="13" t="n">
        <v>0</v>
      </c>
      <c r="I17" s="13" t="n">
        <v>8</v>
      </c>
      <c r="J17" s="12" t="s">
        <v>808</v>
      </c>
      <c r="K17" s="12"/>
      <c r="L17" s="12" t="s">
        <v>906</v>
      </c>
      <c r="M17" s="12" t="s">
        <v>872</v>
      </c>
      <c r="N17" s="12" t="s">
        <v>202</v>
      </c>
      <c r="O17" s="12" t="s">
        <v>202</v>
      </c>
      <c r="P17" s="12" t="s">
        <v>202</v>
      </c>
      <c r="Q17" s="12" t="s">
        <v>907</v>
      </c>
      <c r="R17" s="12" t="n">
        <f aca="false">COUNTIF(05_EFECTOS!$B$5:$B$306,A17)</f>
        <v>4</v>
      </c>
    </row>
    <row r="18" customFormat="false" ht="23.85" hidden="false" customHeight="false" outlineLevel="0" collapsed="false">
      <c r="A18" s="12" t="s">
        <v>908</v>
      </c>
      <c r="B18" s="12" t="s">
        <v>909</v>
      </c>
      <c r="C18" s="12" t="s">
        <v>910</v>
      </c>
      <c r="D18" s="12" t="s">
        <v>892</v>
      </c>
      <c r="E18" s="19" t="s">
        <v>829</v>
      </c>
      <c r="F18" s="12" t="s">
        <v>202</v>
      </c>
      <c r="G18" s="13" t="n">
        <v>1</v>
      </c>
      <c r="H18" s="13" t="n">
        <v>150</v>
      </c>
      <c r="I18" s="13" t="n">
        <v>4</v>
      </c>
      <c r="J18" s="12" t="s">
        <v>911</v>
      </c>
      <c r="K18" s="12"/>
      <c r="L18" s="12" t="s">
        <v>912</v>
      </c>
      <c r="M18" s="12" t="s">
        <v>202</v>
      </c>
      <c r="N18" s="12" t="s">
        <v>202</v>
      </c>
      <c r="O18" s="12" t="s">
        <v>913</v>
      </c>
      <c r="P18" s="12" t="s">
        <v>202</v>
      </c>
      <c r="Q18" s="12" t="s">
        <v>914</v>
      </c>
      <c r="R18" s="12" t="n">
        <f aca="false">COUNTIF(05_EFECTOS!$B$5:$B$306,A18)</f>
        <v>5</v>
      </c>
    </row>
    <row r="19" customFormat="false" ht="23.85" hidden="false" customHeight="false" outlineLevel="0" collapsed="false">
      <c r="A19" s="12" t="s">
        <v>915</v>
      </c>
      <c r="B19" s="12" t="s">
        <v>916</v>
      </c>
      <c r="C19" s="12" t="s">
        <v>917</v>
      </c>
      <c r="D19" s="12" t="s">
        <v>892</v>
      </c>
      <c r="E19" s="19" t="s">
        <v>829</v>
      </c>
      <c r="F19" s="12" t="s">
        <v>202</v>
      </c>
      <c r="G19" s="13" t="n">
        <v>1</v>
      </c>
      <c r="H19" s="13" t="n">
        <v>0</v>
      </c>
      <c r="I19" s="13" t="n">
        <v>4</v>
      </c>
      <c r="J19" s="12" t="s">
        <v>911</v>
      </c>
      <c r="K19" s="12"/>
      <c r="L19" s="12" t="s">
        <v>918</v>
      </c>
      <c r="M19" s="12" t="s">
        <v>202</v>
      </c>
      <c r="N19" s="12" t="s">
        <v>202</v>
      </c>
      <c r="O19" s="12" t="s">
        <v>202</v>
      </c>
      <c r="P19" s="12" t="s">
        <v>202</v>
      </c>
      <c r="Q19" s="12" t="s">
        <v>202</v>
      </c>
      <c r="R19" s="12" t="n">
        <f aca="false">COUNTIF(05_EFECTOS!$B$5:$B$306,A19)</f>
        <v>5</v>
      </c>
    </row>
    <row r="20" customFormat="false" ht="35.05" hidden="false" customHeight="false" outlineLevel="0" collapsed="false">
      <c r="A20" s="12" t="s">
        <v>919</v>
      </c>
      <c r="B20" s="12" t="s">
        <v>920</v>
      </c>
      <c r="C20" s="12" t="s">
        <v>921</v>
      </c>
      <c r="D20" s="12" t="s">
        <v>922</v>
      </c>
      <c r="E20" s="18" t="s">
        <v>821</v>
      </c>
      <c r="F20" s="12" t="s">
        <v>923</v>
      </c>
      <c r="G20" s="13" t="n">
        <v>1</v>
      </c>
      <c r="H20" s="13" t="n">
        <v>-300</v>
      </c>
      <c r="I20" s="13" t="n">
        <v>3</v>
      </c>
      <c r="J20" s="12" t="s">
        <v>822</v>
      </c>
      <c r="K20" s="12"/>
      <c r="L20" s="12" t="s">
        <v>924</v>
      </c>
      <c r="M20" s="12" t="s">
        <v>202</v>
      </c>
      <c r="N20" s="12" t="s">
        <v>202</v>
      </c>
      <c r="O20" s="12" t="s">
        <v>202</v>
      </c>
      <c r="P20" s="12" t="s">
        <v>202</v>
      </c>
      <c r="Q20" s="12" t="s">
        <v>925</v>
      </c>
      <c r="R20" s="12" t="n">
        <f aca="false">COUNTIF(05_EFECTOS!$B$5:$B$306,A20)</f>
        <v>5</v>
      </c>
    </row>
    <row r="21" customFormat="false" ht="23.85" hidden="false" customHeight="false" outlineLevel="0" collapsed="false">
      <c r="A21" s="12" t="s">
        <v>926</v>
      </c>
      <c r="B21" s="12" t="s">
        <v>927</v>
      </c>
      <c r="C21" s="12" t="s">
        <v>928</v>
      </c>
      <c r="D21" s="12" t="s">
        <v>922</v>
      </c>
      <c r="E21" s="19" t="s">
        <v>829</v>
      </c>
      <c r="F21" s="12" t="s">
        <v>929</v>
      </c>
      <c r="G21" s="13" t="n">
        <v>1</v>
      </c>
      <c r="H21" s="13" t="n">
        <v>-250</v>
      </c>
      <c r="I21" s="13" t="n">
        <v>3</v>
      </c>
      <c r="J21" s="12" t="s">
        <v>822</v>
      </c>
      <c r="K21" s="12"/>
      <c r="L21" s="12" t="s">
        <v>930</v>
      </c>
      <c r="M21" s="12" t="s">
        <v>202</v>
      </c>
      <c r="N21" s="12" t="s">
        <v>202</v>
      </c>
      <c r="O21" s="12" t="s">
        <v>202</v>
      </c>
      <c r="P21" s="12" t="s">
        <v>202</v>
      </c>
      <c r="Q21" s="12" t="s">
        <v>931</v>
      </c>
      <c r="R21" s="12" t="n">
        <f aca="false">COUNTIF(05_EFECTOS!$B$5:$B$306,A21)</f>
        <v>5</v>
      </c>
    </row>
    <row r="22" customFormat="false" ht="23.85" hidden="false" customHeight="false" outlineLevel="0" collapsed="false">
      <c r="A22" s="12" t="s">
        <v>932</v>
      </c>
      <c r="B22" s="12" t="s">
        <v>933</v>
      </c>
      <c r="C22" s="12" t="s">
        <v>934</v>
      </c>
      <c r="D22" s="12" t="s">
        <v>922</v>
      </c>
      <c r="E22" s="18" t="s">
        <v>821</v>
      </c>
      <c r="F22" s="12" t="s">
        <v>932</v>
      </c>
      <c r="G22" s="13" t="n">
        <v>1</v>
      </c>
      <c r="H22" s="13" t="n">
        <v>-200</v>
      </c>
      <c r="I22" s="13" t="n">
        <v>3</v>
      </c>
      <c r="J22" s="12" t="s">
        <v>822</v>
      </c>
      <c r="K22" s="12"/>
      <c r="L22" s="12" t="s">
        <v>935</v>
      </c>
      <c r="M22" s="12" t="s">
        <v>202</v>
      </c>
      <c r="N22" s="12" t="s">
        <v>202</v>
      </c>
      <c r="O22" s="12" t="s">
        <v>202</v>
      </c>
      <c r="P22" s="12" t="s">
        <v>202</v>
      </c>
      <c r="Q22" s="12" t="s">
        <v>202</v>
      </c>
      <c r="R22" s="12" t="n">
        <f aca="false">COUNTIF(05_EFECTOS!$B$5:$B$306,A22)</f>
        <v>3</v>
      </c>
    </row>
    <row r="23" customFormat="false" ht="23.85" hidden="false" customHeight="false" outlineLevel="0" collapsed="false">
      <c r="A23" s="12" t="s">
        <v>936</v>
      </c>
      <c r="B23" s="12" t="s">
        <v>937</v>
      </c>
      <c r="C23" s="12" t="s">
        <v>938</v>
      </c>
      <c r="D23" s="12" t="s">
        <v>922</v>
      </c>
      <c r="E23" s="18" t="s">
        <v>821</v>
      </c>
      <c r="F23" s="12" t="s">
        <v>939</v>
      </c>
      <c r="G23" s="13" t="n">
        <v>2</v>
      </c>
      <c r="H23" s="13" t="n">
        <v>-100</v>
      </c>
      <c r="I23" s="13" t="n">
        <v>12</v>
      </c>
      <c r="J23" s="12" t="s">
        <v>808</v>
      </c>
      <c r="K23" s="12"/>
      <c r="L23" s="12" t="s">
        <v>940</v>
      </c>
      <c r="M23" s="12" t="s">
        <v>941</v>
      </c>
      <c r="N23" s="12" t="s">
        <v>942</v>
      </c>
      <c r="O23" s="12" t="s">
        <v>202</v>
      </c>
      <c r="P23" s="12" t="s">
        <v>202</v>
      </c>
      <c r="Q23" s="12" t="s">
        <v>943</v>
      </c>
      <c r="R23" s="12" t="n">
        <f aca="false">COUNTIF(05_EFECTOS!$B$5:$B$306,A23)</f>
        <v>5</v>
      </c>
    </row>
    <row r="24" customFormat="false" ht="46.25" hidden="false" customHeight="false" outlineLevel="0" collapsed="false">
      <c r="A24" s="12" t="s">
        <v>944</v>
      </c>
      <c r="B24" s="12" t="s">
        <v>945</v>
      </c>
      <c r="C24" s="12" t="s">
        <v>946</v>
      </c>
      <c r="D24" s="12" t="s">
        <v>922</v>
      </c>
      <c r="E24" s="19" t="s">
        <v>829</v>
      </c>
      <c r="F24" s="12" t="s">
        <v>202</v>
      </c>
      <c r="G24" s="13" t="n">
        <v>2</v>
      </c>
      <c r="H24" s="13" t="n">
        <v>-200</v>
      </c>
      <c r="I24" s="13" t="n">
        <v>8</v>
      </c>
      <c r="J24" s="12" t="s">
        <v>822</v>
      </c>
      <c r="K24" s="12" t="s">
        <v>947</v>
      </c>
      <c r="L24" s="12" t="s">
        <v>948</v>
      </c>
      <c r="M24" s="12" t="s">
        <v>949</v>
      </c>
      <c r="N24" s="12" t="s">
        <v>202</v>
      </c>
      <c r="O24" s="12" t="s">
        <v>950</v>
      </c>
      <c r="P24" s="12" t="s">
        <v>202</v>
      </c>
      <c r="Q24" s="12" t="s">
        <v>951</v>
      </c>
      <c r="R24" s="12" t="n">
        <f aca="false">COUNTIF(05_EFECTOS!$B$5:$B$306,A24)</f>
        <v>9</v>
      </c>
    </row>
    <row r="25" customFormat="false" ht="35.05" hidden="false" customHeight="false" outlineLevel="0" collapsed="false">
      <c r="A25" s="12" t="s">
        <v>952</v>
      </c>
      <c r="B25" s="12" t="s">
        <v>953</v>
      </c>
      <c r="C25" s="12" t="s">
        <v>954</v>
      </c>
      <c r="D25" s="12" t="s">
        <v>922</v>
      </c>
      <c r="E25" s="18" t="s">
        <v>821</v>
      </c>
      <c r="F25" s="12" t="s">
        <v>952</v>
      </c>
      <c r="G25" s="13" t="n">
        <v>2</v>
      </c>
      <c r="H25" s="13" t="n">
        <v>-100</v>
      </c>
      <c r="I25" s="13" t="n">
        <v>12</v>
      </c>
      <c r="J25" s="12" t="s">
        <v>808</v>
      </c>
      <c r="K25" s="12"/>
      <c r="L25" s="12" t="s">
        <v>955</v>
      </c>
      <c r="M25" s="12" t="s">
        <v>956</v>
      </c>
      <c r="N25" s="12" t="s">
        <v>202</v>
      </c>
      <c r="O25" s="12" t="s">
        <v>202</v>
      </c>
      <c r="P25" s="12" t="s">
        <v>202</v>
      </c>
      <c r="Q25" s="12" t="s">
        <v>957</v>
      </c>
      <c r="R25" s="12" t="n">
        <f aca="false">COUNTIF(05_EFECTOS!$B$5:$B$306,A25)</f>
        <v>5</v>
      </c>
    </row>
    <row r="26" customFormat="false" ht="35.05" hidden="false" customHeight="false" outlineLevel="0" collapsed="false">
      <c r="A26" s="12" t="s">
        <v>958</v>
      </c>
      <c r="B26" s="12" t="s">
        <v>959</v>
      </c>
      <c r="C26" s="12" t="s">
        <v>960</v>
      </c>
      <c r="D26" s="12" t="s">
        <v>922</v>
      </c>
      <c r="E26" s="18" t="s">
        <v>821</v>
      </c>
      <c r="F26" s="12" t="s">
        <v>958</v>
      </c>
      <c r="G26" s="13" t="n">
        <v>1</v>
      </c>
      <c r="H26" s="13" t="n">
        <v>-200</v>
      </c>
      <c r="I26" s="13" t="n">
        <v>3</v>
      </c>
      <c r="J26" s="12" t="s">
        <v>822</v>
      </c>
      <c r="K26" s="12"/>
      <c r="L26" s="12" t="s">
        <v>961</v>
      </c>
      <c r="M26" s="12" t="s">
        <v>202</v>
      </c>
      <c r="N26" s="12" t="s">
        <v>202</v>
      </c>
      <c r="O26" s="12" t="s">
        <v>202</v>
      </c>
      <c r="P26" s="12" t="s">
        <v>202</v>
      </c>
      <c r="Q26" s="12" t="s">
        <v>962</v>
      </c>
      <c r="R26" s="12" t="n">
        <f aca="false">COUNTIF(05_EFECTOS!$B$5:$B$306,A26)</f>
        <v>7</v>
      </c>
    </row>
    <row r="27" customFormat="false" ht="23.85" hidden="false" customHeight="false" outlineLevel="0" collapsed="false">
      <c r="A27" s="12" t="s">
        <v>963</v>
      </c>
      <c r="B27" s="12" t="s">
        <v>964</v>
      </c>
      <c r="C27" s="12" t="s">
        <v>965</v>
      </c>
      <c r="D27" s="12" t="s">
        <v>922</v>
      </c>
      <c r="E27" s="19" t="s">
        <v>829</v>
      </c>
      <c r="F27" s="12" t="s">
        <v>202</v>
      </c>
      <c r="G27" s="13" t="n">
        <v>1</v>
      </c>
      <c r="H27" s="13" t="n">
        <v>0</v>
      </c>
      <c r="I27" s="13" t="n">
        <v>3</v>
      </c>
      <c r="J27" s="12" t="s">
        <v>822</v>
      </c>
      <c r="K27" s="12"/>
      <c r="L27" s="12" t="s">
        <v>966</v>
      </c>
      <c r="M27" s="12" t="s">
        <v>202</v>
      </c>
      <c r="N27" s="12" t="s">
        <v>202</v>
      </c>
      <c r="O27" s="12" t="s">
        <v>202</v>
      </c>
      <c r="P27" s="12" t="s">
        <v>202</v>
      </c>
      <c r="Q27" s="12" t="s">
        <v>967</v>
      </c>
      <c r="R27" s="12" t="n">
        <f aca="false">COUNTIF(05_EFECTOS!$B$5:$B$306,A27)</f>
        <v>6</v>
      </c>
    </row>
    <row r="28" customFormat="false" ht="35.05" hidden="false" customHeight="false" outlineLevel="0" collapsed="false">
      <c r="A28" s="12" t="s">
        <v>968</v>
      </c>
      <c r="B28" s="12" t="s">
        <v>969</v>
      </c>
      <c r="C28" s="12" t="s">
        <v>970</v>
      </c>
      <c r="D28" s="12" t="s">
        <v>922</v>
      </c>
      <c r="E28" s="19" t="s">
        <v>829</v>
      </c>
      <c r="F28" s="12" t="s">
        <v>202</v>
      </c>
      <c r="G28" s="13" t="n">
        <v>2</v>
      </c>
      <c r="H28" s="13" t="n">
        <v>0</v>
      </c>
      <c r="I28" s="13" t="n">
        <v>16</v>
      </c>
      <c r="J28" s="12" t="s">
        <v>808</v>
      </c>
      <c r="K28" s="12"/>
      <c r="L28" s="12" t="s">
        <v>971</v>
      </c>
      <c r="M28" s="12" t="s">
        <v>972</v>
      </c>
      <c r="N28" s="12" t="s">
        <v>202</v>
      </c>
      <c r="O28" s="12" t="s">
        <v>973</v>
      </c>
      <c r="P28" s="12" t="s">
        <v>974</v>
      </c>
      <c r="Q28" s="12" t="s">
        <v>975</v>
      </c>
      <c r="R28" s="12" t="n">
        <f aca="false">COUNTIF(05_EFECTOS!$B$5:$B$306,A28)</f>
        <v>7</v>
      </c>
    </row>
    <row r="29" customFormat="false" ht="46.25" hidden="false" customHeight="false" outlineLevel="0" collapsed="false">
      <c r="A29" s="12" t="s">
        <v>976</v>
      </c>
      <c r="B29" s="12" t="s">
        <v>977</v>
      </c>
      <c r="C29" s="12" t="s">
        <v>978</v>
      </c>
      <c r="D29" s="12" t="s">
        <v>922</v>
      </c>
      <c r="E29" s="19" t="s">
        <v>829</v>
      </c>
      <c r="F29" s="12" t="s">
        <v>979</v>
      </c>
      <c r="G29" s="13" t="n">
        <v>2</v>
      </c>
      <c r="H29" s="13" t="n">
        <v>-100</v>
      </c>
      <c r="I29" s="13" t="n">
        <v>6</v>
      </c>
      <c r="J29" s="12" t="s">
        <v>822</v>
      </c>
      <c r="K29" s="12"/>
      <c r="L29" s="12" t="s">
        <v>980</v>
      </c>
      <c r="M29" s="12" t="s">
        <v>981</v>
      </c>
      <c r="N29" s="12" t="s">
        <v>202</v>
      </c>
      <c r="O29" s="12" t="s">
        <v>982</v>
      </c>
      <c r="P29" s="12" t="s">
        <v>983</v>
      </c>
      <c r="Q29" s="12" t="s">
        <v>984</v>
      </c>
      <c r="R29" s="12" t="n">
        <f aca="false">COUNTIF(05_EFECTOS!$B$5:$B$306,A29)</f>
        <v>7</v>
      </c>
    </row>
    <row r="30" customFormat="false" ht="23.85" hidden="false" customHeight="false" outlineLevel="0" collapsed="false">
      <c r="A30" s="12" t="s">
        <v>985</v>
      </c>
      <c r="B30" s="12" t="s">
        <v>986</v>
      </c>
      <c r="C30" s="12" t="s">
        <v>987</v>
      </c>
      <c r="D30" s="12" t="s">
        <v>988</v>
      </c>
      <c r="E30" s="18" t="s">
        <v>821</v>
      </c>
      <c r="F30" s="12" t="s">
        <v>985</v>
      </c>
      <c r="G30" s="13" t="n">
        <v>1</v>
      </c>
      <c r="H30" s="13" t="n">
        <v>-150</v>
      </c>
      <c r="I30" s="13" t="n">
        <v>3</v>
      </c>
      <c r="J30" s="12" t="s">
        <v>822</v>
      </c>
      <c r="K30" s="12"/>
      <c r="L30" s="12" t="s">
        <v>989</v>
      </c>
      <c r="M30" s="12" t="s">
        <v>202</v>
      </c>
      <c r="N30" s="12" t="s">
        <v>202</v>
      </c>
      <c r="O30" s="12" t="s">
        <v>202</v>
      </c>
      <c r="P30" s="12" t="s">
        <v>202</v>
      </c>
      <c r="Q30" s="12" t="s">
        <v>990</v>
      </c>
      <c r="R30" s="12" t="n">
        <f aca="false">COUNTIF(05_EFECTOS!$B$5:$B$306,A30)</f>
        <v>6</v>
      </c>
    </row>
    <row r="31" customFormat="false" ht="23.85" hidden="false" customHeight="false" outlineLevel="0" collapsed="false">
      <c r="A31" s="12" t="s">
        <v>991</v>
      </c>
      <c r="B31" s="12" t="s">
        <v>992</v>
      </c>
      <c r="C31" s="12" t="s">
        <v>993</v>
      </c>
      <c r="D31" s="12" t="s">
        <v>988</v>
      </c>
      <c r="E31" s="18" t="s">
        <v>821</v>
      </c>
      <c r="F31" s="12" t="s">
        <v>994</v>
      </c>
      <c r="G31" s="13" t="n">
        <v>1</v>
      </c>
      <c r="H31" s="13" t="n">
        <v>-200</v>
      </c>
      <c r="I31" s="13" t="n">
        <v>2</v>
      </c>
      <c r="J31" s="12" t="s">
        <v>822</v>
      </c>
      <c r="K31" s="12" t="s">
        <v>995</v>
      </c>
      <c r="L31" s="12" t="s">
        <v>996</v>
      </c>
      <c r="M31" s="12" t="s">
        <v>202</v>
      </c>
      <c r="N31" s="12" t="s">
        <v>202</v>
      </c>
      <c r="O31" s="12" t="s">
        <v>202</v>
      </c>
      <c r="P31" s="12" t="s">
        <v>202</v>
      </c>
      <c r="Q31" s="12" t="s">
        <v>997</v>
      </c>
      <c r="R31" s="12" t="n">
        <f aca="false">COUNTIF(05_EFECTOS!$B$5:$B$306,A31)</f>
        <v>3</v>
      </c>
    </row>
    <row r="32" customFormat="false" ht="23.85" hidden="false" customHeight="false" outlineLevel="0" collapsed="false">
      <c r="A32" s="12" t="s">
        <v>998</v>
      </c>
      <c r="B32" s="12" t="s">
        <v>999</v>
      </c>
      <c r="C32" s="12" t="s">
        <v>1000</v>
      </c>
      <c r="D32" s="12" t="s">
        <v>988</v>
      </c>
      <c r="E32" s="18" t="s">
        <v>821</v>
      </c>
      <c r="F32" s="12" t="s">
        <v>1001</v>
      </c>
      <c r="G32" s="13" t="n">
        <v>1</v>
      </c>
      <c r="H32" s="13" t="n">
        <v>-250</v>
      </c>
      <c r="I32" s="13" t="n">
        <v>3</v>
      </c>
      <c r="J32" s="12" t="s">
        <v>822</v>
      </c>
      <c r="K32" s="12"/>
      <c r="L32" s="12" t="s">
        <v>1002</v>
      </c>
      <c r="M32" s="12" t="s">
        <v>202</v>
      </c>
      <c r="N32" s="12" t="s">
        <v>202</v>
      </c>
      <c r="O32" s="12" t="s">
        <v>202</v>
      </c>
      <c r="P32" s="12" t="s">
        <v>202</v>
      </c>
      <c r="Q32" s="12" t="s">
        <v>202</v>
      </c>
      <c r="R32" s="12" t="n">
        <f aca="false">COUNTIF(05_EFECTOS!$B$5:$B$306,A32)</f>
        <v>3</v>
      </c>
    </row>
    <row r="33" customFormat="false" ht="23.85" hidden="false" customHeight="false" outlineLevel="0" collapsed="false">
      <c r="A33" s="12" t="s">
        <v>1003</v>
      </c>
      <c r="B33" s="12" t="s">
        <v>1004</v>
      </c>
      <c r="C33" s="12" t="s">
        <v>1005</v>
      </c>
      <c r="D33" s="12" t="s">
        <v>988</v>
      </c>
      <c r="E33" s="18" t="s">
        <v>821</v>
      </c>
      <c r="F33" s="12" t="s">
        <v>1006</v>
      </c>
      <c r="G33" s="13" t="n">
        <v>1</v>
      </c>
      <c r="H33" s="13" t="n">
        <v>-400</v>
      </c>
      <c r="I33" s="13" t="n">
        <v>3</v>
      </c>
      <c r="J33" s="12" t="s">
        <v>822</v>
      </c>
      <c r="K33" s="12" t="s">
        <v>995</v>
      </c>
      <c r="L33" s="12" t="s">
        <v>1007</v>
      </c>
      <c r="M33" s="12" t="s">
        <v>1008</v>
      </c>
      <c r="N33" s="12" t="s">
        <v>202</v>
      </c>
      <c r="O33" s="12" t="s">
        <v>202</v>
      </c>
      <c r="P33" s="12" t="s">
        <v>202</v>
      </c>
      <c r="Q33" s="12" t="s">
        <v>202</v>
      </c>
      <c r="R33" s="12" t="n">
        <f aca="false">COUNTIF(05_EFECTOS!$B$5:$B$306,A33)</f>
        <v>5</v>
      </c>
    </row>
    <row r="34" customFormat="false" ht="23.85" hidden="false" customHeight="false" outlineLevel="0" collapsed="false">
      <c r="A34" s="12" t="s">
        <v>1009</v>
      </c>
      <c r="B34" s="12" t="s">
        <v>1010</v>
      </c>
      <c r="C34" s="12" t="s">
        <v>1011</v>
      </c>
      <c r="D34" s="12" t="s">
        <v>988</v>
      </c>
      <c r="E34" s="18" t="s">
        <v>821</v>
      </c>
      <c r="F34" s="12" t="s">
        <v>1009</v>
      </c>
      <c r="G34" s="13" t="n">
        <v>1</v>
      </c>
      <c r="H34" s="13" t="n">
        <v>-250</v>
      </c>
      <c r="I34" s="13" t="n">
        <v>3</v>
      </c>
      <c r="J34" s="12" t="s">
        <v>822</v>
      </c>
      <c r="K34" s="12" t="s">
        <v>995</v>
      </c>
      <c r="L34" s="12" t="s">
        <v>1012</v>
      </c>
      <c r="M34" s="12" t="s">
        <v>202</v>
      </c>
      <c r="N34" s="12" t="s">
        <v>202</v>
      </c>
      <c r="O34" s="12" t="s">
        <v>202</v>
      </c>
      <c r="P34" s="12" t="s">
        <v>202</v>
      </c>
      <c r="Q34" s="12" t="s">
        <v>202</v>
      </c>
      <c r="R34" s="12" t="n">
        <f aca="false">COUNTIF(05_EFECTOS!$B$5:$B$306,A34)</f>
        <v>3</v>
      </c>
    </row>
    <row r="35" customFormat="false" ht="23.85" hidden="false" customHeight="false" outlineLevel="0" collapsed="false">
      <c r="A35" s="12" t="s">
        <v>1013</v>
      </c>
      <c r="B35" s="12" t="s">
        <v>1014</v>
      </c>
      <c r="C35" s="12" t="s">
        <v>1015</v>
      </c>
      <c r="D35" s="12" t="s">
        <v>988</v>
      </c>
      <c r="E35" s="18" t="s">
        <v>821</v>
      </c>
      <c r="F35" s="12" t="s">
        <v>1013</v>
      </c>
      <c r="G35" s="13" t="n">
        <v>2</v>
      </c>
      <c r="H35" s="13" t="n">
        <v>-600</v>
      </c>
      <c r="I35" s="13" t="n">
        <v>6</v>
      </c>
      <c r="J35" s="12" t="s">
        <v>822</v>
      </c>
      <c r="K35" s="12" t="s">
        <v>995</v>
      </c>
      <c r="L35" s="12" t="s">
        <v>1016</v>
      </c>
      <c r="M35" s="12" t="s">
        <v>1017</v>
      </c>
      <c r="N35" s="12" t="s">
        <v>202</v>
      </c>
      <c r="O35" s="12" t="s">
        <v>202</v>
      </c>
      <c r="P35" s="12" t="s">
        <v>202</v>
      </c>
      <c r="Q35" s="12" t="s">
        <v>202</v>
      </c>
      <c r="R35" s="12" t="n">
        <f aca="false">COUNTIF(05_EFECTOS!$B$5:$B$306,A35)</f>
        <v>5</v>
      </c>
    </row>
    <row r="36" customFormat="false" ht="23.85" hidden="false" customHeight="false" outlineLevel="0" collapsed="false">
      <c r="A36" s="12" t="s">
        <v>1018</v>
      </c>
      <c r="B36" s="12" t="s">
        <v>1019</v>
      </c>
      <c r="C36" s="12" t="s">
        <v>1020</v>
      </c>
      <c r="D36" s="12" t="s">
        <v>988</v>
      </c>
      <c r="E36" s="18" t="s">
        <v>821</v>
      </c>
      <c r="F36" s="12" t="s">
        <v>1018</v>
      </c>
      <c r="G36" s="13" t="n">
        <v>1</v>
      </c>
      <c r="H36" s="13" t="n">
        <v>-200</v>
      </c>
      <c r="I36" s="13" t="n">
        <v>3</v>
      </c>
      <c r="J36" s="12" t="s">
        <v>822</v>
      </c>
      <c r="K36" s="12"/>
      <c r="L36" s="12" t="s">
        <v>1021</v>
      </c>
      <c r="M36" s="12" t="s">
        <v>202</v>
      </c>
      <c r="N36" s="12" t="s">
        <v>202</v>
      </c>
      <c r="O36" s="12" t="s">
        <v>202</v>
      </c>
      <c r="P36" s="12" t="s">
        <v>202</v>
      </c>
      <c r="Q36" s="12" t="s">
        <v>202</v>
      </c>
      <c r="R36" s="12" t="n">
        <f aca="false">COUNTIF(05_EFECTOS!$B$5:$B$306,A36)</f>
        <v>4</v>
      </c>
    </row>
    <row r="37" customFormat="false" ht="23.85" hidden="false" customHeight="false" outlineLevel="0" collapsed="false">
      <c r="A37" s="12" t="s">
        <v>1022</v>
      </c>
      <c r="B37" s="12" t="s">
        <v>1023</v>
      </c>
      <c r="C37" s="12" t="s">
        <v>1024</v>
      </c>
      <c r="D37" s="12" t="s">
        <v>988</v>
      </c>
      <c r="E37" s="18" t="s">
        <v>821</v>
      </c>
      <c r="F37" s="12" t="s">
        <v>1025</v>
      </c>
      <c r="G37" s="13" t="n">
        <v>1</v>
      </c>
      <c r="H37" s="13" t="n">
        <v>-150</v>
      </c>
      <c r="I37" s="13" t="n">
        <v>4</v>
      </c>
      <c r="J37" s="12" t="s">
        <v>822</v>
      </c>
      <c r="K37" s="12"/>
      <c r="L37" s="12" t="s">
        <v>1026</v>
      </c>
      <c r="M37" s="12" t="s">
        <v>202</v>
      </c>
      <c r="N37" s="12" t="s">
        <v>202</v>
      </c>
      <c r="O37" s="12" t="s">
        <v>202</v>
      </c>
      <c r="P37" s="12" t="s">
        <v>202</v>
      </c>
      <c r="Q37" s="12" t="s">
        <v>1027</v>
      </c>
      <c r="R37" s="12" t="n">
        <f aca="false">COUNTIF(05_EFECTOS!$B$5:$B$306,A37)</f>
        <v>3</v>
      </c>
    </row>
    <row r="38" customFormat="false" ht="23.85" hidden="false" customHeight="false" outlineLevel="0" collapsed="false">
      <c r="A38" s="12" t="s">
        <v>1028</v>
      </c>
      <c r="B38" s="12" t="s">
        <v>1029</v>
      </c>
      <c r="C38" s="12" t="s">
        <v>1030</v>
      </c>
      <c r="D38" s="12" t="s">
        <v>988</v>
      </c>
      <c r="E38" s="19" t="s">
        <v>829</v>
      </c>
      <c r="F38" s="12" t="s">
        <v>202</v>
      </c>
      <c r="G38" s="13" t="n">
        <v>1</v>
      </c>
      <c r="H38" s="13" t="n">
        <v>-300</v>
      </c>
      <c r="I38" s="13" t="n">
        <v>3</v>
      </c>
      <c r="J38" s="12" t="s">
        <v>822</v>
      </c>
      <c r="K38" s="12"/>
      <c r="L38" s="12" t="s">
        <v>1031</v>
      </c>
      <c r="M38" s="12" t="s">
        <v>202</v>
      </c>
      <c r="N38" s="12" t="s">
        <v>202</v>
      </c>
      <c r="O38" s="12" t="s">
        <v>1032</v>
      </c>
      <c r="P38" s="12" t="s">
        <v>202</v>
      </c>
      <c r="Q38" s="12" t="s">
        <v>1033</v>
      </c>
      <c r="R38" s="12" t="n">
        <f aca="false">COUNTIF(05_EFECTOS!$B$5:$B$306,A38)</f>
        <v>6</v>
      </c>
    </row>
    <row r="39" customFormat="false" ht="23.85" hidden="false" customHeight="false" outlineLevel="0" collapsed="false">
      <c r="A39" s="12" t="s">
        <v>1034</v>
      </c>
      <c r="B39" s="12" t="s">
        <v>1035</v>
      </c>
      <c r="C39" s="12" t="s">
        <v>1036</v>
      </c>
      <c r="D39" s="12" t="s">
        <v>988</v>
      </c>
      <c r="E39" s="19" t="s">
        <v>829</v>
      </c>
      <c r="F39" s="12" t="s">
        <v>202</v>
      </c>
      <c r="G39" s="13" t="n">
        <v>1</v>
      </c>
      <c r="H39" s="13" t="n">
        <v>200</v>
      </c>
      <c r="I39" s="13" t="n">
        <v>4</v>
      </c>
      <c r="J39" s="12" t="s">
        <v>822</v>
      </c>
      <c r="K39" s="12"/>
      <c r="L39" s="12" t="s">
        <v>1037</v>
      </c>
      <c r="M39" s="12" t="s">
        <v>202</v>
      </c>
      <c r="N39" s="12" t="s">
        <v>202</v>
      </c>
      <c r="O39" s="12" t="s">
        <v>1038</v>
      </c>
      <c r="P39" s="12" t="s">
        <v>202</v>
      </c>
      <c r="Q39" s="12" t="s">
        <v>202</v>
      </c>
      <c r="R39" s="12" t="n">
        <f aca="false">COUNTIF(05_EFECTOS!$B$5:$B$306,A39)</f>
        <v>7</v>
      </c>
    </row>
    <row r="40" customFormat="false" ht="35.05" hidden="false" customHeight="false" outlineLevel="0" collapsed="false">
      <c r="A40" s="12" t="s">
        <v>1039</v>
      </c>
      <c r="B40" s="12" t="s">
        <v>1040</v>
      </c>
      <c r="C40" s="12" t="s">
        <v>1041</v>
      </c>
      <c r="D40" s="12" t="s">
        <v>1042</v>
      </c>
      <c r="E40" s="18" t="s">
        <v>821</v>
      </c>
      <c r="F40" s="12" t="s">
        <v>1043</v>
      </c>
      <c r="G40" s="13" t="n">
        <v>1</v>
      </c>
      <c r="H40" s="13" t="n">
        <v>-300</v>
      </c>
      <c r="I40" s="13" t="n">
        <v>3</v>
      </c>
      <c r="J40" s="12" t="s">
        <v>822</v>
      </c>
      <c r="K40" s="12"/>
      <c r="L40" s="12" t="s">
        <v>1044</v>
      </c>
      <c r="M40" s="12" t="s">
        <v>202</v>
      </c>
      <c r="N40" s="12" t="s">
        <v>1045</v>
      </c>
      <c r="O40" s="12" t="s">
        <v>202</v>
      </c>
      <c r="P40" s="12" t="s">
        <v>202</v>
      </c>
      <c r="Q40" s="12" t="s">
        <v>202</v>
      </c>
      <c r="R40" s="12" t="n">
        <f aca="false">COUNTIF(05_EFECTOS!$B$5:$B$306,A40)</f>
        <v>4</v>
      </c>
    </row>
    <row r="41" customFormat="false" ht="23.85" hidden="false" customHeight="false" outlineLevel="0" collapsed="false">
      <c r="A41" s="12" t="s">
        <v>1046</v>
      </c>
      <c r="B41" s="12" t="s">
        <v>1047</v>
      </c>
      <c r="C41" s="12" t="s">
        <v>1048</v>
      </c>
      <c r="D41" s="12" t="s">
        <v>1042</v>
      </c>
      <c r="E41" s="18" t="s">
        <v>821</v>
      </c>
      <c r="F41" s="12" t="s">
        <v>1049</v>
      </c>
      <c r="G41" s="13" t="n">
        <v>2</v>
      </c>
      <c r="H41" s="13" t="n">
        <v>-100</v>
      </c>
      <c r="I41" s="13" t="n">
        <v>12</v>
      </c>
      <c r="J41" s="12" t="s">
        <v>808</v>
      </c>
      <c r="K41" s="12"/>
      <c r="L41" s="12" t="s">
        <v>1050</v>
      </c>
      <c r="M41" s="12" t="s">
        <v>1051</v>
      </c>
      <c r="N41" s="12" t="s">
        <v>202</v>
      </c>
      <c r="O41" s="12" t="s">
        <v>1052</v>
      </c>
      <c r="P41" s="12" t="s">
        <v>202</v>
      </c>
      <c r="Q41" s="12" t="s">
        <v>202</v>
      </c>
      <c r="R41" s="12" t="n">
        <f aca="false">COUNTIF(05_EFECTOS!$B$5:$B$306,A41)</f>
        <v>3</v>
      </c>
    </row>
    <row r="42" customFormat="false" ht="23.85" hidden="false" customHeight="false" outlineLevel="0" collapsed="false">
      <c r="A42" s="12" t="s">
        <v>1053</v>
      </c>
      <c r="B42" s="12" t="s">
        <v>1054</v>
      </c>
      <c r="C42" s="12" t="s">
        <v>1055</v>
      </c>
      <c r="D42" s="12" t="s">
        <v>1042</v>
      </c>
      <c r="E42" s="20" t="s">
        <v>898</v>
      </c>
      <c r="F42" s="12" t="s">
        <v>1056</v>
      </c>
      <c r="G42" s="13" t="n">
        <v>1</v>
      </c>
      <c r="H42" s="13" t="n">
        <v>-200</v>
      </c>
      <c r="I42" s="13" t="n">
        <v>3</v>
      </c>
      <c r="J42" s="12" t="s">
        <v>822</v>
      </c>
      <c r="K42" s="12"/>
      <c r="L42" s="12" t="s">
        <v>1057</v>
      </c>
      <c r="M42" s="12" t="s">
        <v>202</v>
      </c>
      <c r="N42" s="12" t="s">
        <v>1058</v>
      </c>
      <c r="O42" s="12" t="s">
        <v>202</v>
      </c>
      <c r="P42" s="12" t="s">
        <v>202</v>
      </c>
      <c r="Q42" s="12" t="s">
        <v>202</v>
      </c>
      <c r="R42" s="12" t="n">
        <f aca="false">COUNTIF(05_EFECTOS!$B$5:$B$306,A42)</f>
        <v>3</v>
      </c>
    </row>
    <row r="43" customFormat="false" ht="23.85" hidden="false" customHeight="false" outlineLevel="0" collapsed="false">
      <c r="A43" s="12" t="s">
        <v>1059</v>
      </c>
      <c r="B43" s="12" t="s">
        <v>1060</v>
      </c>
      <c r="C43" s="12" t="s">
        <v>1061</v>
      </c>
      <c r="D43" s="12" t="s">
        <v>1042</v>
      </c>
      <c r="E43" s="20" t="s">
        <v>898</v>
      </c>
      <c r="F43" s="12" t="s">
        <v>1056</v>
      </c>
      <c r="G43" s="13" t="n">
        <v>2</v>
      </c>
      <c r="H43" s="13" t="n">
        <v>0</v>
      </c>
      <c r="I43" s="13" t="n">
        <v>12</v>
      </c>
      <c r="J43" s="12" t="s">
        <v>808</v>
      </c>
      <c r="K43" s="12"/>
      <c r="L43" s="12" t="s">
        <v>1062</v>
      </c>
      <c r="M43" s="12" t="s">
        <v>1063</v>
      </c>
      <c r="N43" s="12" t="s">
        <v>202</v>
      </c>
      <c r="O43" s="12" t="s">
        <v>202</v>
      </c>
      <c r="P43" s="12" t="s">
        <v>202</v>
      </c>
      <c r="Q43" s="12" t="s">
        <v>202</v>
      </c>
      <c r="R43" s="12" t="n">
        <f aca="false">COUNTIF(05_EFECTOS!$B$5:$B$306,A43)</f>
        <v>5</v>
      </c>
    </row>
    <row r="44" customFormat="false" ht="68.65" hidden="false" customHeight="false" outlineLevel="0" collapsed="false">
      <c r="A44" s="12" t="s">
        <v>1064</v>
      </c>
      <c r="B44" s="12" t="s">
        <v>1065</v>
      </c>
      <c r="C44" s="12" t="s">
        <v>1066</v>
      </c>
      <c r="D44" s="12" t="s">
        <v>1042</v>
      </c>
      <c r="E44" s="21" t="s">
        <v>1067</v>
      </c>
      <c r="F44" s="12" t="s">
        <v>1068</v>
      </c>
      <c r="G44" s="13" t="n">
        <v>1</v>
      </c>
      <c r="H44" s="13" t="n">
        <v>-150</v>
      </c>
      <c r="I44" s="13" t="n">
        <v>3</v>
      </c>
      <c r="J44" s="12" t="s">
        <v>822</v>
      </c>
      <c r="K44" s="12"/>
      <c r="L44" s="12" t="s">
        <v>1069</v>
      </c>
      <c r="M44" s="12" t="s">
        <v>202</v>
      </c>
      <c r="N44" s="12" t="s">
        <v>202</v>
      </c>
      <c r="O44" s="12" t="s">
        <v>202</v>
      </c>
      <c r="P44" s="12" t="s">
        <v>202</v>
      </c>
      <c r="Q44" s="12" t="s">
        <v>1070</v>
      </c>
      <c r="R44" s="12" t="n">
        <f aca="false">COUNTIF(05_EFECTOS!$B$5:$B$306,A44)</f>
        <v>2</v>
      </c>
    </row>
    <row r="45" customFormat="false" ht="23.85" hidden="false" customHeight="false" outlineLevel="0" collapsed="false">
      <c r="A45" s="12" t="s">
        <v>1071</v>
      </c>
      <c r="B45" s="12" t="s">
        <v>1072</v>
      </c>
      <c r="C45" s="12" t="s">
        <v>1073</v>
      </c>
      <c r="D45" s="12" t="s">
        <v>1074</v>
      </c>
      <c r="E45" s="21" t="s">
        <v>1067</v>
      </c>
      <c r="F45" s="12" t="s">
        <v>1075</v>
      </c>
      <c r="G45" s="13" t="n">
        <v>1</v>
      </c>
      <c r="H45" s="13" t="n">
        <v>-100</v>
      </c>
      <c r="I45" s="13" t="n">
        <v>3</v>
      </c>
      <c r="J45" s="12" t="s">
        <v>822</v>
      </c>
      <c r="K45" s="12"/>
      <c r="L45" s="12" t="s">
        <v>1076</v>
      </c>
      <c r="M45" s="12" t="s">
        <v>202</v>
      </c>
      <c r="N45" s="12" t="s">
        <v>202</v>
      </c>
      <c r="O45" s="12" t="s">
        <v>202</v>
      </c>
      <c r="P45" s="12" t="s">
        <v>202</v>
      </c>
      <c r="Q45" s="12" t="s">
        <v>202</v>
      </c>
      <c r="R45" s="12" t="n">
        <f aca="false">COUNTIF(05_EFECTOS!$B$5:$B$306,A45)</f>
        <v>3</v>
      </c>
    </row>
    <row r="46" customFormat="false" ht="57.45" hidden="false" customHeight="false" outlineLevel="0" collapsed="false">
      <c r="A46" s="12" t="s">
        <v>1077</v>
      </c>
      <c r="B46" s="12" t="s">
        <v>1078</v>
      </c>
      <c r="C46" s="12" t="s">
        <v>1079</v>
      </c>
      <c r="D46" s="12" t="s">
        <v>306</v>
      </c>
      <c r="E46" s="22" t="s">
        <v>1080</v>
      </c>
      <c r="F46" s="12" t="s">
        <v>1077</v>
      </c>
      <c r="G46" s="13" t="n">
        <v>1</v>
      </c>
      <c r="H46" s="13" t="n">
        <v>-80</v>
      </c>
      <c r="I46" s="13" t="n">
        <v>2</v>
      </c>
      <c r="J46" s="12" t="s">
        <v>822</v>
      </c>
      <c r="K46" s="12"/>
      <c r="L46" s="12" t="s">
        <v>1081</v>
      </c>
      <c r="M46" s="12" t="s">
        <v>202</v>
      </c>
      <c r="N46" s="12" t="s">
        <v>1082</v>
      </c>
      <c r="O46" s="12" t="s">
        <v>202</v>
      </c>
      <c r="P46" s="12" t="s">
        <v>202</v>
      </c>
      <c r="Q46" s="12" t="s">
        <v>1083</v>
      </c>
      <c r="R46" s="12" t="n">
        <f aca="false">COUNTIF(05_EFECTOS!$B$5:$B$306,A46)</f>
        <v>2</v>
      </c>
    </row>
    <row r="47" customFormat="false" ht="23.85" hidden="false" customHeight="false" outlineLevel="0" collapsed="false">
      <c r="A47" s="12" t="s">
        <v>1084</v>
      </c>
      <c r="B47" s="12" t="s">
        <v>1085</v>
      </c>
      <c r="C47" s="12" t="s">
        <v>1086</v>
      </c>
      <c r="D47" s="12" t="s">
        <v>306</v>
      </c>
      <c r="E47" s="18" t="s">
        <v>821</v>
      </c>
      <c r="F47" s="12" t="s">
        <v>1087</v>
      </c>
      <c r="G47" s="13" t="n">
        <v>1</v>
      </c>
      <c r="H47" s="13" t="n">
        <v>-500</v>
      </c>
      <c r="I47" s="13" t="n">
        <v>3</v>
      </c>
      <c r="J47" s="12" t="s">
        <v>822</v>
      </c>
      <c r="K47" s="12" t="s">
        <v>1088</v>
      </c>
      <c r="L47" s="12" t="s">
        <v>1089</v>
      </c>
      <c r="M47" s="12" t="s">
        <v>1017</v>
      </c>
      <c r="N47" s="12" t="s">
        <v>202</v>
      </c>
      <c r="O47" s="12" t="s">
        <v>202</v>
      </c>
      <c r="P47" s="12" t="s">
        <v>202</v>
      </c>
      <c r="Q47" s="12" t="s">
        <v>1090</v>
      </c>
      <c r="R47" s="12" t="n">
        <f aca="false">COUNTIF(05_EFECTOS!$B$5:$B$306,A47)</f>
        <v>7</v>
      </c>
    </row>
    <row r="48" customFormat="false" ht="23.85" hidden="false" customHeight="false" outlineLevel="0" collapsed="false">
      <c r="A48" s="12" t="s">
        <v>1091</v>
      </c>
      <c r="B48" s="12" t="s">
        <v>1092</v>
      </c>
      <c r="C48" s="12" t="s">
        <v>1093</v>
      </c>
      <c r="D48" s="12" t="s">
        <v>306</v>
      </c>
      <c r="E48" s="18" t="s">
        <v>821</v>
      </c>
      <c r="F48" s="12" t="s">
        <v>1094</v>
      </c>
      <c r="G48" s="13" t="n">
        <v>2</v>
      </c>
      <c r="H48" s="13" t="n">
        <v>-600</v>
      </c>
      <c r="I48" s="13" t="n">
        <v>6</v>
      </c>
      <c r="J48" s="12" t="s">
        <v>822</v>
      </c>
      <c r="K48" s="12" t="s">
        <v>1088</v>
      </c>
      <c r="L48" s="12" t="s">
        <v>1095</v>
      </c>
      <c r="M48" s="12" t="s">
        <v>1017</v>
      </c>
      <c r="N48" s="12" t="s">
        <v>942</v>
      </c>
      <c r="O48" s="12" t="s">
        <v>202</v>
      </c>
      <c r="P48" s="12" t="s">
        <v>202</v>
      </c>
      <c r="Q48" s="12" t="s">
        <v>202</v>
      </c>
      <c r="R48" s="12" t="n">
        <f aca="false">COUNTIF(05_EFECTOS!$B$5:$B$306,A48)</f>
        <v>6</v>
      </c>
    </row>
    <row r="49" customFormat="false" ht="15" hidden="false" customHeight="false" outlineLevel="0" collapsed="false">
      <c r="A49" s="12" t="s">
        <v>1096</v>
      </c>
      <c r="B49" s="12" t="s">
        <v>1097</v>
      </c>
      <c r="C49" s="12" t="s">
        <v>1098</v>
      </c>
      <c r="D49" s="12" t="s">
        <v>306</v>
      </c>
      <c r="E49" s="18" t="s">
        <v>821</v>
      </c>
      <c r="F49" s="12" t="s">
        <v>1096</v>
      </c>
      <c r="G49" s="13" t="n">
        <v>1</v>
      </c>
      <c r="H49" s="13" t="n">
        <v>-400</v>
      </c>
      <c r="I49" s="13" t="n">
        <v>4</v>
      </c>
      <c r="J49" s="12" t="s">
        <v>822</v>
      </c>
      <c r="K49" s="12"/>
      <c r="L49" s="12" t="s">
        <v>1099</v>
      </c>
      <c r="M49" s="12" t="s">
        <v>1017</v>
      </c>
      <c r="N49" s="12" t="s">
        <v>202</v>
      </c>
      <c r="O49" s="12" t="s">
        <v>202</v>
      </c>
      <c r="P49" s="12" t="s">
        <v>202</v>
      </c>
      <c r="Q49" s="12" t="s">
        <v>202</v>
      </c>
      <c r="R49" s="12" t="n">
        <f aca="false">COUNTIF(05_EFECTOS!$B$5:$B$306,A49)</f>
        <v>4</v>
      </c>
    </row>
    <row r="50" customFormat="false" ht="23.85" hidden="false" customHeight="false" outlineLevel="0" collapsed="false">
      <c r="A50" s="12" t="s">
        <v>1100</v>
      </c>
      <c r="B50" s="12" t="s">
        <v>1101</v>
      </c>
      <c r="C50" s="12" t="s">
        <v>1102</v>
      </c>
      <c r="D50" s="12" t="s">
        <v>306</v>
      </c>
      <c r="E50" s="21" t="s">
        <v>1067</v>
      </c>
      <c r="F50" s="12" t="s">
        <v>1103</v>
      </c>
      <c r="G50" s="13" t="n">
        <v>1</v>
      </c>
      <c r="H50" s="13" t="n">
        <v>-400</v>
      </c>
      <c r="I50" s="13" t="n">
        <v>4</v>
      </c>
      <c r="J50" s="12" t="s">
        <v>822</v>
      </c>
      <c r="K50" s="12" t="s">
        <v>995</v>
      </c>
      <c r="L50" s="12" t="s">
        <v>1104</v>
      </c>
      <c r="M50" s="12" t="s">
        <v>1017</v>
      </c>
      <c r="N50" s="12" t="s">
        <v>202</v>
      </c>
      <c r="O50" s="12" t="s">
        <v>202</v>
      </c>
      <c r="P50" s="12" t="s">
        <v>202</v>
      </c>
      <c r="Q50" s="12" t="s">
        <v>202</v>
      </c>
      <c r="R50" s="12" t="n">
        <f aca="false">COUNTIF(05_EFECTOS!$B$5:$B$306,A50)</f>
        <v>5</v>
      </c>
    </row>
    <row r="51" customFormat="false" ht="35.05" hidden="false" customHeight="false" outlineLevel="0" collapsed="false">
      <c r="A51" s="12" t="s">
        <v>1105</v>
      </c>
      <c r="B51" s="12" t="s">
        <v>1106</v>
      </c>
      <c r="C51" s="12" t="s">
        <v>1107</v>
      </c>
      <c r="D51" s="12" t="s">
        <v>306</v>
      </c>
      <c r="E51" s="21" t="s">
        <v>1067</v>
      </c>
      <c r="F51" s="12" t="s">
        <v>1108</v>
      </c>
      <c r="G51" s="13" t="n">
        <v>1</v>
      </c>
      <c r="H51" s="13" t="n">
        <v>-350</v>
      </c>
      <c r="I51" s="13" t="n">
        <v>3</v>
      </c>
      <c r="J51" s="12" t="s">
        <v>822</v>
      </c>
      <c r="K51" s="12"/>
      <c r="L51" s="12" t="s">
        <v>1109</v>
      </c>
      <c r="M51" s="12" t="s">
        <v>202</v>
      </c>
      <c r="N51" s="12" t="s">
        <v>202</v>
      </c>
      <c r="O51" s="12" t="s">
        <v>202</v>
      </c>
      <c r="P51" s="12" t="s">
        <v>202</v>
      </c>
      <c r="Q51" s="12" t="s">
        <v>202</v>
      </c>
      <c r="R51" s="12" t="n">
        <f aca="false">COUNTIF(05_EFECTOS!$B$5:$B$306,A51)</f>
        <v>4</v>
      </c>
    </row>
    <row r="52" customFormat="false" ht="23.85" hidden="false" customHeight="false" outlineLevel="0" collapsed="false">
      <c r="A52" s="12" t="s">
        <v>1110</v>
      </c>
      <c r="B52" s="12" t="s">
        <v>1111</v>
      </c>
      <c r="C52" s="12" t="s">
        <v>1112</v>
      </c>
      <c r="D52" s="12" t="s">
        <v>306</v>
      </c>
      <c r="E52" s="18" t="s">
        <v>821</v>
      </c>
      <c r="F52" s="12" t="s">
        <v>1113</v>
      </c>
      <c r="G52" s="13" t="n">
        <v>1</v>
      </c>
      <c r="H52" s="13" t="n">
        <v>-200</v>
      </c>
      <c r="I52" s="13" t="n">
        <v>2</v>
      </c>
      <c r="J52" s="12" t="s">
        <v>822</v>
      </c>
      <c r="K52" s="12"/>
      <c r="L52" s="12" t="s">
        <v>1114</v>
      </c>
      <c r="M52" s="12" t="s">
        <v>202</v>
      </c>
      <c r="N52" s="12" t="s">
        <v>202</v>
      </c>
      <c r="O52" s="12" t="s">
        <v>202</v>
      </c>
      <c r="P52" s="12" t="s">
        <v>202</v>
      </c>
      <c r="Q52" s="12" t="s">
        <v>202</v>
      </c>
      <c r="R52" s="12" t="n">
        <f aca="false">COUNTIF(05_EFECTOS!$B$5:$B$306,A52)</f>
        <v>3</v>
      </c>
    </row>
    <row r="53" customFormat="false" ht="23.85" hidden="false" customHeight="false" outlineLevel="0" collapsed="false">
      <c r="A53" s="12" t="s">
        <v>1115</v>
      </c>
      <c r="B53" s="12" t="s">
        <v>1116</v>
      </c>
      <c r="C53" s="12" t="s">
        <v>1117</v>
      </c>
      <c r="D53" s="12" t="s">
        <v>1118</v>
      </c>
      <c r="E53" s="18" t="s">
        <v>821</v>
      </c>
      <c r="F53" s="12" t="s">
        <v>1119</v>
      </c>
      <c r="G53" s="13" t="n">
        <v>1</v>
      </c>
      <c r="H53" s="13" t="n">
        <v>-350</v>
      </c>
      <c r="I53" s="13" t="n">
        <v>3</v>
      </c>
      <c r="J53" s="12" t="s">
        <v>822</v>
      </c>
      <c r="K53" s="12" t="s">
        <v>995</v>
      </c>
      <c r="L53" s="12" t="s">
        <v>1120</v>
      </c>
      <c r="M53" s="12" t="s">
        <v>202</v>
      </c>
      <c r="N53" s="12" t="s">
        <v>202</v>
      </c>
      <c r="O53" s="12" t="s">
        <v>202</v>
      </c>
      <c r="P53" s="12" t="s">
        <v>202</v>
      </c>
      <c r="Q53" s="12" t="s">
        <v>202</v>
      </c>
      <c r="R53" s="12" t="n">
        <f aca="false">COUNTIF(05_EFECTOS!$B$5:$B$306,A53)</f>
        <v>5</v>
      </c>
    </row>
    <row r="54" customFormat="false" ht="35.05" hidden="false" customHeight="false" outlineLevel="0" collapsed="false">
      <c r="A54" s="12" t="s">
        <v>1121</v>
      </c>
      <c r="B54" s="12" t="s">
        <v>1122</v>
      </c>
      <c r="C54" s="12" t="s">
        <v>1123</v>
      </c>
      <c r="D54" s="12" t="s">
        <v>1118</v>
      </c>
      <c r="E54" s="21" t="s">
        <v>1067</v>
      </c>
      <c r="F54" s="12" t="s">
        <v>1124</v>
      </c>
      <c r="G54" s="13" t="n">
        <v>1</v>
      </c>
      <c r="H54" s="13" t="n">
        <v>-250</v>
      </c>
      <c r="I54" s="13" t="n">
        <v>3</v>
      </c>
      <c r="J54" s="12" t="s">
        <v>822</v>
      </c>
      <c r="K54" s="12"/>
      <c r="L54" s="12" t="s">
        <v>1125</v>
      </c>
      <c r="M54" s="12" t="s">
        <v>202</v>
      </c>
      <c r="N54" s="12" t="s">
        <v>202</v>
      </c>
      <c r="O54" s="12" t="s">
        <v>202</v>
      </c>
      <c r="P54" s="12" t="s">
        <v>202</v>
      </c>
      <c r="Q54" s="12" t="s">
        <v>202</v>
      </c>
      <c r="R54" s="12" t="n">
        <f aca="false">COUNTIF(05_EFECTOS!$B$5:$B$306,A54)</f>
        <v>4</v>
      </c>
    </row>
    <row r="55" customFormat="false" ht="23.85" hidden="false" customHeight="false" outlineLevel="0" collapsed="false">
      <c r="A55" s="12" t="s">
        <v>1126</v>
      </c>
      <c r="B55" s="12" t="s">
        <v>1127</v>
      </c>
      <c r="C55" s="12" t="s">
        <v>1128</v>
      </c>
      <c r="D55" s="12" t="s">
        <v>1118</v>
      </c>
      <c r="E55" s="18" t="s">
        <v>821</v>
      </c>
      <c r="F55" s="12" t="s">
        <v>1126</v>
      </c>
      <c r="G55" s="13" t="n">
        <v>2</v>
      </c>
      <c r="H55" s="13" t="n">
        <v>-500</v>
      </c>
      <c r="I55" s="13" t="n">
        <v>4</v>
      </c>
      <c r="J55" s="12" t="s">
        <v>822</v>
      </c>
      <c r="K55" s="12"/>
      <c r="L55" s="12" t="s">
        <v>1129</v>
      </c>
      <c r="M55" s="12" t="s">
        <v>1130</v>
      </c>
      <c r="N55" s="12" t="s">
        <v>202</v>
      </c>
      <c r="O55" s="12" t="s">
        <v>1131</v>
      </c>
      <c r="P55" s="12" t="s">
        <v>202</v>
      </c>
      <c r="Q55" s="12" t="s">
        <v>202</v>
      </c>
      <c r="R55" s="12" t="n">
        <f aca="false">COUNTIF(05_EFECTOS!$B$5:$B$306,A55)</f>
        <v>3</v>
      </c>
    </row>
    <row r="56" customFormat="false" ht="23.85" hidden="false" customHeight="false" outlineLevel="0" collapsed="false">
      <c r="A56" s="12" t="s">
        <v>1132</v>
      </c>
      <c r="B56" s="12" t="s">
        <v>1133</v>
      </c>
      <c r="C56" s="12" t="s">
        <v>1134</v>
      </c>
      <c r="D56" s="12" t="s">
        <v>1118</v>
      </c>
      <c r="E56" s="19" t="s">
        <v>829</v>
      </c>
      <c r="F56" s="12" t="s">
        <v>202</v>
      </c>
      <c r="G56" s="13" t="n">
        <v>1</v>
      </c>
      <c r="H56" s="13" t="n">
        <v>-100</v>
      </c>
      <c r="I56" s="13" t="n">
        <v>2</v>
      </c>
      <c r="J56" s="12" t="s">
        <v>822</v>
      </c>
      <c r="K56" s="12" t="s">
        <v>843</v>
      </c>
      <c r="L56" s="12" t="s">
        <v>1135</v>
      </c>
      <c r="M56" s="12" t="s">
        <v>202</v>
      </c>
      <c r="N56" s="12" t="s">
        <v>202</v>
      </c>
      <c r="O56" s="12" t="s">
        <v>1136</v>
      </c>
      <c r="P56" s="12" t="s">
        <v>202</v>
      </c>
      <c r="Q56" s="12" t="s">
        <v>1137</v>
      </c>
      <c r="R56" s="12" t="n">
        <f aca="false">COUNTIF(05_EFECTOS!$B$5:$B$306,A56)</f>
        <v>6</v>
      </c>
    </row>
    <row r="57" customFormat="false" ht="23.85" hidden="false" customHeight="false" outlineLevel="0" collapsed="false">
      <c r="A57" s="12" t="s">
        <v>1138</v>
      </c>
      <c r="B57" s="12" t="s">
        <v>1139</v>
      </c>
      <c r="C57" s="12" t="s">
        <v>1140</v>
      </c>
      <c r="D57" s="12" t="s">
        <v>1118</v>
      </c>
      <c r="E57" s="18" t="s">
        <v>821</v>
      </c>
      <c r="F57" s="12" t="s">
        <v>1138</v>
      </c>
      <c r="G57" s="13" t="n">
        <v>2</v>
      </c>
      <c r="H57" s="13" t="n">
        <v>-300</v>
      </c>
      <c r="I57" s="13" t="n">
        <v>6</v>
      </c>
      <c r="J57" s="12" t="s">
        <v>808</v>
      </c>
      <c r="K57" s="12"/>
      <c r="L57" s="12" t="s">
        <v>1141</v>
      </c>
      <c r="M57" s="12" t="s">
        <v>872</v>
      </c>
      <c r="N57" s="12" t="s">
        <v>1126</v>
      </c>
      <c r="O57" s="12" t="s">
        <v>202</v>
      </c>
      <c r="P57" s="12" t="s">
        <v>202</v>
      </c>
      <c r="Q57" s="12" t="s">
        <v>202</v>
      </c>
      <c r="R57" s="12" t="n">
        <f aca="false">COUNTIF(05_EFECTOS!$B$5:$B$306,A57)</f>
        <v>3</v>
      </c>
    </row>
    <row r="58" customFormat="false" ht="35.05" hidden="false" customHeight="false" outlineLevel="0" collapsed="false">
      <c r="A58" s="12" t="s">
        <v>1142</v>
      </c>
      <c r="B58" s="12" t="s">
        <v>1143</v>
      </c>
      <c r="C58" s="12" t="s">
        <v>1144</v>
      </c>
      <c r="D58" s="12" t="s">
        <v>1145</v>
      </c>
      <c r="E58" s="19" t="s">
        <v>829</v>
      </c>
      <c r="F58" s="12" t="s">
        <v>202</v>
      </c>
      <c r="G58" s="13" t="n">
        <v>1</v>
      </c>
      <c r="H58" s="13" t="n">
        <v>-100</v>
      </c>
      <c r="I58" s="13" t="n">
        <v>4</v>
      </c>
      <c r="J58" s="12" t="s">
        <v>822</v>
      </c>
      <c r="K58" s="12"/>
      <c r="L58" s="12" t="s">
        <v>1146</v>
      </c>
      <c r="M58" s="12" t="s">
        <v>202</v>
      </c>
      <c r="N58" s="12" t="s">
        <v>202</v>
      </c>
      <c r="O58" s="12" t="s">
        <v>202</v>
      </c>
      <c r="P58" s="12" t="s">
        <v>1147</v>
      </c>
      <c r="Q58" s="12" t="s">
        <v>202</v>
      </c>
      <c r="R58" s="12" t="n">
        <f aca="false">COUNTIF(05_EFECTOS!$B$5:$B$306,A58)</f>
        <v>3</v>
      </c>
    </row>
    <row r="59" customFormat="false" ht="23.85" hidden="false" customHeight="false" outlineLevel="0" collapsed="false">
      <c r="A59" s="12" t="s">
        <v>1148</v>
      </c>
      <c r="B59" s="12" t="s">
        <v>1149</v>
      </c>
      <c r="C59" s="12" t="s">
        <v>1150</v>
      </c>
      <c r="D59" s="12" t="s">
        <v>1145</v>
      </c>
      <c r="E59" s="21" t="s">
        <v>1067</v>
      </c>
      <c r="F59" s="12" t="s">
        <v>1151</v>
      </c>
      <c r="G59" s="13" t="n">
        <v>1</v>
      </c>
      <c r="H59" s="13" t="n">
        <v>-150</v>
      </c>
      <c r="I59" s="13" t="n">
        <v>6</v>
      </c>
      <c r="J59" s="12" t="s">
        <v>808</v>
      </c>
      <c r="K59" s="12"/>
      <c r="L59" s="12" t="s">
        <v>1152</v>
      </c>
      <c r="M59" s="12" t="s">
        <v>872</v>
      </c>
      <c r="N59" s="12" t="s">
        <v>1153</v>
      </c>
      <c r="O59" s="12" t="s">
        <v>202</v>
      </c>
      <c r="P59" s="12" t="s">
        <v>202</v>
      </c>
      <c r="Q59" s="12" t="s">
        <v>202</v>
      </c>
      <c r="R59" s="12" t="n">
        <f aca="false">COUNTIF(05_EFECTOS!$B$5:$B$306,A59)</f>
        <v>6</v>
      </c>
    </row>
    <row r="60" customFormat="false" ht="46.25" hidden="false" customHeight="false" outlineLevel="0" collapsed="false">
      <c r="A60" s="12" t="s">
        <v>1154</v>
      </c>
      <c r="B60" s="12" t="s">
        <v>1155</v>
      </c>
      <c r="C60" s="12" t="s">
        <v>1156</v>
      </c>
      <c r="D60" s="12" t="s">
        <v>1145</v>
      </c>
      <c r="E60" s="19" t="s">
        <v>829</v>
      </c>
      <c r="F60" s="12" t="s">
        <v>202</v>
      </c>
      <c r="G60" s="13" t="n">
        <v>1</v>
      </c>
      <c r="H60" s="13" t="n">
        <v>0</v>
      </c>
      <c r="I60" s="13" t="n">
        <v>2</v>
      </c>
      <c r="J60" s="12" t="s">
        <v>822</v>
      </c>
      <c r="K60" s="12" t="s">
        <v>843</v>
      </c>
      <c r="L60" s="12" t="s">
        <v>1157</v>
      </c>
      <c r="M60" s="12" t="s">
        <v>202</v>
      </c>
      <c r="N60" s="12" t="s">
        <v>1158</v>
      </c>
      <c r="O60" s="12" t="s">
        <v>1159</v>
      </c>
      <c r="P60" s="12" t="s">
        <v>1160</v>
      </c>
      <c r="Q60" s="12" t="s">
        <v>1161</v>
      </c>
      <c r="R60" s="12" t="n">
        <f aca="false">COUNTIF(05_EFECTOS!$B$5:$B$306,A60)</f>
        <v>4</v>
      </c>
    </row>
    <row r="61" customFormat="false" ht="35.05" hidden="false" customHeight="false" outlineLevel="0" collapsed="false">
      <c r="A61" s="12" t="s">
        <v>1162</v>
      </c>
      <c r="B61" s="12" t="s">
        <v>1163</v>
      </c>
      <c r="C61" s="12" t="s">
        <v>1164</v>
      </c>
      <c r="D61" s="12" t="s">
        <v>1074</v>
      </c>
      <c r="E61" s="21" t="s">
        <v>1067</v>
      </c>
      <c r="F61" s="12" t="s">
        <v>1165</v>
      </c>
      <c r="G61" s="13" t="n">
        <v>1</v>
      </c>
      <c r="H61" s="13" t="n">
        <v>-100</v>
      </c>
      <c r="I61" s="13" t="n">
        <v>3</v>
      </c>
      <c r="J61" s="12" t="s">
        <v>822</v>
      </c>
      <c r="K61" s="12"/>
      <c r="L61" s="12" t="s">
        <v>1166</v>
      </c>
      <c r="M61" s="12" t="s">
        <v>202</v>
      </c>
      <c r="N61" s="12" t="s">
        <v>1167</v>
      </c>
      <c r="O61" s="12" t="s">
        <v>202</v>
      </c>
      <c r="P61" s="12" t="s">
        <v>202</v>
      </c>
      <c r="Q61" s="12" t="s">
        <v>1168</v>
      </c>
      <c r="R61" s="12" t="n">
        <f aca="false">COUNTIF(05_EFECTOS!$B$5:$B$306,A61)</f>
        <v>3</v>
      </c>
    </row>
    <row r="62" customFormat="false" ht="35.05" hidden="false" customHeight="false" outlineLevel="0" collapsed="false">
      <c r="A62" s="12" t="s">
        <v>1169</v>
      </c>
      <c r="B62" s="12" t="s">
        <v>1170</v>
      </c>
      <c r="C62" s="12" t="s">
        <v>1171</v>
      </c>
      <c r="D62" s="12" t="s">
        <v>1172</v>
      </c>
      <c r="E62" s="19" t="s">
        <v>829</v>
      </c>
      <c r="F62" s="12" t="s">
        <v>202</v>
      </c>
      <c r="G62" s="13" t="s">
        <v>1173</v>
      </c>
      <c r="H62" s="13" t="n">
        <v>0</v>
      </c>
      <c r="I62" s="13" t="s">
        <v>1174</v>
      </c>
      <c r="J62" s="12" t="s">
        <v>822</v>
      </c>
      <c r="K62" s="12"/>
      <c r="L62" s="12" t="s">
        <v>1175</v>
      </c>
      <c r="M62" s="12" t="s">
        <v>1176</v>
      </c>
      <c r="N62" s="12" t="s">
        <v>1177</v>
      </c>
      <c r="O62" s="12" t="s">
        <v>1178</v>
      </c>
      <c r="P62" s="12" t="s">
        <v>1179</v>
      </c>
      <c r="Q62" s="12" t="s">
        <v>1180</v>
      </c>
      <c r="R62" s="12" t="n">
        <f aca="false">COUNTIF(05_EFECTOS!$B$5:$B$306,A62)</f>
        <v>3</v>
      </c>
    </row>
    <row r="63" customFormat="false" ht="35.05" hidden="false" customHeight="false" outlineLevel="0" collapsed="false">
      <c r="A63" s="12" t="s">
        <v>1181</v>
      </c>
      <c r="B63" s="12" t="s">
        <v>1182</v>
      </c>
      <c r="C63" s="12" t="s">
        <v>1183</v>
      </c>
      <c r="D63" s="12" t="s">
        <v>1172</v>
      </c>
      <c r="E63" s="19" t="s">
        <v>829</v>
      </c>
      <c r="F63" s="12" t="s">
        <v>1184</v>
      </c>
      <c r="G63" s="13" t="n">
        <v>1</v>
      </c>
      <c r="H63" s="13" t="n">
        <v>0</v>
      </c>
      <c r="I63" s="13" t="n">
        <v>2</v>
      </c>
      <c r="J63" s="12" t="s">
        <v>822</v>
      </c>
      <c r="K63" s="12"/>
      <c r="L63" s="12" t="s">
        <v>1185</v>
      </c>
      <c r="M63" s="12" t="s">
        <v>1186</v>
      </c>
      <c r="N63" s="12" t="s">
        <v>1187</v>
      </c>
      <c r="O63" s="12" t="s">
        <v>1188</v>
      </c>
      <c r="P63" s="12" t="s">
        <v>202</v>
      </c>
      <c r="Q63" s="12" t="s">
        <v>1189</v>
      </c>
      <c r="R63" s="12" t="n">
        <f aca="false">COUNTIF(05_EFECTOS!$B$5:$B$306,A63)</f>
        <v>0</v>
      </c>
    </row>
    <row r="64" customFormat="false" ht="35.05" hidden="false" customHeight="false" outlineLevel="0" collapsed="false">
      <c r="A64" s="12" t="s">
        <v>1190</v>
      </c>
      <c r="B64" s="12" t="s">
        <v>1191</v>
      </c>
      <c r="C64" s="12" t="s">
        <v>1192</v>
      </c>
      <c r="D64" s="12" t="s">
        <v>1172</v>
      </c>
      <c r="E64" s="19" t="s">
        <v>829</v>
      </c>
      <c r="F64" s="12" t="s">
        <v>979</v>
      </c>
      <c r="G64" s="13" t="n">
        <v>0</v>
      </c>
      <c r="H64" s="13" t="s">
        <v>1193</v>
      </c>
      <c r="I64" s="13" t="s">
        <v>202</v>
      </c>
      <c r="J64" s="12" t="s">
        <v>822</v>
      </c>
      <c r="K64" s="12"/>
      <c r="L64" s="12" t="s">
        <v>1194</v>
      </c>
      <c r="M64" s="12" t="s">
        <v>1195</v>
      </c>
      <c r="N64" s="12" t="s">
        <v>1196</v>
      </c>
      <c r="O64" s="12" t="s">
        <v>1197</v>
      </c>
      <c r="P64" s="12" t="s">
        <v>1198</v>
      </c>
      <c r="Q64" s="12" t="s">
        <v>1199</v>
      </c>
      <c r="R64" s="12" t="n">
        <f aca="false">COUNTIF(05_EFECTOS!$B$5:$B$306,A64)</f>
        <v>2</v>
      </c>
    </row>
    <row r="65" customFormat="false" ht="35.05" hidden="false" customHeight="false" outlineLevel="0" collapsed="false">
      <c r="A65" s="12" t="s">
        <v>1200</v>
      </c>
      <c r="B65" s="12" t="s">
        <v>1201</v>
      </c>
      <c r="C65" s="12" t="s">
        <v>1202</v>
      </c>
      <c r="D65" s="12" t="s">
        <v>1172</v>
      </c>
      <c r="E65" s="19" t="s">
        <v>829</v>
      </c>
      <c r="F65" s="12" t="s">
        <v>202</v>
      </c>
      <c r="G65" s="13" t="n">
        <v>0</v>
      </c>
      <c r="H65" s="13" t="n">
        <v>-50</v>
      </c>
      <c r="I65" s="13" t="n">
        <v>1</v>
      </c>
      <c r="J65" s="12" t="s">
        <v>822</v>
      </c>
      <c r="K65" s="12"/>
      <c r="L65" s="12" t="s">
        <v>1203</v>
      </c>
      <c r="M65" s="12" t="s">
        <v>202</v>
      </c>
      <c r="N65" s="12" t="s">
        <v>202</v>
      </c>
      <c r="O65" s="12" t="s">
        <v>202</v>
      </c>
      <c r="P65" s="12" t="s">
        <v>202</v>
      </c>
      <c r="Q65" s="12" t="s">
        <v>202</v>
      </c>
      <c r="R65" s="12" t="n">
        <f aca="false">COUNTIF(05_EFECTOS!$B$5:$B$306,A65)</f>
        <v>0</v>
      </c>
    </row>
    <row r="66" customFormat="false" ht="35.05" hidden="false" customHeight="false" outlineLevel="0" collapsed="false">
      <c r="A66" s="12" t="s">
        <v>1204</v>
      </c>
      <c r="B66" s="12" t="s">
        <v>1205</v>
      </c>
      <c r="C66" s="12" t="s">
        <v>1206</v>
      </c>
      <c r="D66" s="12" t="s">
        <v>1172</v>
      </c>
      <c r="E66" s="18" t="s">
        <v>821</v>
      </c>
      <c r="F66" s="12" t="s">
        <v>1207</v>
      </c>
      <c r="G66" s="13" t="n">
        <v>1</v>
      </c>
      <c r="H66" s="13" t="n">
        <v>0</v>
      </c>
      <c r="I66" s="13" t="n">
        <v>4</v>
      </c>
      <c r="J66" s="12" t="s">
        <v>822</v>
      </c>
      <c r="K66" s="12"/>
      <c r="L66" s="12" t="s">
        <v>1208</v>
      </c>
      <c r="M66" s="12" t="s">
        <v>1209</v>
      </c>
      <c r="N66" s="12" t="s">
        <v>202</v>
      </c>
      <c r="O66" s="12" t="s">
        <v>1210</v>
      </c>
      <c r="P66" s="12" t="s">
        <v>1211</v>
      </c>
      <c r="Q66" s="12" t="s">
        <v>1212</v>
      </c>
      <c r="R66" s="12" t="n">
        <f aca="false">COUNTIF(05_EFECTOS!$B$5:$B$306,A66)</f>
        <v>3</v>
      </c>
    </row>
    <row r="67" customFormat="false" ht="35.05" hidden="false" customHeight="false" outlineLevel="0" collapsed="false">
      <c r="A67" s="12" t="s">
        <v>1213</v>
      </c>
      <c r="B67" s="12" t="s">
        <v>1214</v>
      </c>
      <c r="C67" s="12" t="s">
        <v>1215</v>
      </c>
      <c r="D67" s="12" t="s">
        <v>1172</v>
      </c>
      <c r="E67" s="19" t="s">
        <v>829</v>
      </c>
      <c r="F67" s="12" t="s">
        <v>202</v>
      </c>
      <c r="G67" s="13" t="n">
        <v>1</v>
      </c>
      <c r="H67" s="13" t="n">
        <v>-300</v>
      </c>
      <c r="I67" s="13" t="n">
        <v>2</v>
      </c>
      <c r="J67" s="12" t="s">
        <v>822</v>
      </c>
      <c r="K67" s="12"/>
      <c r="L67" s="12" t="s">
        <v>1216</v>
      </c>
      <c r="M67" s="12" t="s">
        <v>202</v>
      </c>
      <c r="N67" s="12" t="s">
        <v>202</v>
      </c>
      <c r="O67" s="12" t="s">
        <v>202</v>
      </c>
      <c r="P67" s="12" t="s">
        <v>1217</v>
      </c>
      <c r="Q67" s="12" t="s">
        <v>202</v>
      </c>
      <c r="R67" s="12" t="n">
        <f aca="false">COUNTIF(05_EFECTOS!$B$5:$B$306,A67)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P3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9" min="8" style="0" width="9"/>
    <col collapsed="false" customWidth="true" hidden="false" outlineLevel="0" max="10" min="10" style="0" width="13"/>
    <col collapsed="false" customWidth="true" hidden="false" outlineLevel="0" max="11" min="11" style="0" width="34"/>
    <col collapsed="false" customWidth="true" hidden="false" outlineLevel="0" max="12" min="12" style="0" width="8"/>
    <col collapsed="false" customWidth="true" hidden="false" outlineLevel="0" max="13" min="13" style="0" width="40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1218</v>
      </c>
    </row>
    <row r="2" customFormat="false" ht="15" hidden="false" customHeight="false" outlineLevel="0" collapsed="false">
      <c r="A2" s="2" t="s">
        <v>1219</v>
      </c>
    </row>
    <row r="4" customFormat="false" ht="46.25" hidden="false" customHeight="false" outlineLevel="0" collapsed="false">
      <c r="A4" s="11" t="s">
        <v>1220</v>
      </c>
      <c r="B4" s="11" t="s">
        <v>801</v>
      </c>
      <c r="C4" s="11" t="s">
        <v>1221</v>
      </c>
      <c r="D4" s="11" t="s">
        <v>1222</v>
      </c>
      <c r="E4" s="11" t="s">
        <v>1223</v>
      </c>
      <c r="F4" s="11" t="s">
        <v>1224</v>
      </c>
      <c r="G4" s="11" t="s">
        <v>1225</v>
      </c>
      <c r="H4" s="11" t="s">
        <v>1226</v>
      </c>
      <c r="I4" s="11" t="s">
        <v>1227</v>
      </c>
      <c r="J4" s="11" t="s">
        <v>1228</v>
      </c>
      <c r="K4" s="11" t="s">
        <v>431</v>
      </c>
      <c r="L4" s="11" t="s">
        <v>1229</v>
      </c>
      <c r="M4" s="11" t="s">
        <v>1230</v>
      </c>
      <c r="N4" s="11" t="s">
        <v>1231</v>
      </c>
      <c r="O4" s="11" t="s">
        <v>1232</v>
      </c>
      <c r="P4" s="11" t="s">
        <v>433</v>
      </c>
    </row>
    <row r="5" customFormat="false" ht="15" hidden="false" customHeight="false" outlineLevel="0" collapsed="false">
      <c r="A5" s="12" t="s">
        <v>1233</v>
      </c>
      <c r="B5" s="12" t="s">
        <v>817</v>
      </c>
      <c r="C5" s="12" t="s">
        <v>248</v>
      </c>
      <c r="D5" s="12" t="s">
        <v>41</v>
      </c>
      <c r="E5" s="12" t="s">
        <v>1234</v>
      </c>
      <c r="F5" s="13" t="n">
        <v>3</v>
      </c>
      <c r="G5" s="12" t="s">
        <v>1235</v>
      </c>
      <c r="H5" s="12" t="n">
        <v>0</v>
      </c>
      <c r="I5" s="12" t="n">
        <v>2</v>
      </c>
      <c r="J5" s="12" t="s">
        <v>1236</v>
      </c>
      <c r="K5" s="12" t="s">
        <v>202</v>
      </c>
      <c r="L5" s="12" t="s">
        <v>202</v>
      </c>
      <c r="M5" s="12" t="s">
        <v>202</v>
      </c>
      <c r="N5" s="12" t="s">
        <v>202</v>
      </c>
      <c r="O5" s="12" t="s">
        <v>202</v>
      </c>
      <c r="P5" s="12" t="s">
        <v>1237</v>
      </c>
    </row>
    <row r="6" customFormat="false" ht="15" hidden="false" customHeight="false" outlineLevel="0" collapsed="false">
      <c r="A6" s="12" t="s">
        <v>1238</v>
      </c>
      <c r="B6" s="12" t="s">
        <v>817</v>
      </c>
      <c r="C6" s="12" t="s">
        <v>235</v>
      </c>
      <c r="D6" s="12" t="s">
        <v>41</v>
      </c>
      <c r="E6" s="12" t="s">
        <v>1239</v>
      </c>
      <c r="F6" s="13" t="n">
        <v>2</v>
      </c>
      <c r="G6" s="12" t="s">
        <v>1240</v>
      </c>
      <c r="H6" s="12" t="n">
        <v>0</v>
      </c>
      <c r="I6" s="12" t="n">
        <v>1</v>
      </c>
      <c r="J6" s="12" t="s">
        <v>1236</v>
      </c>
      <c r="K6" s="12" t="s">
        <v>202</v>
      </c>
      <c r="L6" s="12" t="s">
        <v>202</v>
      </c>
      <c r="M6" s="12" t="s">
        <v>202</v>
      </c>
      <c r="N6" s="12" t="s">
        <v>202</v>
      </c>
      <c r="O6" s="12" t="s">
        <v>202</v>
      </c>
      <c r="P6" s="12" t="s">
        <v>1241</v>
      </c>
    </row>
    <row r="7" customFormat="false" ht="15" hidden="false" customHeight="false" outlineLevel="0" collapsed="false">
      <c r="A7" s="12" t="s">
        <v>1242</v>
      </c>
      <c r="B7" s="12" t="s">
        <v>817</v>
      </c>
      <c r="C7" s="12" t="s">
        <v>235</v>
      </c>
      <c r="D7" s="12" t="s">
        <v>41</v>
      </c>
      <c r="E7" s="12" t="s">
        <v>1239</v>
      </c>
      <c r="F7" s="13" t="n">
        <v>2</v>
      </c>
      <c r="G7" s="12" t="s">
        <v>1240</v>
      </c>
      <c r="H7" s="12" t="n">
        <v>0</v>
      </c>
      <c r="I7" s="12" t="n">
        <v>1</v>
      </c>
      <c r="J7" s="12" t="s">
        <v>1243</v>
      </c>
      <c r="K7" s="12" t="s">
        <v>1244</v>
      </c>
      <c r="L7" s="12" t="s">
        <v>1245</v>
      </c>
      <c r="M7" s="12" t="s">
        <v>202</v>
      </c>
      <c r="N7" s="12" t="s">
        <v>202</v>
      </c>
      <c r="O7" s="12" t="s">
        <v>202</v>
      </c>
      <c r="P7" s="12" t="s">
        <v>1246</v>
      </c>
    </row>
    <row r="8" customFormat="false" ht="15" hidden="false" customHeight="false" outlineLevel="0" collapsed="false">
      <c r="A8" s="12" t="s">
        <v>1247</v>
      </c>
      <c r="B8" s="12" t="s">
        <v>817</v>
      </c>
      <c r="C8" s="12" t="s">
        <v>235</v>
      </c>
      <c r="D8" s="12" t="s">
        <v>41</v>
      </c>
      <c r="E8" s="12" t="s">
        <v>1239</v>
      </c>
      <c r="F8" s="13" t="n">
        <v>2</v>
      </c>
      <c r="G8" s="12" t="s">
        <v>1240</v>
      </c>
      <c r="H8" s="12" t="n">
        <v>0</v>
      </c>
      <c r="I8" s="12" t="n">
        <v>1</v>
      </c>
      <c r="J8" s="12" t="s">
        <v>1243</v>
      </c>
      <c r="K8" s="12" t="s">
        <v>1248</v>
      </c>
      <c r="L8" s="12" t="s">
        <v>1245</v>
      </c>
      <c r="M8" s="12" t="s">
        <v>202</v>
      </c>
      <c r="N8" s="12" t="s">
        <v>202</v>
      </c>
      <c r="O8" s="12" t="s">
        <v>202</v>
      </c>
      <c r="P8" s="12" t="s">
        <v>1249</v>
      </c>
    </row>
    <row r="9" customFormat="false" ht="15" hidden="false" customHeight="false" outlineLevel="0" collapsed="false">
      <c r="A9" s="12" t="s">
        <v>1250</v>
      </c>
      <c r="B9" s="12" t="s">
        <v>817</v>
      </c>
      <c r="C9" s="12" t="s">
        <v>402</v>
      </c>
      <c r="D9" s="12" t="s">
        <v>420</v>
      </c>
      <c r="E9" s="12" t="s">
        <v>1239</v>
      </c>
      <c r="F9" s="13" t="n">
        <v>3</v>
      </c>
      <c r="G9" s="12" t="s">
        <v>1240</v>
      </c>
      <c r="H9" s="12" t="n">
        <v>0</v>
      </c>
      <c r="I9" s="12" t="n">
        <v>1</v>
      </c>
      <c r="J9" s="12" t="s">
        <v>1236</v>
      </c>
      <c r="K9" s="12" t="s">
        <v>202</v>
      </c>
      <c r="L9" s="12" t="s">
        <v>202</v>
      </c>
      <c r="M9" s="12" t="s">
        <v>202</v>
      </c>
      <c r="N9" s="12" t="s">
        <v>202</v>
      </c>
      <c r="O9" s="12" t="s">
        <v>202</v>
      </c>
      <c r="P9" s="12" t="s">
        <v>1251</v>
      </c>
    </row>
    <row r="10" customFormat="false" ht="15" hidden="false" customHeight="false" outlineLevel="0" collapsed="false">
      <c r="A10" s="12" t="s">
        <v>1252</v>
      </c>
      <c r="B10" s="12" t="s">
        <v>817</v>
      </c>
      <c r="C10" s="12" t="s">
        <v>235</v>
      </c>
      <c r="D10" s="12" t="s">
        <v>41</v>
      </c>
      <c r="E10" s="12" t="s">
        <v>1239</v>
      </c>
      <c r="F10" s="13" t="n">
        <v>3</v>
      </c>
      <c r="G10" s="12" t="s">
        <v>1253</v>
      </c>
      <c r="H10" s="12" t="n">
        <v>1</v>
      </c>
      <c r="I10" s="12" t="n">
        <v>3</v>
      </c>
      <c r="J10" s="12" t="s">
        <v>1254</v>
      </c>
      <c r="K10" s="12" t="s">
        <v>202</v>
      </c>
      <c r="L10" s="12" t="s">
        <v>1245</v>
      </c>
      <c r="M10" s="12" t="s">
        <v>1255</v>
      </c>
      <c r="N10" s="12" t="n">
        <v>6</v>
      </c>
      <c r="O10" s="12" t="s">
        <v>202</v>
      </c>
      <c r="P10" s="12" t="s">
        <v>1256</v>
      </c>
    </row>
    <row r="11" customFormat="false" ht="15" hidden="false" customHeight="false" outlineLevel="0" collapsed="false">
      <c r="A11" s="12" t="s">
        <v>1257</v>
      </c>
      <c r="B11" s="12" t="s">
        <v>817</v>
      </c>
      <c r="C11" s="12" t="s">
        <v>402</v>
      </c>
      <c r="D11" s="12" t="s">
        <v>420</v>
      </c>
      <c r="E11" s="12" t="s">
        <v>1239</v>
      </c>
      <c r="F11" s="13" t="n">
        <v>6</v>
      </c>
      <c r="G11" s="12" t="s">
        <v>1240</v>
      </c>
      <c r="H11" s="12" t="n">
        <v>0</v>
      </c>
      <c r="I11" s="12" t="n">
        <v>1</v>
      </c>
      <c r="J11" s="12" t="s">
        <v>1254</v>
      </c>
      <c r="K11" s="12" t="s">
        <v>202</v>
      </c>
      <c r="L11" s="12" t="s">
        <v>1245</v>
      </c>
      <c r="M11" s="12" t="s">
        <v>1255</v>
      </c>
      <c r="N11" s="12" t="n">
        <v>6</v>
      </c>
      <c r="O11" s="12" t="s">
        <v>202</v>
      </c>
      <c r="P11" s="12" t="s">
        <v>1258</v>
      </c>
    </row>
    <row r="12" customFormat="false" ht="15" hidden="false" customHeight="false" outlineLevel="0" collapsed="false">
      <c r="A12" s="12" t="s">
        <v>1259</v>
      </c>
      <c r="B12" s="12" t="s">
        <v>817</v>
      </c>
      <c r="C12" s="12" t="s">
        <v>235</v>
      </c>
      <c r="D12" s="12" t="s">
        <v>41</v>
      </c>
      <c r="E12" s="12" t="s">
        <v>1239</v>
      </c>
      <c r="F12" s="13" t="n">
        <v>4</v>
      </c>
      <c r="G12" s="12" t="s">
        <v>1253</v>
      </c>
      <c r="H12" s="12" t="n">
        <v>1</v>
      </c>
      <c r="I12" s="12" t="n">
        <v>3</v>
      </c>
      <c r="J12" s="12" t="s">
        <v>1254</v>
      </c>
      <c r="K12" s="12" t="s">
        <v>202</v>
      </c>
      <c r="L12" s="12" t="s">
        <v>1245</v>
      </c>
      <c r="M12" s="12" t="s">
        <v>1260</v>
      </c>
      <c r="N12" s="12" t="n">
        <v>6</v>
      </c>
      <c r="O12" s="12" t="s">
        <v>202</v>
      </c>
      <c r="P12" s="12" t="s">
        <v>1261</v>
      </c>
    </row>
    <row r="13" customFormat="false" ht="15" hidden="false" customHeight="false" outlineLevel="0" collapsed="false">
      <c r="A13" s="12" t="s">
        <v>1262</v>
      </c>
      <c r="B13" s="12" t="s">
        <v>817</v>
      </c>
      <c r="C13" s="12" t="s">
        <v>296</v>
      </c>
      <c r="D13" s="12" t="s">
        <v>41</v>
      </c>
      <c r="E13" s="12" t="s">
        <v>1239</v>
      </c>
      <c r="F13" s="13" t="n">
        <v>-3</v>
      </c>
      <c r="G13" s="12" t="s">
        <v>1240</v>
      </c>
      <c r="H13" s="12" t="n">
        <v>0</v>
      </c>
      <c r="I13" s="12" t="n">
        <v>1</v>
      </c>
      <c r="J13" s="12" t="s">
        <v>1254</v>
      </c>
      <c r="K13" s="12" t="s">
        <v>202</v>
      </c>
      <c r="L13" s="12" t="s">
        <v>1245</v>
      </c>
      <c r="M13" s="12" t="s">
        <v>1260</v>
      </c>
      <c r="N13" s="12" t="n">
        <v>6</v>
      </c>
      <c r="O13" s="12" t="s">
        <v>202</v>
      </c>
      <c r="P13" s="12" t="s">
        <v>1263</v>
      </c>
    </row>
    <row r="14" customFormat="false" ht="15" hidden="false" customHeight="false" outlineLevel="0" collapsed="false">
      <c r="A14" s="12" t="s">
        <v>1264</v>
      </c>
      <c r="B14" s="12" t="s">
        <v>817</v>
      </c>
      <c r="C14" s="12" t="s">
        <v>267</v>
      </c>
      <c r="D14" s="12" t="s">
        <v>41</v>
      </c>
      <c r="E14" s="12" t="s">
        <v>1239</v>
      </c>
      <c r="F14" s="13" t="n">
        <v>-3</v>
      </c>
      <c r="G14" s="12" t="s">
        <v>1240</v>
      </c>
      <c r="H14" s="12" t="n">
        <v>0</v>
      </c>
      <c r="I14" s="12" t="n">
        <v>1</v>
      </c>
      <c r="J14" s="12" t="s">
        <v>1254</v>
      </c>
      <c r="K14" s="12" t="s">
        <v>202</v>
      </c>
      <c r="L14" s="12" t="s">
        <v>1245</v>
      </c>
      <c r="M14" s="12" t="s">
        <v>1260</v>
      </c>
      <c r="N14" s="12" t="n">
        <v>6</v>
      </c>
      <c r="O14" s="12" t="s">
        <v>202</v>
      </c>
      <c r="P14" s="12" t="s">
        <v>1265</v>
      </c>
    </row>
    <row r="15" customFormat="false" ht="15" hidden="false" customHeight="false" outlineLevel="0" collapsed="false">
      <c r="A15" s="12" t="s">
        <v>1266</v>
      </c>
      <c r="B15" s="12" t="s">
        <v>817</v>
      </c>
      <c r="C15" s="12" t="s">
        <v>383</v>
      </c>
      <c r="D15" s="12" t="s">
        <v>385</v>
      </c>
      <c r="E15" s="12" t="s">
        <v>1239</v>
      </c>
      <c r="F15" s="13" t="n">
        <v>-120</v>
      </c>
      <c r="G15" s="12" t="s">
        <v>1240</v>
      </c>
      <c r="H15" s="12" t="n">
        <v>0</v>
      </c>
      <c r="I15" s="12" t="n">
        <v>1</v>
      </c>
      <c r="J15" s="12" t="s">
        <v>1254</v>
      </c>
      <c r="K15" s="12" t="s">
        <v>202</v>
      </c>
      <c r="L15" s="12" t="s">
        <v>1245</v>
      </c>
      <c r="M15" s="12" t="s">
        <v>1267</v>
      </c>
      <c r="N15" s="12" t="n">
        <v>6</v>
      </c>
      <c r="O15" s="12" t="s">
        <v>202</v>
      </c>
      <c r="P15" s="12" t="s">
        <v>1268</v>
      </c>
    </row>
    <row r="16" customFormat="false" ht="15" hidden="false" customHeight="false" outlineLevel="0" collapsed="false">
      <c r="A16" s="12" t="s">
        <v>1269</v>
      </c>
      <c r="B16" s="12" t="s">
        <v>826</v>
      </c>
      <c r="C16" s="12" t="s">
        <v>235</v>
      </c>
      <c r="D16" s="12" t="s">
        <v>41</v>
      </c>
      <c r="E16" s="12" t="s">
        <v>1239</v>
      </c>
      <c r="F16" s="13" t="n">
        <v>-3</v>
      </c>
      <c r="G16" s="12" t="s">
        <v>1270</v>
      </c>
      <c r="H16" s="12" t="n">
        <v>1</v>
      </c>
      <c r="I16" s="12" t="n">
        <v>1</v>
      </c>
      <c r="J16" s="12" t="s">
        <v>1271</v>
      </c>
      <c r="K16" s="12" t="s">
        <v>202</v>
      </c>
      <c r="L16" s="12" t="s">
        <v>202</v>
      </c>
      <c r="M16" s="12" t="s">
        <v>202</v>
      </c>
      <c r="N16" s="12" t="s">
        <v>202</v>
      </c>
      <c r="O16" s="12" t="s">
        <v>202</v>
      </c>
      <c r="P16" s="12" t="s">
        <v>1272</v>
      </c>
    </row>
    <row r="17" customFormat="false" ht="15" hidden="false" customHeight="false" outlineLevel="0" collapsed="false">
      <c r="A17" s="12" t="s">
        <v>1273</v>
      </c>
      <c r="B17" s="12" t="s">
        <v>826</v>
      </c>
      <c r="C17" s="12" t="s">
        <v>235</v>
      </c>
      <c r="D17" s="12" t="s">
        <v>41</v>
      </c>
      <c r="E17" s="12" t="s">
        <v>1239</v>
      </c>
      <c r="F17" s="13" t="n">
        <v>-2</v>
      </c>
      <c r="G17" s="12" t="s">
        <v>1274</v>
      </c>
      <c r="H17" s="12" t="n">
        <v>2</v>
      </c>
      <c r="I17" s="12" t="n">
        <v>1</v>
      </c>
      <c r="J17" s="12" t="s">
        <v>1271</v>
      </c>
      <c r="K17" s="12" t="s">
        <v>202</v>
      </c>
      <c r="L17" s="12" t="s">
        <v>202</v>
      </c>
      <c r="M17" s="12" t="s">
        <v>202</v>
      </c>
      <c r="N17" s="12" t="s">
        <v>202</v>
      </c>
      <c r="O17" s="12" t="s">
        <v>202</v>
      </c>
      <c r="P17" s="12" t="s">
        <v>1275</v>
      </c>
    </row>
    <row r="18" customFormat="false" ht="15" hidden="false" customHeight="false" outlineLevel="0" collapsed="false">
      <c r="A18" s="12" t="s">
        <v>1276</v>
      </c>
      <c r="B18" s="12" t="s">
        <v>826</v>
      </c>
      <c r="C18" s="12" t="s">
        <v>402</v>
      </c>
      <c r="D18" s="12" t="s">
        <v>420</v>
      </c>
      <c r="E18" s="12" t="s">
        <v>1239</v>
      </c>
      <c r="F18" s="13" t="n">
        <v>-5</v>
      </c>
      <c r="G18" s="12" t="s">
        <v>1240</v>
      </c>
      <c r="H18" s="12" t="n">
        <v>0</v>
      </c>
      <c r="I18" s="12" t="n">
        <v>1</v>
      </c>
      <c r="J18" s="12" t="s">
        <v>1236</v>
      </c>
      <c r="K18" s="12" t="s">
        <v>202</v>
      </c>
      <c r="L18" s="12" t="s">
        <v>202</v>
      </c>
      <c r="M18" s="12" t="s">
        <v>202</v>
      </c>
      <c r="N18" s="12" t="s">
        <v>202</v>
      </c>
      <c r="O18" s="12" t="s">
        <v>1277</v>
      </c>
      <c r="P18" s="12" t="s">
        <v>1278</v>
      </c>
    </row>
    <row r="19" customFormat="false" ht="15" hidden="false" customHeight="false" outlineLevel="0" collapsed="false">
      <c r="A19" s="12" t="s">
        <v>1279</v>
      </c>
      <c r="B19" s="12" t="s">
        <v>826</v>
      </c>
      <c r="C19" s="12" t="s">
        <v>267</v>
      </c>
      <c r="D19" s="12" t="s">
        <v>41</v>
      </c>
      <c r="E19" s="12" t="s">
        <v>1234</v>
      </c>
      <c r="F19" s="13" t="n">
        <v>-4</v>
      </c>
      <c r="G19" s="12" t="s">
        <v>1280</v>
      </c>
      <c r="H19" s="12" t="n">
        <v>0</v>
      </c>
      <c r="I19" s="12" t="n">
        <v>3</v>
      </c>
      <c r="J19" s="12" t="s">
        <v>1236</v>
      </c>
      <c r="K19" s="12" t="s">
        <v>202</v>
      </c>
      <c r="L19" s="12" t="s">
        <v>202</v>
      </c>
      <c r="M19" s="12" t="s">
        <v>202</v>
      </c>
      <c r="N19" s="12" t="s">
        <v>202</v>
      </c>
      <c r="O19" s="12" t="s">
        <v>202</v>
      </c>
      <c r="P19" s="12" t="s">
        <v>1281</v>
      </c>
    </row>
    <row r="20" customFormat="false" ht="15" hidden="false" customHeight="false" outlineLevel="0" collapsed="false">
      <c r="A20" s="12" t="s">
        <v>1282</v>
      </c>
      <c r="B20" s="12" t="s">
        <v>826</v>
      </c>
      <c r="C20" s="12" t="s">
        <v>267</v>
      </c>
      <c r="D20" s="12" t="s">
        <v>41</v>
      </c>
      <c r="E20" s="12" t="s">
        <v>1239</v>
      </c>
      <c r="F20" s="13" t="n">
        <v>-1</v>
      </c>
      <c r="G20" s="12" t="s">
        <v>1240</v>
      </c>
      <c r="H20" s="12" t="n">
        <v>0</v>
      </c>
      <c r="I20" s="12" t="n">
        <v>1</v>
      </c>
      <c r="J20" s="12" t="s">
        <v>1236</v>
      </c>
      <c r="K20" s="12" t="s">
        <v>202</v>
      </c>
      <c r="L20" s="12" t="s">
        <v>202</v>
      </c>
      <c r="M20" s="12" t="s">
        <v>202</v>
      </c>
      <c r="N20" s="12" t="s">
        <v>202</v>
      </c>
      <c r="O20" s="12" t="s">
        <v>202</v>
      </c>
      <c r="P20" s="12" t="s">
        <v>1283</v>
      </c>
    </row>
    <row r="21" customFormat="false" ht="15" hidden="false" customHeight="false" outlineLevel="0" collapsed="false">
      <c r="A21" s="12" t="s">
        <v>1284</v>
      </c>
      <c r="B21" s="12" t="s">
        <v>826</v>
      </c>
      <c r="C21" s="12" t="s">
        <v>248</v>
      </c>
      <c r="D21" s="12" t="s">
        <v>41</v>
      </c>
      <c r="E21" s="12" t="s">
        <v>1234</v>
      </c>
      <c r="F21" s="13" t="n">
        <v>-2</v>
      </c>
      <c r="G21" s="12" t="s">
        <v>1285</v>
      </c>
      <c r="H21" s="12" t="n">
        <v>1</v>
      </c>
      <c r="I21" s="12" t="n">
        <v>2</v>
      </c>
      <c r="J21" s="12" t="s">
        <v>1271</v>
      </c>
      <c r="K21" s="12" t="s">
        <v>202</v>
      </c>
      <c r="L21" s="12" t="s">
        <v>202</v>
      </c>
      <c r="M21" s="12" t="s">
        <v>202</v>
      </c>
      <c r="N21" s="12" t="s">
        <v>202</v>
      </c>
      <c r="O21" s="12" t="s">
        <v>202</v>
      </c>
      <c r="P21" s="12" t="s">
        <v>1286</v>
      </c>
    </row>
    <row r="22" customFormat="false" ht="15" hidden="false" customHeight="false" outlineLevel="0" collapsed="false">
      <c r="A22" s="12" t="s">
        <v>1287</v>
      </c>
      <c r="B22" s="12" t="s">
        <v>826</v>
      </c>
      <c r="C22" s="12" t="s">
        <v>296</v>
      </c>
      <c r="D22" s="12" t="s">
        <v>41</v>
      </c>
      <c r="E22" s="12" t="s">
        <v>1234</v>
      </c>
      <c r="F22" s="13" t="n">
        <v>2</v>
      </c>
      <c r="G22" s="12" t="s">
        <v>1280</v>
      </c>
      <c r="H22" s="12" t="n">
        <v>0</v>
      </c>
      <c r="I22" s="12" t="n">
        <v>3</v>
      </c>
      <c r="J22" s="12" t="s">
        <v>1236</v>
      </c>
      <c r="K22" s="12" t="s">
        <v>202</v>
      </c>
      <c r="L22" s="12" t="s">
        <v>202</v>
      </c>
      <c r="M22" s="12" t="s">
        <v>202</v>
      </c>
      <c r="N22" s="12" t="s">
        <v>202</v>
      </c>
      <c r="O22" s="12" t="s">
        <v>202</v>
      </c>
      <c r="P22" s="12" t="s">
        <v>1288</v>
      </c>
    </row>
    <row r="23" customFormat="false" ht="15" hidden="false" customHeight="false" outlineLevel="0" collapsed="false">
      <c r="A23" s="12" t="s">
        <v>1289</v>
      </c>
      <c r="B23" s="12" t="s">
        <v>826</v>
      </c>
      <c r="C23" s="12" t="s">
        <v>248</v>
      </c>
      <c r="D23" s="12" t="s">
        <v>41</v>
      </c>
      <c r="E23" s="12" t="s">
        <v>1239</v>
      </c>
      <c r="F23" s="13" t="n">
        <v>-2</v>
      </c>
      <c r="G23" s="12" t="s">
        <v>1240</v>
      </c>
      <c r="H23" s="12" t="n">
        <v>0</v>
      </c>
      <c r="I23" s="12" t="n">
        <v>1</v>
      </c>
      <c r="J23" s="12" t="s">
        <v>1254</v>
      </c>
      <c r="K23" s="12" t="s">
        <v>202</v>
      </c>
      <c r="L23" s="12" t="s">
        <v>1245</v>
      </c>
      <c r="M23" s="12" t="s">
        <v>1290</v>
      </c>
      <c r="N23" s="12" t="n">
        <v>6</v>
      </c>
      <c r="O23" s="12" t="s">
        <v>202</v>
      </c>
      <c r="P23" s="12" t="s">
        <v>1291</v>
      </c>
    </row>
    <row r="24" customFormat="false" ht="15" hidden="false" customHeight="false" outlineLevel="0" collapsed="false">
      <c r="A24" s="12" t="s">
        <v>1292</v>
      </c>
      <c r="B24" s="12" t="s">
        <v>826</v>
      </c>
      <c r="C24" s="12" t="s">
        <v>383</v>
      </c>
      <c r="D24" s="12" t="s">
        <v>385</v>
      </c>
      <c r="E24" s="12" t="s">
        <v>1239</v>
      </c>
      <c r="F24" s="13" t="n">
        <v>-80</v>
      </c>
      <c r="G24" s="12" t="s">
        <v>1253</v>
      </c>
      <c r="H24" s="12" t="n">
        <v>1</v>
      </c>
      <c r="I24" s="12" t="n">
        <v>3</v>
      </c>
      <c r="J24" s="12" t="s">
        <v>1254</v>
      </c>
      <c r="K24" s="12" t="s">
        <v>202</v>
      </c>
      <c r="L24" s="12" t="s">
        <v>1245</v>
      </c>
      <c r="M24" s="12" t="s">
        <v>1290</v>
      </c>
      <c r="N24" s="12" t="n">
        <v>6</v>
      </c>
      <c r="O24" s="12" t="s">
        <v>202</v>
      </c>
      <c r="P24" s="12" t="s">
        <v>1293</v>
      </c>
    </row>
    <row r="25" customFormat="false" ht="15" hidden="false" customHeight="false" outlineLevel="0" collapsed="false">
      <c r="A25" s="12" t="s">
        <v>1294</v>
      </c>
      <c r="B25" s="12" t="s">
        <v>833</v>
      </c>
      <c r="C25" s="12" t="s">
        <v>296</v>
      </c>
      <c r="D25" s="12" t="s">
        <v>41</v>
      </c>
      <c r="E25" s="12" t="s">
        <v>1239</v>
      </c>
      <c r="F25" s="13" t="n">
        <v>8</v>
      </c>
      <c r="G25" s="12" t="s">
        <v>1240</v>
      </c>
      <c r="H25" s="12" t="n">
        <v>0</v>
      </c>
      <c r="I25" s="12" t="n">
        <v>1</v>
      </c>
      <c r="J25" s="12" t="s">
        <v>1236</v>
      </c>
      <c r="K25" s="12" t="s">
        <v>202</v>
      </c>
      <c r="L25" s="12" t="s">
        <v>202</v>
      </c>
      <c r="M25" s="12" t="s">
        <v>202</v>
      </c>
      <c r="N25" s="12" t="s">
        <v>202</v>
      </c>
      <c r="O25" s="12" t="s">
        <v>202</v>
      </c>
      <c r="P25" s="12" t="s">
        <v>1295</v>
      </c>
    </row>
    <row r="26" customFormat="false" ht="15" hidden="false" customHeight="false" outlineLevel="0" collapsed="false">
      <c r="A26" s="12" t="s">
        <v>1296</v>
      </c>
      <c r="B26" s="12" t="s">
        <v>833</v>
      </c>
      <c r="C26" s="12" t="s">
        <v>235</v>
      </c>
      <c r="D26" s="12" t="s">
        <v>41</v>
      </c>
      <c r="E26" s="12" t="s">
        <v>1239</v>
      </c>
      <c r="F26" s="13" t="n">
        <v>5</v>
      </c>
      <c r="G26" s="12" t="s">
        <v>1240</v>
      </c>
      <c r="H26" s="12" t="n">
        <v>0</v>
      </c>
      <c r="I26" s="12" t="n">
        <v>1</v>
      </c>
      <c r="J26" s="12" t="s">
        <v>1236</v>
      </c>
      <c r="K26" s="12" t="s">
        <v>202</v>
      </c>
      <c r="L26" s="12" t="s">
        <v>202</v>
      </c>
      <c r="M26" s="12" t="s">
        <v>202</v>
      </c>
      <c r="N26" s="12" t="s">
        <v>202</v>
      </c>
      <c r="O26" s="12" t="s">
        <v>202</v>
      </c>
      <c r="P26" s="12" t="s">
        <v>1297</v>
      </c>
    </row>
    <row r="27" customFormat="false" ht="15" hidden="false" customHeight="false" outlineLevel="0" collapsed="false">
      <c r="A27" s="12" t="s">
        <v>1298</v>
      </c>
      <c r="B27" s="12" t="s">
        <v>833</v>
      </c>
      <c r="C27" s="12" t="s">
        <v>235</v>
      </c>
      <c r="D27" s="12" t="s">
        <v>41</v>
      </c>
      <c r="E27" s="12" t="s">
        <v>1239</v>
      </c>
      <c r="F27" s="13" t="n">
        <v>3</v>
      </c>
      <c r="G27" s="12" t="s">
        <v>1270</v>
      </c>
      <c r="H27" s="12" t="n">
        <v>1</v>
      </c>
      <c r="I27" s="12" t="n">
        <v>1</v>
      </c>
      <c r="J27" s="12" t="s">
        <v>1271</v>
      </c>
      <c r="K27" s="12" t="s">
        <v>202</v>
      </c>
      <c r="L27" s="12" t="s">
        <v>202</v>
      </c>
      <c r="M27" s="12" t="s">
        <v>202</v>
      </c>
      <c r="N27" s="12" t="s">
        <v>202</v>
      </c>
      <c r="O27" s="12" t="s">
        <v>202</v>
      </c>
      <c r="P27" s="12" t="s">
        <v>1299</v>
      </c>
    </row>
    <row r="28" customFormat="false" ht="15" hidden="false" customHeight="false" outlineLevel="0" collapsed="false">
      <c r="A28" s="12" t="s">
        <v>1300</v>
      </c>
      <c r="B28" s="12" t="s">
        <v>833</v>
      </c>
      <c r="C28" s="12" t="s">
        <v>235</v>
      </c>
      <c r="D28" s="12" t="s">
        <v>41</v>
      </c>
      <c r="E28" s="12" t="s">
        <v>1239</v>
      </c>
      <c r="F28" s="13" t="n">
        <v>3</v>
      </c>
      <c r="G28" s="12" t="s">
        <v>1240</v>
      </c>
      <c r="H28" s="12" t="n">
        <v>0</v>
      </c>
      <c r="I28" s="12" t="n">
        <v>1</v>
      </c>
      <c r="J28" s="12" t="s">
        <v>1243</v>
      </c>
      <c r="K28" s="12" t="s">
        <v>1301</v>
      </c>
      <c r="L28" s="12" t="s">
        <v>1245</v>
      </c>
      <c r="M28" s="12" t="s">
        <v>202</v>
      </c>
      <c r="N28" s="12" t="s">
        <v>202</v>
      </c>
      <c r="O28" s="12" t="s">
        <v>202</v>
      </c>
      <c r="P28" s="12" t="s">
        <v>1302</v>
      </c>
    </row>
    <row r="29" customFormat="false" ht="15" hidden="false" customHeight="false" outlineLevel="0" collapsed="false">
      <c r="A29" s="12" t="s">
        <v>1303</v>
      </c>
      <c r="B29" s="12" t="s">
        <v>833</v>
      </c>
      <c r="C29" s="12" t="s">
        <v>258</v>
      </c>
      <c r="D29" s="12" t="s">
        <v>41</v>
      </c>
      <c r="E29" s="12" t="s">
        <v>1239</v>
      </c>
      <c r="F29" s="13" t="n">
        <v>-5</v>
      </c>
      <c r="G29" s="12" t="s">
        <v>1240</v>
      </c>
      <c r="H29" s="12" t="n">
        <v>0</v>
      </c>
      <c r="I29" s="12" t="n">
        <v>1</v>
      </c>
      <c r="J29" s="12" t="s">
        <v>1236</v>
      </c>
      <c r="K29" s="12" t="s">
        <v>202</v>
      </c>
      <c r="L29" s="12" t="s">
        <v>202</v>
      </c>
      <c r="M29" s="12" t="s">
        <v>202</v>
      </c>
      <c r="N29" s="12" t="s">
        <v>202</v>
      </c>
      <c r="O29" s="12" t="s">
        <v>202</v>
      </c>
      <c r="P29" s="12" t="s">
        <v>1304</v>
      </c>
    </row>
    <row r="30" customFormat="false" ht="15" hidden="false" customHeight="false" outlineLevel="0" collapsed="false">
      <c r="A30" s="12" t="s">
        <v>1305</v>
      </c>
      <c r="B30" s="12" t="s">
        <v>833</v>
      </c>
      <c r="C30" s="12" t="s">
        <v>248</v>
      </c>
      <c r="D30" s="12" t="s">
        <v>41</v>
      </c>
      <c r="E30" s="12" t="s">
        <v>1234</v>
      </c>
      <c r="F30" s="13" t="n">
        <v>-2</v>
      </c>
      <c r="G30" s="12" t="s">
        <v>1235</v>
      </c>
      <c r="H30" s="12" t="n">
        <v>0</v>
      </c>
      <c r="I30" s="12" t="n">
        <v>2</v>
      </c>
      <c r="J30" s="12" t="s">
        <v>1236</v>
      </c>
      <c r="K30" s="12" t="s">
        <v>202</v>
      </c>
      <c r="L30" s="12" t="s">
        <v>202</v>
      </c>
      <c r="M30" s="12" t="s">
        <v>202</v>
      </c>
      <c r="N30" s="12" t="s">
        <v>202</v>
      </c>
      <c r="O30" s="12" t="s">
        <v>202</v>
      </c>
      <c r="P30" s="12" t="s">
        <v>1306</v>
      </c>
    </row>
    <row r="31" customFormat="false" ht="15" hidden="false" customHeight="false" outlineLevel="0" collapsed="false">
      <c r="A31" s="12" t="s">
        <v>1307</v>
      </c>
      <c r="B31" s="12" t="s">
        <v>833</v>
      </c>
      <c r="C31" s="12" t="s">
        <v>296</v>
      </c>
      <c r="D31" s="12" t="s">
        <v>41</v>
      </c>
      <c r="E31" s="12" t="s">
        <v>1239</v>
      </c>
      <c r="F31" s="13" t="n">
        <v>-4</v>
      </c>
      <c r="G31" s="12" t="s">
        <v>1240</v>
      </c>
      <c r="H31" s="12" t="n">
        <v>0</v>
      </c>
      <c r="I31" s="12" t="n">
        <v>1</v>
      </c>
      <c r="J31" s="12" t="s">
        <v>1254</v>
      </c>
      <c r="K31" s="12" t="s">
        <v>202</v>
      </c>
      <c r="L31" s="12" t="s">
        <v>1245</v>
      </c>
      <c r="M31" s="12" t="s">
        <v>1308</v>
      </c>
      <c r="N31" s="12" t="n">
        <v>8</v>
      </c>
      <c r="O31" s="12" t="s">
        <v>202</v>
      </c>
      <c r="P31" s="12" t="s">
        <v>1309</v>
      </c>
    </row>
    <row r="32" customFormat="false" ht="15" hidden="false" customHeight="false" outlineLevel="0" collapsed="false">
      <c r="A32" s="12" t="s">
        <v>1310</v>
      </c>
      <c r="B32" s="12" t="s">
        <v>833</v>
      </c>
      <c r="C32" s="12" t="s">
        <v>235</v>
      </c>
      <c r="D32" s="12" t="s">
        <v>41</v>
      </c>
      <c r="E32" s="12" t="s">
        <v>1239</v>
      </c>
      <c r="F32" s="13" t="n">
        <v>2</v>
      </c>
      <c r="G32" s="12" t="s">
        <v>1240</v>
      </c>
      <c r="H32" s="12" t="n">
        <v>0</v>
      </c>
      <c r="I32" s="12" t="n">
        <v>1</v>
      </c>
      <c r="J32" s="12" t="s">
        <v>1254</v>
      </c>
      <c r="K32" s="12" t="s">
        <v>202</v>
      </c>
      <c r="L32" s="12" t="s">
        <v>1245</v>
      </c>
      <c r="M32" s="12" t="s">
        <v>1308</v>
      </c>
      <c r="N32" s="12" t="n">
        <v>8</v>
      </c>
      <c r="O32" s="12" t="s">
        <v>202</v>
      </c>
      <c r="P32" s="12" t="s">
        <v>1311</v>
      </c>
    </row>
    <row r="33" customFormat="false" ht="15" hidden="false" customHeight="false" outlineLevel="0" collapsed="false">
      <c r="A33" s="12" t="s">
        <v>1312</v>
      </c>
      <c r="B33" s="12" t="s">
        <v>840</v>
      </c>
      <c r="C33" s="12" t="s">
        <v>1313</v>
      </c>
      <c r="D33" s="12" t="s">
        <v>1314</v>
      </c>
      <c r="E33" s="12" t="s">
        <v>1315</v>
      </c>
      <c r="F33" s="13" t="n">
        <v>1</v>
      </c>
      <c r="G33" s="12" t="s">
        <v>1316</v>
      </c>
      <c r="H33" s="12" t="n">
        <v>0</v>
      </c>
      <c r="I33" s="12" t="s">
        <v>1317</v>
      </c>
      <c r="J33" s="12" t="s">
        <v>1236</v>
      </c>
      <c r="K33" s="12" t="s">
        <v>202</v>
      </c>
      <c r="L33" s="12" t="s">
        <v>202</v>
      </c>
      <c r="M33" s="12" t="s">
        <v>202</v>
      </c>
      <c r="N33" s="12" t="s">
        <v>202</v>
      </c>
      <c r="O33" s="12" t="s">
        <v>202</v>
      </c>
      <c r="P33" s="12" t="s">
        <v>1318</v>
      </c>
    </row>
    <row r="34" customFormat="false" ht="15" hidden="false" customHeight="false" outlineLevel="0" collapsed="false">
      <c r="A34" s="12" t="s">
        <v>1319</v>
      </c>
      <c r="B34" s="12" t="s">
        <v>840</v>
      </c>
      <c r="C34" s="12" t="s">
        <v>296</v>
      </c>
      <c r="D34" s="12" t="s">
        <v>41</v>
      </c>
      <c r="E34" s="12" t="s">
        <v>1239</v>
      </c>
      <c r="F34" s="13" t="n">
        <v>4</v>
      </c>
      <c r="G34" s="12" t="s">
        <v>1240</v>
      </c>
      <c r="H34" s="12" t="n">
        <v>0</v>
      </c>
      <c r="I34" s="12" t="n">
        <v>1</v>
      </c>
      <c r="J34" s="12" t="s">
        <v>1236</v>
      </c>
      <c r="K34" s="12" t="s">
        <v>202</v>
      </c>
      <c r="L34" s="12" t="s">
        <v>202</v>
      </c>
      <c r="M34" s="12" t="s">
        <v>202</v>
      </c>
      <c r="N34" s="12" t="s">
        <v>202</v>
      </c>
      <c r="O34" s="12" t="s">
        <v>202</v>
      </c>
      <c r="P34" s="12" t="s">
        <v>1320</v>
      </c>
    </row>
    <row r="35" customFormat="false" ht="15" hidden="false" customHeight="false" outlineLevel="0" collapsed="false">
      <c r="A35" s="12" t="s">
        <v>1321</v>
      </c>
      <c r="B35" s="12" t="s">
        <v>840</v>
      </c>
      <c r="C35" s="12" t="s">
        <v>351</v>
      </c>
      <c r="D35" s="12" t="s">
        <v>41</v>
      </c>
      <c r="E35" s="12" t="s">
        <v>1239</v>
      </c>
      <c r="F35" s="13" t="n">
        <v>-2</v>
      </c>
      <c r="G35" s="12" t="s">
        <v>1240</v>
      </c>
      <c r="H35" s="12" t="n">
        <v>0</v>
      </c>
      <c r="I35" s="12" t="n">
        <v>1</v>
      </c>
      <c r="J35" s="12" t="s">
        <v>1236</v>
      </c>
      <c r="K35" s="12" t="s">
        <v>202</v>
      </c>
      <c r="L35" s="12" t="s">
        <v>202</v>
      </c>
      <c r="M35" s="12" t="s">
        <v>202</v>
      </c>
      <c r="N35" s="12" t="s">
        <v>202</v>
      </c>
      <c r="O35" s="12" t="s">
        <v>202</v>
      </c>
      <c r="P35" s="12" t="s">
        <v>1322</v>
      </c>
    </row>
    <row r="36" customFormat="false" ht="23.85" hidden="false" customHeight="false" outlineLevel="0" collapsed="false">
      <c r="A36" s="12" t="s">
        <v>1323</v>
      </c>
      <c r="B36" s="12" t="s">
        <v>840</v>
      </c>
      <c r="C36" s="12" t="s">
        <v>267</v>
      </c>
      <c r="D36" s="12" t="s">
        <v>41</v>
      </c>
      <c r="E36" s="12" t="s">
        <v>1239</v>
      </c>
      <c r="F36" s="13" t="n">
        <v>-1</v>
      </c>
      <c r="G36" s="12" t="s">
        <v>1324</v>
      </c>
      <c r="H36" s="12" t="n">
        <v>1</v>
      </c>
      <c r="I36" s="12" t="n">
        <v>99</v>
      </c>
      <c r="J36" s="12" t="s">
        <v>1325</v>
      </c>
      <c r="K36" s="12" t="s">
        <v>1326</v>
      </c>
      <c r="L36" s="12" t="s">
        <v>1327</v>
      </c>
      <c r="M36" s="12" t="s">
        <v>202</v>
      </c>
      <c r="N36" s="12" t="s">
        <v>202</v>
      </c>
      <c r="O36" s="12" t="s">
        <v>1328</v>
      </c>
      <c r="P36" s="12" t="s">
        <v>1329</v>
      </c>
    </row>
    <row r="37" customFormat="false" ht="15" hidden="false" customHeight="false" outlineLevel="0" collapsed="false">
      <c r="A37" s="12" t="s">
        <v>1330</v>
      </c>
      <c r="B37" s="12" t="s">
        <v>840</v>
      </c>
      <c r="C37" s="12" t="s">
        <v>296</v>
      </c>
      <c r="D37" s="12" t="s">
        <v>41</v>
      </c>
      <c r="E37" s="12" t="s">
        <v>1239</v>
      </c>
      <c r="F37" s="13" t="n">
        <v>-0.5</v>
      </c>
      <c r="G37" s="12" t="s">
        <v>1324</v>
      </c>
      <c r="H37" s="12" t="n">
        <v>1</v>
      </c>
      <c r="I37" s="12" t="n">
        <v>99</v>
      </c>
      <c r="J37" s="12" t="s">
        <v>1325</v>
      </c>
      <c r="K37" s="12" t="s">
        <v>1326</v>
      </c>
      <c r="L37" s="12" t="s">
        <v>1327</v>
      </c>
      <c r="M37" s="12" t="s">
        <v>202</v>
      </c>
      <c r="N37" s="12" t="s">
        <v>202</v>
      </c>
      <c r="O37" s="12" t="s">
        <v>202</v>
      </c>
      <c r="P37" s="12" t="s">
        <v>1331</v>
      </c>
    </row>
    <row r="38" customFormat="false" ht="15" hidden="false" customHeight="false" outlineLevel="0" collapsed="false">
      <c r="A38" s="12" t="s">
        <v>1332</v>
      </c>
      <c r="B38" s="12" t="s">
        <v>846</v>
      </c>
      <c r="C38" s="12" t="s">
        <v>1313</v>
      </c>
      <c r="D38" s="12" t="s">
        <v>1314</v>
      </c>
      <c r="E38" s="12" t="s">
        <v>1315</v>
      </c>
      <c r="F38" s="13" t="n">
        <v>0</v>
      </c>
      <c r="G38" s="12" t="s">
        <v>1316</v>
      </c>
      <c r="H38" s="12" t="n">
        <v>0</v>
      </c>
      <c r="I38" s="12" t="s">
        <v>1317</v>
      </c>
      <c r="J38" s="12" t="s">
        <v>1236</v>
      </c>
      <c r="K38" s="12" t="s">
        <v>202</v>
      </c>
      <c r="L38" s="12" t="s">
        <v>202</v>
      </c>
      <c r="M38" s="12" t="s">
        <v>202</v>
      </c>
      <c r="N38" s="12" t="s">
        <v>202</v>
      </c>
      <c r="O38" s="12" t="s">
        <v>202</v>
      </c>
      <c r="P38" s="12" t="s">
        <v>1333</v>
      </c>
    </row>
    <row r="39" customFormat="false" ht="15" hidden="false" customHeight="false" outlineLevel="0" collapsed="false">
      <c r="A39" s="12" t="s">
        <v>1334</v>
      </c>
      <c r="B39" s="12" t="s">
        <v>846</v>
      </c>
      <c r="C39" s="12" t="s">
        <v>267</v>
      </c>
      <c r="D39" s="12" t="s">
        <v>41</v>
      </c>
      <c r="E39" s="12" t="s">
        <v>1239</v>
      </c>
      <c r="F39" s="13" t="n">
        <v>5</v>
      </c>
      <c r="G39" s="12" t="s">
        <v>1270</v>
      </c>
      <c r="H39" s="12" t="n">
        <v>1</v>
      </c>
      <c r="I39" s="12" t="n">
        <v>1</v>
      </c>
      <c r="J39" s="12" t="s">
        <v>1271</v>
      </c>
      <c r="K39" s="12" t="s">
        <v>202</v>
      </c>
      <c r="L39" s="12" t="s">
        <v>202</v>
      </c>
      <c r="M39" s="12" t="s">
        <v>202</v>
      </c>
      <c r="N39" s="12" t="s">
        <v>202</v>
      </c>
      <c r="O39" s="12" t="s">
        <v>202</v>
      </c>
      <c r="P39" s="12" t="s">
        <v>1335</v>
      </c>
    </row>
    <row r="40" customFormat="false" ht="15" hidden="false" customHeight="false" outlineLevel="0" collapsed="false">
      <c r="A40" s="12" t="s">
        <v>1336</v>
      </c>
      <c r="B40" s="12" t="s">
        <v>846</v>
      </c>
      <c r="C40" s="12" t="s">
        <v>351</v>
      </c>
      <c r="D40" s="12" t="s">
        <v>41</v>
      </c>
      <c r="E40" s="12" t="s">
        <v>1239</v>
      </c>
      <c r="F40" s="13" t="n">
        <v>2</v>
      </c>
      <c r="G40" s="12" t="s">
        <v>1240</v>
      </c>
      <c r="H40" s="12" t="n">
        <v>0</v>
      </c>
      <c r="I40" s="12" t="n">
        <v>1</v>
      </c>
      <c r="J40" s="12" t="s">
        <v>1236</v>
      </c>
      <c r="K40" s="12" t="s">
        <v>202</v>
      </c>
      <c r="L40" s="12" t="s">
        <v>202</v>
      </c>
      <c r="M40" s="12" t="s">
        <v>202</v>
      </c>
      <c r="N40" s="12" t="s">
        <v>202</v>
      </c>
      <c r="O40" s="12" t="s">
        <v>202</v>
      </c>
      <c r="P40" s="12" t="s">
        <v>1337</v>
      </c>
    </row>
    <row r="41" customFormat="false" ht="15" hidden="false" customHeight="false" outlineLevel="0" collapsed="false">
      <c r="A41" s="12" t="s">
        <v>1338</v>
      </c>
      <c r="B41" s="12" t="s">
        <v>846</v>
      </c>
      <c r="C41" s="12" t="s">
        <v>296</v>
      </c>
      <c r="D41" s="12" t="s">
        <v>41</v>
      </c>
      <c r="E41" s="12" t="s">
        <v>1239</v>
      </c>
      <c r="F41" s="13" t="n">
        <v>-6</v>
      </c>
      <c r="G41" s="12" t="s">
        <v>1240</v>
      </c>
      <c r="H41" s="12" t="n">
        <v>0</v>
      </c>
      <c r="I41" s="12" t="n">
        <v>1</v>
      </c>
      <c r="J41" s="12" t="s">
        <v>1236</v>
      </c>
      <c r="K41" s="12" t="s">
        <v>202</v>
      </c>
      <c r="L41" s="12" t="s">
        <v>202</v>
      </c>
      <c r="M41" s="12" t="s">
        <v>202</v>
      </c>
      <c r="N41" s="12" t="s">
        <v>202</v>
      </c>
      <c r="O41" s="12" t="s">
        <v>202</v>
      </c>
      <c r="P41" s="12" t="s">
        <v>1339</v>
      </c>
    </row>
    <row r="42" customFormat="false" ht="15" hidden="false" customHeight="false" outlineLevel="0" collapsed="false">
      <c r="A42" s="12" t="s">
        <v>1340</v>
      </c>
      <c r="B42" s="12" t="s">
        <v>846</v>
      </c>
      <c r="C42" s="12" t="s">
        <v>235</v>
      </c>
      <c r="D42" s="12" t="s">
        <v>41</v>
      </c>
      <c r="E42" s="12" t="s">
        <v>1239</v>
      </c>
      <c r="F42" s="13" t="n">
        <v>6</v>
      </c>
      <c r="G42" s="12" t="s">
        <v>1240</v>
      </c>
      <c r="H42" s="12" t="n">
        <v>0</v>
      </c>
      <c r="I42" s="12" t="n">
        <v>1</v>
      </c>
      <c r="J42" s="12" t="s">
        <v>1243</v>
      </c>
      <c r="K42" s="12" t="s">
        <v>1341</v>
      </c>
      <c r="L42" s="12" t="s">
        <v>1245</v>
      </c>
      <c r="M42" s="12" t="s">
        <v>202</v>
      </c>
      <c r="N42" s="12" t="s">
        <v>202</v>
      </c>
      <c r="O42" s="12" t="s">
        <v>202</v>
      </c>
      <c r="P42" s="12" t="s">
        <v>1342</v>
      </c>
    </row>
    <row r="43" customFormat="false" ht="15" hidden="false" customHeight="false" outlineLevel="0" collapsed="false">
      <c r="A43" s="12" t="s">
        <v>1343</v>
      </c>
      <c r="B43" s="12" t="s">
        <v>846</v>
      </c>
      <c r="C43" s="12" t="s">
        <v>235</v>
      </c>
      <c r="D43" s="12" t="s">
        <v>41</v>
      </c>
      <c r="E43" s="12" t="s">
        <v>1239</v>
      </c>
      <c r="F43" s="13" t="n">
        <v>2</v>
      </c>
      <c r="G43" s="12" t="s">
        <v>1240</v>
      </c>
      <c r="H43" s="12" t="n">
        <v>0</v>
      </c>
      <c r="I43" s="12" t="n">
        <v>1</v>
      </c>
      <c r="J43" s="12" t="s">
        <v>1243</v>
      </c>
      <c r="K43" s="12" t="s">
        <v>1344</v>
      </c>
      <c r="L43" s="12" t="s">
        <v>1245</v>
      </c>
      <c r="M43" s="12" t="s">
        <v>202</v>
      </c>
      <c r="N43" s="12" t="s">
        <v>202</v>
      </c>
      <c r="O43" s="12" t="s">
        <v>202</v>
      </c>
      <c r="P43" s="12" t="s">
        <v>1345</v>
      </c>
    </row>
    <row r="44" customFormat="false" ht="15" hidden="false" customHeight="false" outlineLevel="0" collapsed="false">
      <c r="A44" s="12" t="s">
        <v>1346</v>
      </c>
      <c r="B44" s="12" t="s">
        <v>846</v>
      </c>
      <c r="C44" s="12" t="s">
        <v>296</v>
      </c>
      <c r="D44" s="12" t="s">
        <v>41</v>
      </c>
      <c r="E44" s="12" t="s">
        <v>1239</v>
      </c>
      <c r="F44" s="13" t="n">
        <v>3</v>
      </c>
      <c r="G44" s="12" t="s">
        <v>1240</v>
      </c>
      <c r="H44" s="12" t="n">
        <v>0</v>
      </c>
      <c r="I44" s="12" t="n">
        <v>1</v>
      </c>
      <c r="J44" s="12" t="s">
        <v>1243</v>
      </c>
      <c r="K44" s="12" t="s">
        <v>1347</v>
      </c>
      <c r="L44" s="12" t="s">
        <v>1245</v>
      </c>
      <c r="M44" s="12" t="s">
        <v>202</v>
      </c>
      <c r="N44" s="12" t="s">
        <v>202</v>
      </c>
      <c r="O44" s="12" t="s">
        <v>202</v>
      </c>
      <c r="P44" s="12" t="s">
        <v>1348</v>
      </c>
    </row>
    <row r="45" customFormat="false" ht="15" hidden="false" customHeight="false" outlineLevel="0" collapsed="false">
      <c r="A45" s="12" t="s">
        <v>1349</v>
      </c>
      <c r="B45" s="12" t="s">
        <v>855</v>
      </c>
      <c r="C45" s="12" t="s">
        <v>235</v>
      </c>
      <c r="D45" s="12" t="s">
        <v>41</v>
      </c>
      <c r="E45" s="12" t="s">
        <v>1234</v>
      </c>
      <c r="F45" s="13" t="n">
        <v>-5</v>
      </c>
      <c r="G45" s="12" t="s">
        <v>1235</v>
      </c>
      <c r="H45" s="12" t="n">
        <v>0</v>
      </c>
      <c r="I45" s="12" t="n">
        <v>2</v>
      </c>
      <c r="J45" s="12" t="s">
        <v>1236</v>
      </c>
      <c r="K45" s="12" t="s">
        <v>202</v>
      </c>
      <c r="L45" s="12" t="s">
        <v>202</v>
      </c>
      <c r="M45" s="12" t="s">
        <v>202</v>
      </c>
      <c r="N45" s="12" t="s">
        <v>202</v>
      </c>
      <c r="O45" s="12" t="s">
        <v>202</v>
      </c>
      <c r="P45" s="12" t="s">
        <v>1350</v>
      </c>
    </row>
    <row r="46" customFormat="false" ht="15" hidden="false" customHeight="false" outlineLevel="0" collapsed="false">
      <c r="A46" s="12" t="s">
        <v>1351</v>
      </c>
      <c r="B46" s="12" t="s">
        <v>855</v>
      </c>
      <c r="C46" s="12" t="s">
        <v>258</v>
      </c>
      <c r="D46" s="12" t="s">
        <v>41</v>
      </c>
      <c r="E46" s="12" t="s">
        <v>1234</v>
      </c>
      <c r="F46" s="13" t="n">
        <v>2</v>
      </c>
      <c r="G46" s="12" t="s">
        <v>1235</v>
      </c>
      <c r="H46" s="12" t="n">
        <v>0</v>
      </c>
      <c r="I46" s="12" t="n">
        <v>2</v>
      </c>
      <c r="J46" s="12" t="s">
        <v>1236</v>
      </c>
      <c r="K46" s="12" t="s">
        <v>202</v>
      </c>
      <c r="L46" s="12" t="s">
        <v>202</v>
      </c>
      <c r="M46" s="12" t="s">
        <v>202</v>
      </c>
      <c r="N46" s="12" t="s">
        <v>202</v>
      </c>
      <c r="O46" s="12" t="s">
        <v>202</v>
      </c>
      <c r="P46" s="12" t="s">
        <v>1352</v>
      </c>
    </row>
    <row r="47" customFormat="false" ht="15" hidden="false" customHeight="false" outlineLevel="0" collapsed="false">
      <c r="A47" s="12" t="s">
        <v>1353</v>
      </c>
      <c r="B47" s="12" t="s">
        <v>855</v>
      </c>
      <c r="C47" s="12" t="s">
        <v>235</v>
      </c>
      <c r="D47" s="12" t="s">
        <v>41</v>
      </c>
      <c r="E47" s="12" t="s">
        <v>1239</v>
      </c>
      <c r="F47" s="13" t="n">
        <v>2</v>
      </c>
      <c r="G47" s="12" t="s">
        <v>1354</v>
      </c>
      <c r="H47" s="12" t="n">
        <v>3</v>
      </c>
      <c r="I47" s="12" t="n">
        <v>1</v>
      </c>
      <c r="J47" s="12" t="s">
        <v>1271</v>
      </c>
      <c r="K47" s="12" t="s">
        <v>202</v>
      </c>
      <c r="L47" s="12" t="s">
        <v>202</v>
      </c>
      <c r="M47" s="12" t="s">
        <v>202</v>
      </c>
      <c r="N47" s="12" t="s">
        <v>202</v>
      </c>
      <c r="O47" s="12" t="s">
        <v>202</v>
      </c>
      <c r="P47" s="12" t="s">
        <v>1355</v>
      </c>
    </row>
    <row r="48" customFormat="false" ht="15" hidden="false" customHeight="false" outlineLevel="0" collapsed="false">
      <c r="A48" s="12" t="s">
        <v>1356</v>
      </c>
      <c r="B48" s="12" t="s">
        <v>855</v>
      </c>
      <c r="C48" s="12" t="s">
        <v>267</v>
      </c>
      <c r="D48" s="12" t="s">
        <v>41</v>
      </c>
      <c r="E48" s="12" t="s">
        <v>1239</v>
      </c>
      <c r="F48" s="13" t="n">
        <v>-2</v>
      </c>
      <c r="G48" s="12" t="s">
        <v>1240</v>
      </c>
      <c r="H48" s="12" t="n">
        <v>0</v>
      </c>
      <c r="I48" s="12" t="n">
        <v>1</v>
      </c>
      <c r="J48" s="12" t="s">
        <v>1236</v>
      </c>
      <c r="K48" s="12" t="s">
        <v>202</v>
      </c>
      <c r="L48" s="12" t="s">
        <v>202</v>
      </c>
      <c r="M48" s="12" t="s">
        <v>202</v>
      </c>
      <c r="N48" s="12" t="s">
        <v>202</v>
      </c>
      <c r="O48" s="12" t="s">
        <v>202</v>
      </c>
      <c r="P48" s="12" t="s">
        <v>1357</v>
      </c>
    </row>
    <row r="49" customFormat="false" ht="15" hidden="false" customHeight="false" outlineLevel="0" collapsed="false">
      <c r="A49" s="12" t="s">
        <v>1358</v>
      </c>
      <c r="B49" s="12" t="s">
        <v>855</v>
      </c>
      <c r="C49" s="12" t="s">
        <v>235</v>
      </c>
      <c r="D49" s="12" t="s">
        <v>41</v>
      </c>
      <c r="E49" s="12" t="s">
        <v>1234</v>
      </c>
      <c r="F49" s="13" t="n">
        <v>2</v>
      </c>
      <c r="G49" s="12" t="s">
        <v>1235</v>
      </c>
      <c r="H49" s="12" t="n">
        <v>0</v>
      </c>
      <c r="I49" s="12" t="n">
        <v>2</v>
      </c>
      <c r="J49" s="12" t="s">
        <v>1243</v>
      </c>
      <c r="K49" s="12" t="s">
        <v>1248</v>
      </c>
      <c r="L49" s="12" t="s">
        <v>1245</v>
      </c>
      <c r="M49" s="12" t="s">
        <v>202</v>
      </c>
      <c r="N49" s="12" t="s">
        <v>202</v>
      </c>
      <c r="O49" s="12" t="s">
        <v>202</v>
      </c>
      <c r="P49" s="12" t="s">
        <v>1359</v>
      </c>
    </row>
    <row r="50" customFormat="false" ht="15" hidden="false" customHeight="false" outlineLevel="0" collapsed="false">
      <c r="A50" s="12" t="s">
        <v>1360</v>
      </c>
      <c r="B50" s="12" t="s">
        <v>855</v>
      </c>
      <c r="C50" s="12" t="s">
        <v>248</v>
      </c>
      <c r="D50" s="12" t="s">
        <v>41</v>
      </c>
      <c r="E50" s="12" t="s">
        <v>1239</v>
      </c>
      <c r="F50" s="13" t="n">
        <v>-3</v>
      </c>
      <c r="G50" s="12" t="s">
        <v>1240</v>
      </c>
      <c r="H50" s="12" t="n">
        <v>0</v>
      </c>
      <c r="I50" s="12" t="n">
        <v>1</v>
      </c>
      <c r="J50" s="12" t="s">
        <v>1254</v>
      </c>
      <c r="K50" s="12" t="s">
        <v>202</v>
      </c>
      <c r="L50" s="12" t="s">
        <v>1245</v>
      </c>
      <c r="M50" s="12" t="s">
        <v>1361</v>
      </c>
      <c r="N50" s="12" t="n">
        <v>6</v>
      </c>
      <c r="O50" s="12" t="s">
        <v>202</v>
      </c>
      <c r="P50" s="12" t="s">
        <v>1362</v>
      </c>
    </row>
    <row r="51" customFormat="false" ht="15" hidden="false" customHeight="false" outlineLevel="0" collapsed="false">
      <c r="A51" s="12" t="s">
        <v>1363</v>
      </c>
      <c r="B51" s="12" t="s">
        <v>855</v>
      </c>
      <c r="C51" s="12" t="s">
        <v>235</v>
      </c>
      <c r="D51" s="12" t="s">
        <v>41</v>
      </c>
      <c r="E51" s="12" t="s">
        <v>1239</v>
      </c>
      <c r="F51" s="13" t="n">
        <v>3</v>
      </c>
      <c r="G51" s="12" t="s">
        <v>1274</v>
      </c>
      <c r="H51" s="12" t="n">
        <v>2</v>
      </c>
      <c r="I51" s="12" t="n">
        <v>1</v>
      </c>
      <c r="J51" s="12" t="s">
        <v>1254</v>
      </c>
      <c r="K51" s="12" t="s">
        <v>202</v>
      </c>
      <c r="L51" s="12" t="s">
        <v>1245</v>
      </c>
      <c r="M51" s="12" t="s">
        <v>1361</v>
      </c>
      <c r="N51" s="12" t="n">
        <v>6</v>
      </c>
      <c r="O51" s="12" t="s">
        <v>202</v>
      </c>
      <c r="P51" s="12" t="s">
        <v>1364</v>
      </c>
    </row>
    <row r="52" customFormat="false" ht="15" hidden="false" customHeight="false" outlineLevel="0" collapsed="false">
      <c r="A52" s="12" t="s">
        <v>1365</v>
      </c>
      <c r="B52" s="12" t="s">
        <v>861</v>
      </c>
      <c r="C52" s="12" t="s">
        <v>388</v>
      </c>
      <c r="D52" s="12" t="s">
        <v>385</v>
      </c>
      <c r="E52" s="12" t="s">
        <v>1239</v>
      </c>
      <c r="F52" s="13" t="n">
        <v>-120</v>
      </c>
      <c r="G52" s="12" t="s">
        <v>1240</v>
      </c>
      <c r="H52" s="12" t="n">
        <v>0</v>
      </c>
      <c r="I52" s="12" t="n">
        <v>1</v>
      </c>
      <c r="J52" s="12" t="s">
        <v>1236</v>
      </c>
      <c r="K52" s="12" t="s">
        <v>202</v>
      </c>
      <c r="L52" s="12" t="s">
        <v>202</v>
      </c>
      <c r="M52" s="12" t="s">
        <v>202</v>
      </c>
      <c r="N52" s="12" t="s">
        <v>202</v>
      </c>
      <c r="O52" s="12" t="s">
        <v>202</v>
      </c>
      <c r="P52" s="12" t="s">
        <v>1366</v>
      </c>
    </row>
    <row r="53" customFormat="false" ht="15" hidden="false" customHeight="false" outlineLevel="0" collapsed="false">
      <c r="A53" s="12" t="s">
        <v>1367</v>
      </c>
      <c r="B53" s="12" t="s">
        <v>861</v>
      </c>
      <c r="C53" s="12" t="s">
        <v>325</v>
      </c>
      <c r="D53" s="12" t="s">
        <v>41</v>
      </c>
      <c r="E53" s="12" t="s">
        <v>1239</v>
      </c>
      <c r="F53" s="13" t="n">
        <v>-3</v>
      </c>
      <c r="G53" s="12" t="s">
        <v>1240</v>
      </c>
      <c r="H53" s="12" t="n">
        <v>0</v>
      </c>
      <c r="I53" s="12" t="n">
        <v>1</v>
      </c>
      <c r="J53" s="12" t="s">
        <v>1236</v>
      </c>
      <c r="K53" s="12" t="s">
        <v>202</v>
      </c>
      <c r="L53" s="12" t="s">
        <v>202</v>
      </c>
      <c r="M53" s="12" t="s">
        <v>202</v>
      </c>
      <c r="N53" s="12" t="s">
        <v>202</v>
      </c>
      <c r="O53" s="12" t="s">
        <v>202</v>
      </c>
      <c r="P53" s="12" t="s">
        <v>1368</v>
      </c>
    </row>
    <row r="54" customFormat="false" ht="15" hidden="false" customHeight="false" outlineLevel="0" collapsed="false">
      <c r="A54" s="12" t="s">
        <v>1369</v>
      </c>
      <c r="B54" s="12" t="s">
        <v>861</v>
      </c>
      <c r="C54" s="12" t="s">
        <v>305</v>
      </c>
      <c r="D54" s="12" t="s">
        <v>41</v>
      </c>
      <c r="E54" s="12" t="s">
        <v>1239</v>
      </c>
      <c r="F54" s="13" t="n">
        <v>-1</v>
      </c>
      <c r="G54" s="12" t="s">
        <v>1274</v>
      </c>
      <c r="H54" s="12" t="n">
        <v>2</v>
      </c>
      <c r="I54" s="12" t="n">
        <v>1</v>
      </c>
      <c r="J54" s="12" t="s">
        <v>1271</v>
      </c>
      <c r="K54" s="12" t="s">
        <v>202</v>
      </c>
      <c r="L54" s="12" t="s">
        <v>202</v>
      </c>
      <c r="M54" s="12" t="s">
        <v>202</v>
      </c>
      <c r="N54" s="12" t="s">
        <v>202</v>
      </c>
      <c r="O54" s="12" t="s">
        <v>202</v>
      </c>
      <c r="P54" s="12" t="s">
        <v>1370</v>
      </c>
    </row>
    <row r="55" customFormat="false" ht="15" hidden="false" customHeight="false" outlineLevel="0" collapsed="false">
      <c r="A55" s="12" t="s">
        <v>1371</v>
      </c>
      <c r="B55" s="12" t="s">
        <v>861</v>
      </c>
      <c r="C55" s="12" t="s">
        <v>248</v>
      </c>
      <c r="D55" s="12" t="s">
        <v>41</v>
      </c>
      <c r="E55" s="12" t="s">
        <v>1234</v>
      </c>
      <c r="F55" s="13" t="n">
        <v>-3</v>
      </c>
      <c r="G55" s="12" t="s">
        <v>1235</v>
      </c>
      <c r="H55" s="12" t="n">
        <v>0</v>
      </c>
      <c r="I55" s="12" t="n">
        <v>2</v>
      </c>
      <c r="J55" s="12" t="s">
        <v>1236</v>
      </c>
      <c r="K55" s="12" t="s">
        <v>202</v>
      </c>
      <c r="L55" s="12" t="s">
        <v>202</v>
      </c>
      <c r="M55" s="12" t="s">
        <v>202</v>
      </c>
      <c r="N55" s="12" t="s">
        <v>202</v>
      </c>
      <c r="O55" s="12" t="s">
        <v>202</v>
      </c>
      <c r="P55" s="12" t="s">
        <v>1372</v>
      </c>
    </row>
    <row r="56" customFormat="false" ht="15" hidden="false" customHeight="false" outlineLevel="0" collapsed="false">
      <c r="A56" s="12" t="s">
        <v>1373</v>
      </c>
      <c r="B56" s="12" t="s">
        <v>861</v>
      </c>
      <c r="C56" s="12" t="s">
        <v>402</v>
      </c>
      <c r="D56" s="12" t="s">
        <v>420</v>
      </c>
      <c r="E56" s="12" t="s">
        <v>1239</v>
      </c>
      <c r="F56" s="13" t="n">
        <v>-2</v>
      </c>
      <c r="G56" s="12" t="s">
        <v>1240</v>
      </c>
      <c r="H56" s="12" t="n">
        <v>0</v>
      </c>
      <c r="I56" s="12" t="n">
        <v>1</v>
      </c>
      <c r="J56" s="12" t="s">
        <v>1236</v>
      </c>
      <c r="K56" s="12" t="s">
        <v>202</v>
      </c>
      <c r="L56" s="12" t="s">
        <v>202</v>
      </c>
      <c r="M56" s="12" t="s">
        <v>202</v>
      </c>
      <c r="N56" s="12" t="s">
        <v>202</v>
      </c>
      <c r="O56" s="12" t="s">
        <v>1277</v>
      </c>
      <c r="P56" s="12" t="s">
        <v>1374</v>
      </c>
    </row>
    <row r="57" customFormat="false" ht="15" hidden="false" customHeight="false" outlineLevel="0" collapsed="false">
      <c r="A57" s="12" t="s">
        <v>1375</v>
      </c>
      <c r="B57" s="12" t="s">
        <v>861</v>
      </c>
      <c r="C57" s="12" t="s">
        <v>370</v>
      </c>
      <c r="D57" s="12" t="s">
        <v>41</v>
      </c>
      <c r="E57" s="12" t="s">
        <v>1239</v>
      </c>
      <c r="F57" s="13" t="n">
        <v>4</v>
      </c>
      <c r="G57" s="12" t="s">
        <v>1240</v>
      </c>
      <c r="H57" s="12" t="n">
        <v>0</v>
      </c>
      <c r="I57" s="12" t="n">
        <v>1</v>
      </c>
      <c r="J57" s="12" t="s">
        <v>1243</v>
      </c>
      <c r="K57" s="12" t="s">
        <v>1376</v>
      </c>
      <c r="L57" s="12" t="s">
        <v>1245</v>
      </c>
      <c r="M57" s="12" t="s">
        <v>202</v>
      </c>
      <c r="N57" s="12" t="s">
        <v>202</v>
      </c>
      <c r="O57" s="12" t="s">
        <v>202</v>
      </c>
      <c r="P57" s="12" t="s">
        <v>1377</v>
      </c>
    </row>
    <row r="58" customFormat="false" ht="15" hidden="false" customHeight="false" outlineLevel="0" collapsed="false">
      <c r="A58" s="12" t="s">
        <v>1378</v>
      </c>
      <c r="B58" s="12" t="s">
        <v>861</v>
      </c>
      <c r="C58" s="12" t="s">
        <v>325</v>
      </c>
      <c r="D58" s="12" t="s">
        <v>41</v>
      </c>
      <c r="E58" s="12" t="s">
        <v>1239</v>
      </c>
      <c r="F58" s="13" t="n">
        <v>-3</v>
      </c>
      <c r="G58" s="12" t="s">
        <v>1240</v>
      </c>
      <c r="H58" s="12" t="n">
        <v>0</v>
      </c>
      <c r="I58" s="12" t="n">
        <v>1</v>
      </c>
      <c r="J58" s="12" t="s">
        <v>1254</v>
      </c>
      <c r="K58" s="12" t="s">
        <v>202</v>
      </c>
      <c r="L58" s="12" t="s">
        <v>1245</v>
      </c>
      <c r="M58" s="12" t="s">
        <v>1379</v>
      </c>
      <c r="N58" s="12" t="n">
        <v>6</v>
      </c>
      <c r="O58" s="12" t="s">
        <v>202</v>
      </c>
      <c r="P58" s="12" t="s">
        <v>1380</v>
      </c>
    </row>
    <row r="59" customFormat="false" ht="15" hidden="false" customHeight="false" outlineLevel="0" collapsed="false">
      <c r="A59" s="12" t="s">
        <v>1381</v>
      </c>
      <c r="B59" s="12" t="s">
        <v>861</v>
      </c>
      <c r="C59" s="12" t="s">
        <v>370</v>
      </c>
      <c r="D59" s="12" t="s">
        <v>41</v>
      </c>
      <c r="E59" s="12" t="s">
        <v>1239</v>
      </c>
      <c r="F59" s="13" t="n">
        <v>5</v>
      </c>
      <c r="G59" s="12" t="s">
        <v>1240</v>
      </c>
      <c r="H59" s="12" t="n">
        <v>0</v>
      </c>
      <c r="I59" s="12" t="n">
        <v>1</v>
      </c>
      <c r="J59" s="12" t="s">
        <v>1254</v>
      </c>
      <c r="K59" s="12" t="s">
        <v>202</v>
      </c>
      <c r="L59" s="12" t="s">
        <v>1245</v>
      </c>
      <c r="M59" s="12" t="s">
        <v>1379</v>
      </c>
      <c r="N59" s="12" t="n">
        <v>6</v>
      </c>
      <c r="O59" s="12" t="s">
        <v>202</v>
      </c>
      <c r="P59" s="12" t="s">
        <v>1380</v>
      </c>
    </row>
    <row r="60" customFormat="false" ht="15" hidden="false" customHeight="false" outlineLevel="0" collapsed="false">
      <c r="A60" s="12" t="s">
        <v>1382</v>
      </c>
      <c r="B60" s="12" t="s">
        <v>867</v>
      </c>
      <c r="C60" s="12" t="s">
        <v>388</v>
      </c>
      <c r="D60" s="12" t="s">
        <v>385</v>
      </c>
      <c r="E60" s="12" t="s">
        <v>1239</v>
      </c>
      <c r="F60" s="13" t="n">
        <v>-60</v>
      </c>
      <c r="G60" s="12" t="s">
        <v>1240</v>
      </c>
      <c r="H60" s="12" t="n">
        <v>0</v>
      </c>
      <c r="I60" s="12" t="n">
        <v>1</v>
      </c>
      <c r="J60" s="12" t="s">
        <v>1236</v>
      </c>
      <c r="K60" s="12" t="s">
        <v>202</v>
      </c>
      <c r="L60" s="12" t="s">
        <v>202</v>
      </c>
      <c r="M60" s="12" t="s">
        <v>202</v>
      </c>
      <c r="N60" s="12" t="s">
        <v>202</v>
      </c>
      <c r="O60" s="12" t="s">
        <v>202</v>
      </c>
      <c r="P60" s="12" t="s">
        <v>1383</v>
      </c>
    </row>
    <row r="61" customFormat="false" ht="15" hidden="false" customHeight="false" outlineLevel="0" collapsed="false">
      <c r="A61" s="12" t="s">
        <v>1384</v>
      </c>
      <c r="B61" s="12" t="s">
        <v>867</v>
      </c>
      <c r="C61" s="12" t="s">
        <v>267</v>
      </c>
      <c r="D61" s="12" t="s">
        <v>41</v>
      </c>
      <c r="E61" s="12" t="s">
        <v>1239</v>
      </c>
      <c r="F61" s="13" t="n">
        <v>3</v>
      </c>
      <c r="G61" s="12" t="s">
        <v>1270</v>
      </c>
      <c r="H61" s="12" t="n">
        <v>1</v>
      </c>
      <c r="I61" s="12" t="n">
        <v>1</v>
      </c>
      <c r="J61" s="12" t="s">
        <v>1271</v>
      </c>
      <c r="K61" s="12" t="s">
        <v>202</v>
      </c>
      <c r="L61" s="12" t="s">
        <v>202</v>
      </c>
      <c r="M61" s="12" t="s">
        <v>202</v>
      </c>
      <c r="N61" s="12" t="s">
        <v>202</v>
      </c>
      <c r="O61" s="12" t="s">
        <v>202</v>
      </c>
      <c r="P61" s="12" t="s">
        <v>1385</v>
      </c>
    </row>
    <row r="62" customFormat="false" ht="15" hidden="false" customHeight="false" outlineLevel="0" collapsed="false">
      <c r="A62" s="12" t="s">
        <v>1386</v>
      </c>
      <c r="B62" s="12" t="s">
        <v>867</v>
      </c>
      <c r="C62" s="12" t="s">
        <v>305</v>
      </c>
      <c r="D62" s="12" t="s">
        <v>41</v>
      </c>
      <c r="E62" s="12" t="s">
        <v>1239</v>
      </c>
      <c r="F62" s="13" t="n">
        <v>2</v>
      </c>
      <c r="G62" s="12" t="s">
        <v>1354</v>
      </c>
      <c r="H62" s="12" t="n">
        <v>3</v>
      </c>
      <c r="I62" s="12" t="n">
        <v>1</v>
      </c>
      <c r="J62" s="12" t="s">
        <v>1271</v>
      </c>
      <c r="K62" s="12" t="s">
        <v>202</v>
      </c>
      <c r="L62" s="12" t="s">
        <v>202</v>
      </c>
      <c r="M62" s="12" t="s">
        <v>202</v>
      </c>
      <c r="N62" s="12" t="s">
        <v>202</v>
      </c>
      <c r="O62" s="12" t="s">
        <v>202</v>
      </c>
      <c r="P62" s="12" t="s">
        <v>1387</v>
      </c>
    </row>
    <row r="63" customFormat="false" ht="15" hidden="false" customHeight="false" outlineLevel="0" collapsed="false">
      <c r="A63" s="12" t="s">
        <v>1388</v>
      </c>
      <c r="B63" s="12" t="s">
        <v>867</v>
      </c>
      <c r="C63" s="12" t="s">
        <v>258</v>
      </c>
      <c r="D63" s="12" t="s">
        <v>41</v>
      </c>
      <c r="E63" s="12" t="s">
        <v>1239</v>
      </c>
      <c r="F63" s="13" t="n">
        <v>-1</v>
      </c>
      <c r="G63" s="12" t="s">
        <v>1274</v>
      </c>
      <c r="H63" s="12" t="n">
        <v>2</v>
      </c>
      <c r="I63" s="12" t="n">
        <v>1</v>
      </c>
      <c r="J63" s="12" t="s">
        <v>1271</v>
      </c>
      <c r="K63" s="12" t="s">
        <v>202</v>
      </c>
      <c r="L63" s="12" t="s">
        <v>202</v>
      </c>
      <c r="M63" s="12" t="s">
        <v>202</v>
      </c>
      <c r="N63" s="12" t="s">
        <v>202</v>
      </c>
      <c r="O63" s="12" t="s">
        <v>202</v>
      </c>
      <c r="P63" s="12" t="s">
        <v>1389</v>
      </c>
    </row>
    <row r="64" customFormat="false" ht="15" hidden="false" customHeight="false" outlineLevel="0" collapsed="false">
      <c r="A64" s="12" t="s">
        <v>1390</v>
      </c>
      <c r="B64" s="12" t="s">
        <v>867</v>
      </c>
      <c r="C64" s="12" t="s">
        <v>370</v>
      </c>
      <c r="D64" s="12" t="s">
        <v>41</v>
      </c>
      <c r="E64" s="12" t="s">
        <v>1239</v>
      </c>
      <c r="F64" s="13" t="n">
        <v>4</v>
      </c>
      <c r="G64" s="12" t="s">
        <v>1240</v>
      </c>
      <c r="H64" s="12" t="n">
        <v>0</v>
      </c>
      <c r="I64" s="12" t="n">
        <v>1</v>
      </c>
      <c r="J64" s="12" t="s">
        <v>1236</v>
      </c>
      <c r="K64" s="12" t="s">
        <v>202</v>
      </c>
      <c r="L64" s="12" t="s">
        <v>202</v>
      </c>
      <c r="M64" s="12" t="s">
        <v>202</v>
      </c>
      <c r="N64" s="12" t="s">
        <v>202</v>
      </c>
      <c r="O64" s="12" t="s">
        <v>202</v>
      </c>
      <c r="P64" s="12" t="s">
        <v>1391</v>
      </c>
    </row>
    <row r="65" customFormat="false" ht="15" hidden="false" customHeight="false" outlineLevel="0" collapsed="false">
      <c r="A65" s="12" t="s">
        <v>1392</v>
      </c>
      <c r="B65" s="12" t="s">
        <v>867</v>
      </c>
      <c r="C65" s="12" t="s">
        <v>248</v>
      </c>
      <c r="D65" s="12" t="s">
        <v>41</v>
      </c>
      <c r="E65" s="12" t="s">
        <v>1239</v>
      </c>
      <c r="F65" s="13" t="n">
        <v>-1</v>
      </c>
      <c r="G65" s="12" t="s">
        <v>1240</v>
      </c>
      <c r="H65" s="12" t="n">
        <v>0</v>
      </c>
      <c r="I65" s="12" t="n">
        <v>1</v>
      </c>
      <c r="J65" s="12" t="s">
        <v>1236</v>
      </c>
      <c r="K65" s="12" t="s">
        <v>202</v>
      </c>
      <c r="L65" s="12" t="s">
        <v>202</v>
      </c>
      <c r="M65" s="12" t="s">
        <v>202</v>
      </c>
      <c r="N65" s="12" t="s">
        <v>202</v>
      </c>
      <c r="O65" s="12" t="s">
        <v>202</v>
      </c>
      <c r="P65" s="12" t="s">
        <v>1393</v>
      </c>
    </row>
    <row r="66" customFormat="false" ht="15" hidden="false" customHeight="false" outlineLevel="0" collapsed="false">
      <c r="A66" s="12" t="s">
        <v>1394</v>
      </c>
      <c r="B66" s="12" t="s">
        <v>867</v>
      </c>
      <c r="C66" s="12" t="s">
        <v>383</v>
      </c>
      <c r="D66" s="12" t="s">
        <v>385</v>
      </c>
      <c r="E66" s="12" t="s">
        <v>1239</v>
      </c>
      <c r="F66" s="13" t="n">
        <v>-200</v>
      </c>
      <c r="G66" s="12" t="s">
        <v>1240</v>
      </c>
      <c r="H66" s="12" t="n">
        <v>0</v>
      </c>
      <c r="I66" s="12" t="n">
        <v>1</v>
      </c>
      <c r="J66" s="12" t="s">
        <v>1254</v>
      </c>
      <c r="K66" s="12" t="s">
        <v>202</v>
      </c>
      <c r="L66" s="12" t="s">
        <v>1245</v>
      </c>
      <c r="M66" s="12" t="s">
        <v>1395</v>
      </c>
      <c r="N66" s="12" t="n">
        <v>16</v>
      </c>
      <c r="O66" s="12" t="s">
        <v>202</v>
      </c>
      <c r="P66" s="12" t="s">
        <v>1396</v>
      </c>
    </row>
    <row r="67" customFormat="false" ht="15" hidden="false" customHeight="false" outlineLevel="0" collapsed="false">
      <c r="A67" s="12" t="s">
        <v>1397</v>
      </c>
      <c r="B67" s="12" t="s">
        <v>875</v>
      </c>
      <c r="C67" s="12" t="s">
        <v>392</v>
      </c>
      <c r="D67" s="12" t="s">
        <v>385</v>
      </c>
      <c r="E67" s="12" t="s">
        <v>1239</v>
      </c>
      <c r="F67" s="13" t="n">
        <v>800</v>
      </c>
      <c r="G67" s="12" t="s">
        <v>1240</v>
      </c>
      <c r="H67" s="12" t="n">
        <v>0</v>
      </c>
      <c r="I67" s="12" t="n">
        <v>1</v>
      </c>
      <c r="J67" s="12" t="s">
        <v>1236</v>
      </c>
      <c r="K67" s="12" t="s">
        <v>202</v>
      </c>
      <c r="L67" s="12" t="s">
        <v>202</v>
      </c>
      <c r="M67" s="12" t="s">
        <v>202</v>
      </c>
      <c r="N67" s="12" t="s">
        <v>202</v>
      </c>
      <c r="O67" s="12" t="s">
        <v>202</v>
      </c>
      <c r="P67" s="12" t="s">
        <v>1398</v>
      </c>
    </row>
    <row r="68" customFormat="false" ht="15" hidden="false" customHeight="false" outlineLevel="0" collapsed="false">
      <c r="A68" s="12" t="s">
        <v>1399</v>
      </c>
      <c r="B68" s="12" t="s">
        <v>875</v>
      </c>
      <c r="C68" s="12" t="s">
        <v>392</v>
      </c>
      <c r="D68" s="12" t="s">
        <v>385</v>
      </c>
      <c r="E68" s="12" t="s">
        <v>1239</v>
      </c>
      <c r="F68" s="13" t="n">
        <v>-100</v>
      </c>
      <c r="G68" s="12" t="s">
        <v>1240</v>
      </c>
      <c r="H68" s="12" t="n">
        <v>0</v>
      </c>
      <c r="I68" s="12" t="n">
        <v>1</v>
      </c>
      <c r="J68" s="12" t="s">
        <v>1243</v>
      </c>
      <c r="K68" s="12" t="s">
        <v>1400</v>
      </c>
      <c r="L68" s="12" t="s">
        <v>1245</v>
      </c>
      <c r="M68" s="12" t="s">
        <v>202</v>
      </c>
      <c r="N68" s="12" t="s">
        <v>202</v>
      </c>
      <c r="O68" s="12" t="s">
        <v>202</v>
      </c>
      <c r="P68" s="12" t="s">
        <v>1401</v>
      </c>
    </row>
    <row r="69" customFormat="false" ht="15" hidden="false" customHeight="false" outlineLevel="0" collapsed="false">
      <c r="A69" s="12" t="s">
        <v>1402</v>
      </c>
      <c r="B69" s="12" t="s">
        <v>875</v>
      </c>
      <c r="C69" s="12" t="s">
        <v>296</v>
      </c>
      <c r="D69" s="12" t="s">
        <v>41</v>
      </c>
      <c r="E69" s="12" t="s">
        <v>1239</v>
      </c>
      <c r="F69" s="13" t="n">
        <v>5</v>
      </c>
      <c r="G69" s="12" t="s">
        <v>1240</v>
      </c>
      <c r="H69" s="12" t="n">
        <v>0</v>
      </c>
      <c r="I69" s="12" t="n">
        <v>1</v>
      </c>
      <c r="J69" s="12" t="s">
        <v>1236</v>
      </c>
      <c r="K69" s="12" t="s">
        <v>202</v>
      </c>
      <c r="L69" s="12" t="s">
        <v>202</v>
      </c>
      <c r="M69" s="12" t="s">
        <v>202</v>
      </c>
      <c r="N69" s="12" t="s">
        <v>202</v>
      </c>
      <c r="O69" s="12" t="s">
        <v>202</v>
      </c>
      <c r="P69" s="12" t="s">
        <v>1403</v>
      </c>
    </row>
    <row r="70" customFormat="false" ht="15" hidden="false" customHeight="false" outlineLevel="0" collapsed="false">
      <c r="A70" s="12" t="s">
        <v>1404</v>
      </c>
      <c r="B70" s="12" t="s">
        <v>875</v>
      </c>
      <c r="C70" s="12" t="s">
        <v>286</v>
      </c>
      <c r="D70" s="12" t="s">
        <v>41</v>
      </c>
      <c r="E70" s="12" t="s">
        <v>1234</v>
      </c>
      <c r="F70" s="13" t="n">
        <v>6</v>
      </c>
      <c r="G70" s="12" t="s">
        <v>1280</v>
      </c>
      <c r="H70" s="12" t="n">
        <v>0</v>
      </c>
      <c r="I70" s="12" t="n">
        <v>3</v>
      </c>
      <c r="J70" s="12" t="s">
        <v>1236</v>
      </c>
      <c r="K70" s="12" t="s">
        <v>202</v>
      </c>
      <c r="L70" s="12" t="s">
        <v>202</v>
      </c>
      <c r="M70" s="12" t="s">
        <v>202</v>
      </c>
      <c r="N70" s="12" t="s">
        <v>202</v>
      </c>
      <c r="O70" s="12" t="s">
        <v>202</v>
      </c>
      <c r="P70" s="12" t="s">
        <v>1405</v>
      </c>
    </row>
    <row r="71" customFormat="false" ht="15" hidden="false" customHeight="false" outlineLevel="0" collapsed="false">
      <c r="A71" s="12" t="s">
        <v>1406</v>
      </c>
      <c r="B71" s="12" t="s">
        <v>875</v>
      </c>
      <c r="C71" s="12" t="s">
        <v>402</v>
      </c>
      <c r="D71" s="12" t="s">
        <v>420</v>
      </c>
      <c r="E71" s="12" t="s">
        <v>1239</v>
      </c>
      <c r="F71" s="13" t="n">
        <v>-3</v>
      </c>
      <c r="G71" s="12" t="s">
        <v>1240</v>
      </c>
      <c r="H71" s="12" t="n">
        <v>0</v>
      </c>
      <c r="I71" s="12" t="n">
        <v>1</v>
      </c>
      <c r="J71" s="12" t="s">
        <v>1236</v>
      </c>
      <c r="K71" s="12" t="s">
        <v>202</v>
      </c>
      <c r="L71" s="12" t="s">
        <v>202</v>
      </c>
      <c r="M71" s="12" t="s">
        <v>202</v>
      </c>
      <c r="N71" s="12" t="s">
        <v>202</v>
      </c>
      <c r="O71" s="12" t="s">
        <v>1277</v>
      </c>
      <c r="P71" s="12" t="s">
        <v>1407</v>
      </c>
    </row>
    <row r="72" customFormat="false" ht="15" hidden="false" customHeight="false" outlineLevel="0" collapsed="false">
      <c r="A72" s="12" t="s">
        <v>1408</v>
      </c>
      <c r="B72" s="12" t="s">
        <v>875</v>
      </c>
      <c r="C72" s="12" t="s">
        <v>1409</v>
      </c>
      <c r="D72" s="12" t="s">
        <v>1314</v>
      </c>
      <c r="E72" s="12" t="s">
        <v>1315</v>
      </c>
      <c r="F72" s="13" t="n">
        <v>1</v>
      </c>
      <c r="G72" s="12" t="s">
        <v>1410</v>
      </c>
      <c r="H72" s="12" t="n">
        <v>0</v>
      </c>
      <c r="I72" s="12" t="n">
        <v>4</v>
      </c>
      <c r="J72" s="12" t="s">
        <v>1236</v>
      </c>
      <c r="K72" s="12" t="s">
        <v>202</v>
      </c>
      <c r="L72" s="12" t="s">
        <v>202</v>
      </c>
      <c r="M72" s="12" t="s">
        <v>202</v>
      </c>
      <c r="N72" s="12" t="s">
        <v>202</v>
      </c>
      <c r="O72" s="12" t="s">
        <v>202</v>
      </c>
      <c r="P72" s="12" t="s">
        <v>1411</v>
      </c>
    </row>
    <row r="73" customFormat="false" ht="15" hidden="false" customHeight="false" outlineLevel="0" collapsed="false">
      <c r="A73" s="12" t="s">
        <v>1412</v>
      </c>
      <c r="B73" s="12" t="s">
        <v>875</v>
      </c>
      <c r="C73" s="12" t="s">
        <v>286</v>
      </c>
      <c r="D73" s="12" t="s">
        <v>41</v>
      </c>
      <c r="E73" s="12" t="s">
        <v>1234</v>
      </c>
      <c r="F73" s="13" t="n">
        <v>-8</v>
      </c>
      <c r="G73" s="12" t="s">
        <v>1413</v>
      </c>
      <c r="H73" s="12" t="n">
        <v>4</v>
      </c>
      <c r="I73" s="12" t="n">
        <v>4</v>
      </c>
      <c r="J73" s="12" t="s">
        <v>1243</v>
      </c>
      <c r="K73" s="12" t="s">
        <v>1414</v>
      </c>
      <c r="L73" s="12" t="s">
        <v>1327</v>
      </c>
      <c r="M73" s="12" t="s">
        <v>202</v>
      </c>
      <c r="N73" s="12" t="s">
        <v>202</v>
      </c>
      <c r="O73" s="12" t="s">
        <v>202</v>
      </c>
      <c r="P73" s="12" t="s">
        <v>1415</v>
      </c>
    </row>
    <row r="74" customFormat="false" ht="15" hidden="false" customHeight="false" outlineLevel="0" collapsed="false">
      <c r="A74" s="12" t="s">
        <v>1416</v>
      </c>
      <c r="B74" s="12" t="s">
        <v>875</v>
      </c>
      <c r="C74" s="12" t="s">
        <v>383</v>
      </c>
      <c r="D74" s="12" t="s">
        <v>385</v>
      </c>
      <c r="E74" s="12" t="s">
        <v>1239</v>
      </c>
      <c r="F74" s="13" t="n">
        <v>-200</v>
      </c>
      <c r="G74" s="12" t="s">
        <v>1417</v>
      </c>
      <c r="H74" s="12" t="n">
        <v>4</v>
      </c>
      <c r="I74" s="12" t="n">
        <v>1</v>
      </c>
      <c r="J74" s="12" t="s">
        <v>1243</v>
      </c>
      <c r="K74" s="12" t="s">
        <v>1414</v>
      </c>
      <c r="L74" s="12" t="s">
        <v>1327</v>
      </c>
      <c r="M74" s="12" t="s">
        <v>202</v>
      </c>
      <c r="N74" s="12" t="s">
        <v>202</v>
      </c>
      <c r="O74" s="12" t="s">
        <v>202</v>
      </c>
      <c r="P74" s="12" t="s">
        <v>1418</v>
      </c>
    </row>
    <row r="75" customFormat="false" ht="15" hidden="false" customHeight="false" outlineLevel="0" collapsed="false">
      <c r="A75" s="12" t="s">
        <v>1419</v>
      </c>
      <c r="B75" s="12" t="s">
        <v>875</v>
      </c>
      <c r="C75" s="12" t="s">
        <v>392</v>
      </c>
      <c r="D75" s="12" t="s">
        <v>385</v>
      </c>
      <c r="E75" s="12" t="s">
        <v>1239</v>
      </c>
      <c r="F75" s="13" t="n">
        <v>100</v>
      </c>
      <c r="G75" s="12" t="s">
        <v>1240</v>
      </c>
      <c r="H75" s="12" t="n">
        <v>0</v>
      </c>
      <c r="I75" s="12" t="n">
        <v>1</v>
      </c>
      <c r="J75" s="12" t="s">
        <v>1254</v>
      </c>
      <c r="K75" s="12" t="s">
        <v>202</v>
      </c>
      <c r="L75" s="12" t="s">
        <v>1245</v>
      </c>
      <c r="M75" s="12" t="s">
        <v>1420</v>
      </c>
      <c r="N75" s="12" t="n">
        <v>8</v>
      </c>
      <c r="O75" s="12" t="s">
        <v>202</v>
      </c>
      <c r="P75" s="12" t="s">
        <v>1421</v>
      </c>
    </row>
    <row r="76" customFormat="false" ht="15" hidden="false" customHeight="false" outlineLevel="0" collapsed="false">
      <c r="A76" s="12" t="s">
        <v>1422</v>
      </c>
      <c r="B76" s="12" t="s">
        <v>882</v>
      </c>
      <c r="C76" s="12" t="s">
        <v>392</v>
      </c>
      <c r="D76" s="12" t="s">
        <v>385</v>
      </c>
      <c r="E76" s="12" t="s">
        <v>1239</v>
      </c>
      <c r="F76" s="13" t="n">
        <v>550</v>
      </c>
      <c r="G76" s="12" t="s">
        <v>1240</v>
      </c>
      <c r="H76" s="12" t="n">
        <v>0</v>
      </c>
      <c r="I76" s="12" t="n">
        <v>1</v>
      </c>
      <c r="J76" s="12" t="s">
        <v>1236</v>
      </c>
      <c r="K76" s="12" t="s">
        <v>202</v>
      </c>
      <c r="L76" s="12" t="s">
        <v>202</v>
      </c>
      <c r="M76" s="12" t="s">
        <v>202</v>
      </c>
      <c r="N76" s="12" t="s">
        <v>202</v>
      </c>
      <c r="O76" s="12" t="s">
        <v>202</v>
      </c>
      <c r="P76" s="12" t="s">
        <v>1423</v>
      </c>
    </row>
    <row r="77" customFormat="false" ht="15" hidden="false" customHeight="false" outlineLevel="0" collapsed="false">
      <c r="A77" s="12" t="s">
        <v>1424</v>
      </c>
      <c r="B77" s="12" t="s">
        <v>882</v>
      </c>
      <c r="C77" s="12" t="s">
        <v>392</v>
      </c>
      <c r="D77" s="12" t="s">
        <v>385</v>
      </c>
      <c r="E77" s="12" t="s">
        <v>1239</v>
      </c>
      <c r="F77" s="13" t="n">
        <v>150</v>
      </c>
      <c r="G77" s="12" t="s">
        <v>1240</v>
      </c>
      <c r="H77" s="12" t="n">
        <v>0</v>
      </c>
      <c r="I77" s="12" t="n">
        <v>1</v>
      </c>
      <c r="J77" s="12" t="s">
        <v>1243</v>
      </c>
      <c r="K77" s="12" t="s">
        <v>1425</v>
      </c>
      <c r="L77" s="12" t="s">
        <v>1245</v>
      </c>
      <c r="M77" s="12" t="s">
        <v>202</v>
      </c>
      <c r="N77" s="12" t="s">
        <v>202</v>
      </c>
      <c r="O77" s="12" t="s">
        <v>202</v>
      </c>
      <c r="P77" s="12" t="s">
        <v>1426</v>
      </c>
    </row>
    <row r="78" customFormat="false" ht="15" hidden="false" customHeight="false" outlineLevel="0" collapsed="false">
      <c r="A78" s="12" t="s">
        <v>1427</v>
      </c>
      <c r="B78" s="12" t="s">
        <v>882</v>
      </c>
      <c r="C78" s="12" t="s">
        <v>267</v>
      </c>
      <c r="D78" s="12" t="s">
        <v>41</v>
      </c>
      <c r="E78" s="12" t="s">
        <v>1234</v>
      </c>
      <c r="F78" s="13" t="n">
        <v>-3</v>
      </c>
      <c r="G78" s="12" t="s">
        <v>1280</v>
      </c>
      <c r="H78" s="12" t="n">
        <v>0</v>
      </c>
      <c r="I78" s="12" t="n">
        <v>3</v>
      </c>
      <c r="J78" s="12" t="s">
        <v>1236</v>
      </c>
      <c r="K78" s="12" t="s">
        <v>202</v>
      </c>
      <c r="L78" s="12" t="s">
        <v>202</v>
      </c>
      <c r="M78" s="12" t="s">
        <v>202</v>
      </c>
      <c r="N78" s="12" t="s">
        <v>202</v>
      </c>
      <c r="O78" s="12" t="s">
        <v>202</v>
      </c>
      <c r="P78" s="12" t="s">
        <v>1428</v>
      </c>
    </row>
    <row r="79" customFormat="false" ht="15" hidden="false" customHeight="false" outlineLevel="0" collapsed="false">
      <c r="A79" s="12" t="s">
        <v>1429</v>
      </c>
      <c r="B79" s="12" t="s">
        <v>882</v>
      </c>
      <c r="C79" s="12" t="s">
        <v>286</v>
      </c>
      <c r="D79" s="12" t="s">
        <v>41</v>
      </c>
      <c r="E79" s="12" t="s">
        <v>1234</v>
      </c>
      <c r="F79" s="13" t="n">
        <v>-4</v>
      </c>
      <c r="G79" s="12" t="s">
        <v>1280</v>
      </c>
      <c r="H79" s="12" t="n">
        <v>0</v>
      </c>
      <c r="I79" s="12" t="n">
        <v>3</v>
      </c>
      <c r="J79" s="12" t="s">
        <v>1254</v>
      </c>
      <c r="K79" s="12" t="s">
        <v>202</v>
      </c>
      <c r="L79" s="12" t="s">
        <v>1245</v>
      </c>
      <c r="M79" s="12" t="s">
        <v>1430</v>
      </c>
      <c r="N79" s="12" t="n">
        <v>8</v>
      </c>
      <c r="O79" s="12" t="s">
        <v>202</v>
      </c>
      <c r="P79" s="12" t="s">
        <v>1431</v>
      </c>
    </row>
    <row r="80" customFormat="false" ht="15" hidden="false" customHeight="false" outlineLevel="0" collapsed="false">
      <c r="A80" s="12" t="s">
        <v>1432</v>
      </c>
      <c r="B80" s="12" t="s">
        <v>889</v>
      </c>
      <c r="C80" s="12" t="s">
        <v>396</v>
      </c>
      <c r="D80" s="12" t="s">
        <v>385</v>
      </c>
      <c r="E80" s="12" t="s">
        <v>1239</v>
      </c>
      <c r="F80" s="13" t="n">
        <v>0.04</v>
      </c>
      <c r="G80" s="12" t="s">
        <v>1274</v>
      </c>
      <c r="H80" s="12" t="n">
        <v>2</v>
      </c>
      <c r="I80" s="12" t="n">
        <v>1</v>
      </c>
      <c r="J80" s="12" t="s">
        <v>1271</v>
      </c>
      <c r="K80" s="12" t="s">
        <v>202</v>
      </c>
      <c r="L80" s="12" t="s">
        <v>202</v>
      </c>
      <c r="M80" s="12" t="s">
        <v>202</v>
      </c>
      <c r="N80" s="12" t="s">
        <v>202</v>
      </c>
      <c r="O80" s="12" t="s">
        <v>202</v>
      </c>
      <c r="P80" s="12" t="s">
        <v>1433</v>
      </c>
    </row>
    <row r="81" customFormat="false" ht="15" hidden="false" customHeight="false" outlineLevel="0" collapsed="false">
      <c r="A81" s="12" t="s">
        <v>1434</v>
      </c>
      <c r="B81" s="12" t="s">
        <v>889</v>
      </c>
      <c r="C81" s="12" t="s">
        <v>277</v>
      </c>
      <c r="D81" s="12" t="s">
        <v>41</v>
      </c>
      <c r="E81" s="12" t="s">
        <v>1239</v>
      </c>
      <c r="F81" s="13" t="n">
        <v>2</v>
      </c>
      <c r="G81" s="12" t="s">
        <v>1270</v>
      </c>
      <c r="H81" s="12" t="n">
        <v>1</v>
      </c>
      <c r="I81" s="12" t="n">
        <v>1</v>
      </c>
      <c r="J81" s="12" t="s">
        <v>1271</v>
      </c>
      <c r="K81" s="12" t="s">
        <v>202</v>
      </c>
      <c r="L81" s="12" t="s">
        <v>202</v>
      </c>
      <c r="M81" s="12" t="s">
        <v>202</v>
      </c>
      <c r="N81" s="12" t="s">
        <v>202</v>
      </c>
      <c r="O81" s="12" t="s">
        <v>202</v>
      </c>
      <c r="P81" s="12" t="s">
        <v>1435</v>
      </c>
    </row>
    <row r="82" customFormat="false" ht="15" hidden="false" customHeight="false" outlineLevel="0" collapsed="false">
      <c r="A82" s="12" t="s">
        <v>1436</v>
      </c>
      <c r="B82" s="12" t="s">
        <v>889</v>
      </c>
      <c r="C82" s="12" t="s">
        <v>248</v>
      </c>
      <c r="D82" s="12" t="s">
        <v>41</v>
      </c>
      <c r="E82" s="12" t="s">
        <v>1239</v>
      </c>
      <c r="F82" s="13" t="n">
        <v>-1</v>
      </c>
      <c r="G82" s="12" t="s">
        <v>1270</v>
      </c>
      <c r="H82" s="12" t="n">
        <v>1</v>
      </c>
      <c r="I82" s="12" t="n">
        <v>1</v>
      </c>
      <c r="J82" s="12" t="s">
        <v>1271</v>
      </c>
      <c r="K82" s="12" t="s">
        <v>202</v>
      </c>
      <c r="L82" s="12" t="s">
        <v>202</v>
      </c>
      <c r="M82" s="12" t="s">
        <v>202</v>
      </c>
      <c r="N82" s="12" t="s">
        <v>202</v>
      </c>
      <c r="O82" s="12" t="s">
        <v>202</v>
      </c>
      <c r="P82" s="12" t="s">
        <v>1437</v>
      </c>
    </row>
    <row r="83" customFormat="false" ht="15" hidden="false" customHeight="false" outlineLevel="0" collapsed="false">
      <c r="A83" s="12" t="s">
        <v>1438</v>
      </c>
      <c r="B83" s="12" t="s">
        <v>889</v>
      </c>
      <c r="C83" s="12" t="s">
        <v>396</v>
      </c>
      <c r="D83" s="12" t="s">
        <v>385</v>
      </c>
      <c r="E83" s="12" t="s">
        <v>1239</v>
      </c>
      <c r="F83" s="13" t="n">
        <v>-0.03</v>
      </c>
      <c r="G83" s="12" t="s">
        <v>1274</v>
      </c>
      <c r="H83" s="12" t="n">
        <v>2</v>
      </c>
      <c r="I83" s="12" t="n">
        <v>1</v>
      </c>
      <c r="J83" s="12" t="s">
        <v>1254</v>
      </c>
      <c r="K83" s="12" t="s">
        <v>202</v>
      </c>
      <c r="L83" s="12" t="s">
        <v>1245</v>
      </c>
      <c r="M83" s="12" t="s">
        <v>1439</v>
      </c>
      <c r="N83" s="12" t="n">
        <v>8</v>
      </c>
      <c r="O83" s="12" t="s">
        <v>202</v>
      </c>
      <c r="P83" s="12" t="s">
        <v>1440</v>
      </c>
    </row>
    <row r="84" customFormat="false" ht="15" hidden="false" customHeight="false" outlineLevel="0" collapsed="false">
      <c r="A84" s="12" t="s">
        <v>1441</v>
      </c>
      <c r="B84" s="12" t="s">
        <v>894</v>
      </c>
      <c r="C84" s="12" t="s">
        <v>277</v>
      </c>
      <c r="D84" s="12" t="s">
        <v>41</v>
      </c>
      <c r="E84" s="12" t="s">
        <v>1239</v>
      </c>
      <c r="F84" s="13" t="n">
        <v>6</v>
      </c>
      <c r="G84" s="12" t="s">
        <v>1270</v>
      </c>
      <c r="H84" s="12" t="n">
        <v>1</v>
      </c>
      <c r="I84" s="12" t="n">
        <v>1</v>
      </c>
      <c r="J84" s="12" t="s">
        <v>1271</v>
      </c>
      <c r="K84" s="12" t="s">
        <v>202</v>
      </c>
      <c r="L84" s="12" t="s">
        <v>202</v>
      </c>
      <c r="M84" s="12" t="s">
        <v>202</v>
      </c>
      <c r="N84" s="12" t="s">
        <v>202</v>
      </c>
      <c r="O84" s="12" t="s">
        <v>202</v>
      </c>
      <c r="P84" s="12" t="s">
        <v>1442</v>
      </c>
    </row>
    <row r="85" customFormat="false" ht="15" hidden="false" customHeight="false" outlineLevel="0" collapsed="false">
      <c r="A85" s="12" t="s">
        <v>1443</v>
      </c>
      <c r="B85" s="12" t="s">
        <v>894</v>
      </c>
      <c r="C85" s="12" t="s">
        <v>267</v>
      </c>
      <c r="D85" s="12" t="s">
        <v>41</v>
      </c>
      <c r="E85" s="12" t="s">
        <v>1239</v>
      </c>
      <c r="F85" s="13" t="n">
        <v>-2</v>
      </c>
      <c r="G85" s="12" t="s">
        <v>1270</v>
      </c>
      <c r="H85" s="12" t="n">
        <v>1</v>
      </c>
      <c r="I85" s="12" t="n">
        <v>1</v>
      </c>
      <c r="J85" s="12" t="s">
        <v>1271</v>
      </c>
      <c r="K85" s="12" t="s">
        <v>202</v>
      </c>
      <c r="L85" s="12" t="s">
        <v>202</v>
      </c>
      <c r="M85" s="12" t="s">
        <v>202</v>
      </c>
      <c r="N85" s="12" t="s">
        <v>202</v>
      </c>
      <c r="O85" s="12" t="s">
        <v>202</v>
      </c>
      <c r="P85" s="12" t="s">
        <v>1444</v>
      </c>
    </row>
    <row r="86" customFormat="false" ht="15" hidden="false" customHeight="false" outlineLevel="0" collapsed="false">
      <c r="A86" s="12" t="s">
        <v>1445</v>
      </c>
      <c r="B86" s="12" t="s">
        <v>894</v>
      </c>
      <c r="C86" s="12" t="s">
        <v>248</v>
      </c>
      <c r="D86" s="12" t="s">
        <v>41</v>
      </c>
      <c r="E86" s="12" t="s">
        <v>1239</v>
      </c>
      <c r="F86" s="13" t="n">
        <v>-1</v>
      </c>
      <c r="G86" s="12" t="s">
        <v>1274</v>
      </c>
      <c r="H86" s="12" t="n">
        <v>2</v>
      </c>
      <c r="I86" s="12" t="n">
        <v>1</v>
      </c>
      <c r="J86" s="12" t="s">
        <v>1271</v>
      </c>
      <c r="K86" s="12" t="s">
        <v>202</v>
      </c>
      <c r="L86" s="12" t="s">
        <v>202</v>
      </c>
      <c r="M86" s="12" t="s">
        <v>202</v>
      </c>
      <c r="N86" s="12" t="s">
        <v>202</v>
      </c>
      <c r="O86" s="12" t="s">
        <v>202</v>
      </c>
      <c r="P86" s="12" t="s">
        <v>1446</v>
      </c>
    </row>
    <row r="87" customFormat="false" ht="15" hidden="false" customHeight="false" outlineLevel="0" collapsed="false">
      <c r="A87" s="12" t="s">
        <v>1447</v>
      </c>
      <c r="B87" s="12" t="s">
        <v>894</v>
      </c>
      <c r="C87" s="12" t="s">
        <v>248</v>
      </c>
      <c r="D87" s="12" t="s">
        <v>41</v>
      </c>
      <c r="E87" s="12" t="s">
        <v>1239</v>
      </c>
      <c r="F87" s="13" t="n">
        <v>-2</v>
      </c>
      <c r="G87" s="12" t="s">
        <v>1274</v>
      </c>
      <c r="H87" s="12" t="n">
        <v>2</v>
      </c>
      <c r="I87" s="12" t="n">
        <v>1</v>
      </c>
      <c r="J87" s="12" t="s">
        <v>1243</v>
      </c>
      <c r="K87" s="12" t="s">
        <v>1448</v>
      </c>
      <c r="L87" s="12" t="s">
        <v>1245</v>
      </c>
      <c r="M87" s="12" t="s">
        <v>202</v>
      </c>
      <c r="N87" s="12" t="s">
        <v>202</v>
      </c>
      <c r="O87" s="12" t="s">
        <v>202</v>
      </c>
      <c r="P87" s="12" t="s">
        <v>1449</v>
      </c>
    </row>
    <row r="88" customFormat="false" ht="15" hidden="false" customHeight="false" outlineLevel="0" collapsed="false">
      <c r="A88" s="12" t="s">
        <v>1450</v>
      </c>
      <c r="B88" s="12" t="s">
        <v>903</v>
      </c>
      <c r="C88" s="12" t="s">
        <v>277</v>
      </c>
      <c r="D88" s="12" t="s">
        <v>41</v>
      </c>
      <c r="E88" s="12" t="s">
        <v>1239</v>
      </c>
      <c r="F88" s="13" t="n">
        <v>-6</v>
      </c>
      <c r="G88" s="12" t="s">
        <v>1270</v>
      </c>
      <c r="H88" s="12" t="n">
        <v>1</v>
      </c>
      <c r="I88" s="12" t="n">
        <v>1</v>
      </c>
      <c r="J88" s="12" t="s">
        <v>1271</v>
      </c>
      <c r="K88" s="12" t="s">
        <v>202</v>
      </c>
      <c r="L88" s="12" t="s">
        <v>202</v>
      </c>
      <c r="M88" s="12" t="s">
        <v>202</v>
      </c>
      <c r="N88" s="12" t="s">
        <v>202</v>
      </c>
      <c r="O88" s="12" t="s">
        <v>202</v>
      </c>
      <c r="P88" s="12" t="s">
        <v>1451</v>
      </c>
    </row>
    <row r="89" customFormat="false" ht="15" hidden="false" customHeight="false" outlineLevel="0" collapsed="false">
      <c r="A89" s="12" t="s">
        <v>1452</v>
      </c>
      <c r="B89" s="12" t="s">
        <v>903</v>
      </c>
      <c r="C89" s="12" t="s">
        <v>267</v>
      </c>
      <c r="D89" s="12" t="s">
        <v>41</v>
      </c>
      <c r="E89" s="12" t="s">
        <v>1239</v>
      </c>
      <c r="F89" s="13" t="n">
        <v>3</v>
      </c>
      <c r="G89" s="12" t="s">
        <v>1270</v>
      </c>
      <c r="H89" s="12" t="n">
        <v>1</v>
      </c>
      <c r="I89" s="12" t="n">
        <v>1</v>
      </c>
      <c r="J89" s="12" t="s">
        <v>1271</v>
      </c>
      <c r="K89" s="12" t="s">
        <v>202</v>
      </c>
      <c r="L89" s="12" t="s">
        <v>202</v>
      </c>
      <c r="M89" s="12" t="s">
        <v>202</v>
      </c>
      <c r="N89" s="12" t="s">
        <v>202</v>
      </c>
      <c r="O89" s="12" t="s">
        <v>202</v>
      </c>
      <c r="P89" s="12" t="s">
        <v>1453</v>
      </c>
    </row>
    <row r="90" customFormat="false" ht="15" hidden="false" customHeight="false" outlineLevel="0" collapsed="false">
      <c r="A90" s="12" t="s">
        <v>1454</v>
      </c>
      <c r="B90" s="12" t="s">
        <v>903</v>
      </c>
      <c r="C90" s="12" t="s">
        <v>248</v>
      </c>
      <c r="D90" s="12" t="s">
        <v>41</v>
      </c>
      <c r="E90" s="12" t="s">
        <v>1239</v>
      </c>
      <c r="F90" s="13" t="n">
        <v>2</v>
      </c>
      <c r="G90" s="12" t="s">
        <v>1274</v>
      </c>
      <c r="H90" s="12" t="n">
        <v>2</v>
      </c>
      <c r="I90" s="12" t="n">
        <v>1</v>
      </c>
      <c r="J90" s="12" t="s">
        <v>1271</v>
      </c>
      <c r="K90" s="12" t="s">
        <v>202</v>
      </c>
      <c r="L90" s="12" t="s">
        <v>202</v>
      </c>
      <c r="M90" s="12" t="s">
        <v>202</v>
      </c>
      <c r="N90" s="12" t="s">
        <v>202</v>
      </c>
      <c r="O90" s="12" t="s">
        <v>202</v>
      </c>
      <c r="P90" s="12" t="s">
        <v>1455</v>
      </c>
    </row>
    <row r="91" customFormat="false" ht="15" hidden="false" customHeight="false" outlineLevel="0" collapsed="false">
      <c r="A91" s="12" t="s">
        <v>1456</v>
      </c>
      <c r="B91" s="12" t="s">
        <v>903</v>
      </c>
      <c r="C91" s="12" t="s">
        <v>286</v>
      </c>
      <c r="D91" s="12" t="s">
        <v>41</v>
      </c>
      <c r="E91" s="12" t="s">
        <v>1234</v>
      </c>
      <c r="F91" s="13" t="n">
        <v>-5</v>
      </c>
      <c r="G91" s="12" t="s">
        <v>1280</v>
      </c>
      <c r="H91" s="12" t="n">
        <v>0</v>
      </c>
      <c r="I91" s="12" t="n">
        <v>3</v>
      </c>
      <c r="J91" s="12" t="s">
        <v>1243</v>
      </c>
      <c r="K91" s="12" t="s">
        <v>1425</v>
      </c>
      <c r="L91" s="12" t="s">
        <v>1245</v>
      </c>
      <c r="M91" s="12" t="s">
        <v>202</v>
      </c>
      <c r="N91" s="12" t="s">
        <v>202</v>
      </c>
      <c r="O91" s="12" t="s">
        <v>202</v>
      </c>
      <c r="P91" s="12" t="s">
        <v>1457</v>
      </c>
    </row>
    <row r="92" customFormat="false" ht="15" hidden="false" customHeight="false" outlineLevel="0" collapsed="false">
      <c r="A92" s="12" t="s">
        <v>1458</v>
      </c>
      <c r="B92" s="12" t="s">
        <v>908</v>
      </c>
      <c r="C92" s="12" t="s">
        <v>277</v>
      </c>
      <c r="D92" s="12" t="s">
        <v>41</v>
      </c>
      <c r="E92" s="12" t="s">
        <v>1239</v>
      </c>
      <c r="F92" s="13" t="n">
        <v>4</v>
      </c>
      <c r="G92" s="12" t="s">
        <v>1240</v>
      </c>
      <c r="H92" s="12" t="n">
        <v>0</v>
      </c>
      <c r="I92" s="12" t="n">
        <v>1</v>
      </c>
      <c r="J92" s="12" t="s">
        <v>1236</v>
      </c>
      <c r="K92" s="12" t="s">
        <v>202</v>
      </c>
      <c r="L92" s="12" t="s">
        <v>202</v>
      </c>
      <c r="M92" s="12" t="s">
        <v>202</v>
      </c>
      <c r="N92" s="12" t="s">
        <v>202</v>
      </c>
      <c r="O92" s="12" t="s">
        <v>202</v>
      </c>
      <c r="P92" s="12" t="s">
        <v>1459</v>
      </c>
    </row>
    <row r="93" customFormat="false" ht="15" hidden="false" customHeight="false" outlineLevel="0" collapsed="false">
      <c r="A93" s="12" t="s">
        <v>1460</v>
      </c>
      <c r="B93" s="12" t="s">
        <v>908</v>
      </c>
      <c r="C93" s="12" t="s">
        <v>396</v>
      </c>
      <c r="D93" s="12" t="s">
        <v>385</v>
      </c>
      <c r="E93" s="12" t="s">
        <v>1239</v>
      </c>
      <c r="F93" s="13" t="n">
        <v>0.03</v>
      </c>
      <c r="G93" s="12" t="s">
        <v>1240</v>
      </c>
      <c r="H93" s="12" t="n">
        <v>0</v>
      </c>
      <c r="I93" s="12" t="n">
        <v>1</v>
      </c>
      <c r="J93" s="12" t="s">
        <v>1236</v>
      </c>
      <c r="K93" s="12" t="s">
        <v>202</v>
      </c>
      <c r="L93" s="12" t="s">
        <v>202</v>
      </c>
      <c r="M93" s="12" t="s">
        <v>202</v>
      </c>
      <c r="N93" s="12" t="s">
        <v>202</v>
      </c>
      <c r="O93" s="12" t="s">
        <v>202</v>
      </c>
      <c r="P93" s="12" t="s">
        <v>1461</v>
      </c>
    </row>
    <row r="94" customFormat="false" ht="15" hidden="false" customHeight="false" outlineLevel="0" collapsed="false">
      <c r="A94" s="12" t="s">
        <v>1462</v>
      </c>
      <c r="B94" s="12" t="s">
        <v>908</v>
      </c>
      <c r="C94" s="12" t="s">
        <v>296</v>
      </c>
      <c r="D94" s="12" t="s">
        <v>41</v>
      </c>
      <c r="E94" s="12" t="s">
        <v>1239</v>
      </c>
      <c r="F94" s="13" t="n">
        <v>-3</v>
      </c>
      <c r="G94" s="12" t="s">
        <v>1270</v>
      </c>
      <c r="H94" s="12" t="n">
        <v>1</v>
      </c>
      <c r="I94" s="12" t="n">
        <v>1</v>
      </c>
      <c r="J94" s="12" t="s">
        <v>1271</v>
      </c>
      <c r="K94" s="12" t="s">
        <v>202</v>
      </c>
      <c r="L94" s="12" t="s">
        <v>202</v>
      </c>
      <c r="M94" s="12" t="s">
        <v>202</v>
      </c>
      <c r="N94" s="12" t="s">
        <v>202</v>
      </c>
      <c r="O94" s="12" t="s">
        <v>202</v>
      </c>
      <c r="P94" s="12" t="s">
        <v>1463</v>
      </c>
    </row>
    <row r="95" customFormat="false" ht="15" hidden="false" customHeight="false" outlineLevel="0" collapsed="false">
      <c r="A95" s="12" t="s">
        <v>1464</v>
      </c>
      <c r="B95" s="12" t="s">
        <v>908</v>
      </c>
      <c r="C95" s="12" t="s">
        <v>296</v>
      </c>
      <c r="D95" s="12" t="s">
        <v>41</v>
      </c>
      <c r="E95" s="12" t="s">
        <v>1239</v>
      </c>
      <c r="F95" s="13" t="n">
        <v>-3</v>
      </c>
      <c r="G95" s="12" t="s">
        <v>1270</v>
      </c>
      <c r="H95" s="12" t="n">
        <v>1</v>
      </c>
      <c r="I95" s="12" t="n">
        <v>1</v>
      </c>
      <c r="J95" s="12" t="s">
        <v>1254</v>
      </c>
      <c r="K95" s="12" t="s">
        <v>202</v>
      </c>
      <c r="L95" s="12" t="s">
        <v>1245</v>
      </c>
      <c r="M95" s="12" t="s">
        <v>1465</v>
      </c>
      <c r="N95" s="12" t="n">
        <v>8</v>
      </c>
      <c r="O95" s="12" t="s">
        <v>202</v>
      </c>
      <c r="P95" s="12" t="s">
        <v>1466</v>
      </c>
    </row>
    <row r="96" customFormat="false" ht="15" hidden="false" customHeight="false" outlineLevel="0" collapsed="false">
      <c r="A96" s="12" t="s">
        <v>1467</v>
      </c>
      <c r="B96" s="12" t="s">
        <v>908</v>
      </c>
      <c r="C96" s="12" t="s">
        <v>370</v>
      </c>
      <c r="D96" s="12" t="s">
        <v>41</v>
      </c>
      <c r="E96" s="12" t="s">
        <v>1239</v>
      </c>
      <c r="F96" s="13" t="n">
        <v>4</v>
      </c>
      <c r="G96" s="12" t="s">
        <v>1240</v>
      </c>
      <c r="H96" s="12" t="n">
        <v>0</v>
      </c>
      <c r="I96" s="12" t="n">
        <v>1</v>
      </c>
      <c r="J96" s="12" t="s">
        <v>1254</v>
      </c>
      <c r="K96" s="12" t="s">
        <v>202</v>
      </c>
      <c r="L96" s="12" t="s">
        <v>1245</v>
      </c>
      <c r="M96" s="12" t="s">
        <v>1465</v>
      </c>
      <c r="N96" s="12" t="n">
        <v>8</v>
      </c>
      <c r="O96" s="12" t="s">
        <v>202</v>
      </c>
      <c r="P96" s="12" t="s">
        <v>1468</v>
      </c>
    </row>
    <row r="97" customFormat="false" ht="15" hidden="false" customHeight="false" outlineLevel="0" collapsed="false">
      <c r="A97" s="12" t="s">
        <v>1469</v>
      </c>
      <c r="B97" s="12" t="s">
        <v>915</v>
      </c>
      <c r="C97" s="12" t="s">
        <v>277</v>
      </c>
      <c r="D97" s="12" t="s">
        <v>41</v>
      </c>
      <c r="E97" s="12" t="s">
        <v>1239</v>
      </c>
      <c r="F97" s="13" t="n">
        <v>-4</v>
      </c>
      <c r="G97" s="12" t="s">
        <v>1240</v>
      </c>
      <c r="H97" s="12" t="n">
        <v>0</v>
      </c>
      <c r="I97" s="12" t="n">
        <v>1</v>
      </c>
      <c r="J97" s="12" t="s">
        <v>1236</v>
      </c>
      <c r="K97" s="12" t="s">
        <v>202</v>
      </c>
      <c r="L97" s="12" t="s">
        <v>202</v>
      </c>
      <c r="M97" s="12" t="s">
        <v>202</v>
      </c>
      <c r="N97" s="12" t="s">
        <v>202</v>
      </c>
      <c r="O97" s="12" t="s">
        <v>202</v>
      </c>
      <c r="P97" s="12" t="s">
        <v>1470</v>
      </c>
    </row>
    <row r="98" customFormat="false" ht="15" hidden="false" customHeight="false" outlineLevel="0" collapsed="false">
      <c r="A98" s="12" t="s">
        <v>1471</v>
      </c>
      <c r="B98" s="12" t="s">
        <v>915</v>
      </c>
      <c r="C98" s="12" t="s">
        <v>396</v>
      </c>
      <c r="D98" s="12" t="s">
        <v>385</v>
      </c>
      <c r="E98" s="12" t="s">
        <v>1239</v>
      </c>
      <c r="F98" s="13" t="n">
        <v>-0.03</v>
      </c>
      <c r="G98" s="12" t="s">
        <v>1240</v>
      </c>
      <c r="H98" s="12" t="n">
        <v>0</v>
      </c>
      <c r="I98" s="12" t="n">
        <v>1</v>
      </c>
      <c r="J98" s="12" t="s">
        <v>1236</v>
      </c>
      <c r="K98" s="12" t="s">
        <v>202</v>
      </c>
      <c r="L98" s="12" t="s">
        <v>202</v>
      </c>
      <c r="M98" s="12" t="s">
        <v>202</v>
      </c>
      <c r="N98" s="12" t="s">
        <v>202</v>
      </c>
      <c r="O98" s="12" t="s">
        <v>202</v>
      </c>
      <c r="P98" s="12" t="s">
        <v>1472</v>
      </c>
    </row>
    <row r="99" customFormat="false" ht="15" hidden="false" customHeight="false" outlineLevel="0" collapsed="false">
      <c r="A99" s="12" t="s">
        <v>1473</v>
      </c>
      <c r="B99" s="12" t="s">
        <v>915</v>
      </c>
      <c r="C99" s="12" t="s">
        <v>296</v>
      </c>
      <c r="D99" s="12" t="s">
        <v>41</v>
      </c>
      <c r="E99" s="12" t="s">
        <v>1239</v>
      </c>
      <c r="F99" s="13" t="n">
        <v>4</v>
      </c>
      <c r="G99" s="12" t="s">
        <v>1270</v>
      </c>
      <c r="H99" s="12" t="n">
        <v>1</v>
      </c>
      <c r="I99" s="12" t="n">
        <v>1</v>
      </c>
      <c r="J99" s="12" t="s">
        <v>1271</v>
      </c>
      <c r="K99" s="12" t="s">
        <v>202</v>
      </c>
      <c r="L99" s="12" t="s">
        <v>202</v>
      </c>
      <c r="M99" s="12" t="s">
        <v>202</v>
      </c>
      <c r="N99" s="12" t="s">
        <v>202</v>
      </c>
      <c r="O99" s="12" t="s">
        <v>202</v>
      </c>
      <c r="P99" s="12" t="s">
        <v>1474</v>
      </c>
    </row>
    <row r="100" customFormat="false" ht="15" hidden="false" customHeight="false" outlineLevel="0" collapsed="false">
      <c r="A100" s="12" t="s">
        <v>1475</v>
      </c>
      <c r="B100" s="12" t="s">
        <v>915</v>
      </c>
      <c r="C100" s="12" t="s">
        <v>296</v>
      </c>
      <c r="D100" s="12" t="s">
        <v>41</v>
      </c>
      <c r="E100" s="12" t="s">
        <v>1239</v>
      </c>
      <c r="F100" s="13" t="n">
        <v>2</v>
      </c>
      <c r="G100" s="12" t="s">
        <v>1274</v>
      </c>
      <c r="H100" s="12" t="n">
        <v>2</v>
      </c>
      <c r="I100" s="12" t="n">
        <v>1</v>
      </c>
      <c r="J100" s="12" t="s">
        <v>1271</v>
      </c>
      <c r="K100" s="12" t="s">
        <v>202</v>
      </c>
      <c r="L100" s="12" t="s">
        <v>202</v>
      </c>
      <c r="M100" s="12" t="s">
        <v>202</v>
      </c>
      <c r="N100" s="12" t="s">
        <v>202</v>
      </c>
      <c r="O100" s="12" t="s">
        <v>202</v>
      </c>
      <c r="P100" s="12" t="s">
        <v>1476</v>
      </c>
    </row>
    <row r="101" customFormat="false" ht="15" hidden="false" customHeight="false" outlineLevel="0" collapsed="false">
      <c r="A101" s="12" t="s">
        <v>1477</v>
      </c>
      <c r="B101" s="12" t="s">
        <v>915</v>
      </c>
      <c r="C101" s="12" t="s">
        <v>248</v>
      </c>
      <c r="D101" s="12" t="s">
        <v>41</v>
      </c>
      <c r="E101" s="12" t="s">
        <v>1239</v>
      </c>
      <c r="F101" s="13" t="n">
        <v>1</v>
      </c>
      <c r="G101" s="12" t="s">
        <v>1274</v>
      </c>
      <c r="H101" s="12" t="n">
        <v>2</v>
      </c>
      <c r="I101" s="12" t="n">
        <v>1</v>
      </c>
      <c r="J101" s="12" t="s">
        <v>1271</v>
      </c>
      <c r="K101" s="12" t="s">
        <v>202</v>
      </c>
      <c r="L101" s="12" t="s">
        <v>202</v>
      </c>
      <c r="M101" s="12" t="s">
        <v>202</v>
      </c>
      <c r="N101" s="12" t="s">
        <v>202</v>
      </c>
      <c r="O101" s="12" t="s">
        <v>202</v>
      </c>
      <c r="P101" s="12" t="s">
        <v>1478</v>
      </c>
    </row>
    <row r="102" customFormat="false" ht="15" hidden="false" customHeight="false" outlineLevel="0" collapsed="false">
      <c r="A102" s="12" t="s">
        <v>1479</v>
      </c>
      <c r="B102" s="12" t="s">
        <v>919</v>
      </c>
      <c r="C102" s="12" t="s">
        <v>267</v>
      </c>
      <c r="D102" s="12" t="s">
        <v>41</v>
      </c>
      <c r="E102" s="12" t="s">
        <v>1239</v>
      </c>
      <c r="F102" s="13" t="n">
        <v>3</v>
      </c>
      <c r="G102" s="12" t="s">
        <v>1270</v>
      </c>
      <c r="H102" s="12" t="n">
        <v>1</v>
      </c>
      <c r="I102" s="12" t="n">
        <v>1</v>
      </c>
      <c r="J102" s="12" t="s">
        <v>1271</v>
      </c>
      <c r="K102" s="12" t="s">
        <v>202</v>
      </c>
      <c r="L102" s="12" t="s">
        <v>202</v>
      </c>
      <c r="M102" s="12" t="s">
        <v>202</v>
      </c>
      <c r="N102" s="12" t="s">
        <v>202</v>
      </c>
      <c r="O102" s="12" t="s">
        <v>202</v>
      </c>
      <c r="P102" s="12" t="s">
        <v>1480</v>
      </c>
    </row>
    <row r="103" customFormat="false" ht="15" hidden="false" customHeight="false" outlineLevel="0" collapsed="false">
      <c r="A103" s="12" t="s">
        <v>1481</v>
      </c>
      <c r="B103" s="12" t="s">
        <v>919</v>
      </c>
      <c r="C103" s="12" t="s">
        <v>248</v>
      </c>
      <c r="D103" s="12" t="s">
        <v>41</v>
      </c>
      <c r="E103" s="12" t="s">
        <v>1234</v>
      </c>
      <c r="F103" s="13" t="n">
        <v>2</v>
      </c>
      <c r="G103" s="12" t="s">
        <v>1280</v>
      </c>
      <c r="H103" s="12" t="n">
        <v>0</v>
      </c>
      <c r="I103" s="12" t="n">
        <v>3</v>
      </c>
      <c r="J103" s="12" t="s">
        <v>1236</v>
      </c>
      <c r="K103" s="12" t="s">
        <v>202</v>
      </c>
      <c r="L103" s="12" t="s">
        <v>202</v>
      </c>
      <c r="M103" s="12" t="s">
        <v>202</v>
      </c>
      <c r="N103" s="12" t="s">
        <v>202</v>
      </c>
      <c r="O103" s="12" t="s">
        <v>202</v>
      </c>
      <c r="P103" s="12" t="s">
        <v>1482</v>
      </c>
    </row>
    <row r="104" customFormat="false" ht="15" hidden="false" customHeight="false" outlineLevel="0" collapsed="false">
      <c r="A104" s="12" t="s">
        <v>1483</v>
      </c>
      <c r="B104" s="12" t="s">
        <v>919</v>
      </c>
      <c r="C104" s="12" t="s">
        <v>248</v>
      </c>
      <c r="D104" s="12" t="s">
        <v>41</v>
      </c>
      <c r="E104" s="12" t="s">
        <v>1239</v>
      </c>
      <c r="F104" s="13" t="n">
        <v>1</v>
      </c>
      <c r="G104" s="12" t="s">
        <v>1274</v>
      </c>
      <c r="H104" s="12" t="n">
        <v>2</v>
      </c>
      <c r="I104" s="12" t="n">
        <v>1</v>
      </c>
      <c r="J104" s="12" t="s">
        <v>1271</v>
      </c>
      <c r="K104" s="12" t="s">
        <v>202</v>
      </c>
      <c r="L104" s="12" t="s">
        <v>202</v>
      </c>
      <c r="M104" s="12" t="s">
        <v>202</v>
      </c>
      <c r="N104" s="12" t="s">
        <v>202</v>
      </c>
      <c r="O104" s="12" t="s">
        <v>202</v>
      </c>
      <c r="P104" s="12" t="s">
        <v>1484</v>
      </c>
    </row>
    <row r="105" customFormat="false" ht="15" hidden="false" customHeight="false" outlineLevel="0" collapsed="false">
      <c r="A105" s="12" t="s">
        <v>1485</v>
      </c>
      <c r="B105" s="12" t="s">
        <v>919</v>
      </c>
      <c r="C105" s="12" t="s">
        <v>248</v>
      </c>
      <c r="D105" s="12" t="s">
        <v>41</v>
      </c>
      <c r="E105" s="12" t="s">
        <v>1234</v>
      </c>
      <c r="F105" s="13" t="n">
        <v>-1</v>
      </c>
      <c r="G105" s="12" t="s">
        <v>1280</v>
      </c>
      <c r="H105" s="12" t="n">
        <v>0</v>
      </c>
      <c r="I105" s="12" t="n">
        <v>3</v>
      </c>
      <c r="J105" s="12" t="s">
        <v>1243</v>
      </c>
      <c r="K105" s="12" t="s">
        <v>1486</v>
      </c>
      <c r="L105" s="12" t="s">
        <v>1245</v>
      </c>
      <c r="M105" s="12" t="s">
        <v>202</v>
      </c>
      <c r="N105" s="12" t="s">
        <v>202</v>
      </c>
      <c r="O105" s="12" t="s">
        <v>202</v>
      </c>
      <c r="P105" s="12" t="s">
        <v>1487</v>
      </c>
    </row>
    <row r="106" customFormat="false" ht="15" hidden="false" customHeight="false" outlineLevel="0" collapsed="false">
      <c r="A106" s="12" t="s">
        <v>1488</v>
      </c>
      <c r="B106" s="12" t="s">
        <v>919</v>
      </c>
      <c r="C106" s="12" t="s">
        <v>267</v>
      </c>
      <c r="D106" s="12" t="s">
        <v>41</v>
      </c>
      <c r="E106" s="12" t="s">
        <v>1239</v>
      </c>
      <c r="F106" s="13" t="n">
        <v>-2</v>
      </c>
      <c r="G106" s="12" t="s">
        <v>1270</v>
      </c>
      <c r="H106" s="12" t="n">
        <v>1</v>
      </c>
      <c r="I106" s="12" t="n">
        <v>1</v>
      </c>
      <c r="J106" s="12" t="s">
        <v>1254</v>
      </c>
      <c r="K106" s="12" t="s">
        <v>202</v>
      </c>
      <c r="L106" s="12" t="s">
        <v>1245</v>
      </c>
      <c r="M106" s="12" t="s">
        <v>1489</v>
      </c>
      <c r="N106" s="12" t="n">
        <v>8</v>
      </c>
      <c r="O106" s="12" t="s">
        <v>202</v>
      </c>
      <c r="P106" s="12" t="s">
        <v>1490</v>
      </c>
    </row>
    <row r="107" customFormat="false" ht="15" hidden="false" customHeight="false" outlineLevel="0" collapsed="false">
      <c r="A107" s="12" t="s">
        <v>1491</v>
      </c>
      <c r="B107" s="12" t="s">
        <v>926</v>
      </c>
      <c r="C107" s="12" t="s">
        <v>267</v>
      </c>
      <c r="D107" s="12" t="s">
        <v>41</v>
      </c>
      <c r="E107" s="12" t="s">
        <v>1234</v>
      </c>
      <c r="F107" s="13" t="n">
        <v>4</v>
      </c>
      <c r="G107" s="12" t="s">
        <v>1410</v>
      </c>
      <c r="H107" s="12" t="n">
        <v>0</v>
      </c>
      <c r="I107" s="12" t="n">
        <v>4</v>
      </c>
      <c r="J107" s="12" t="s">
        <v>1236</v>
      </c>
      <c r="K107" s="12" t="s">
        <v>202</v>
      </c>
      <c r="L107" s="12" t="s">
        <v>202</v>
      </c>
      <c r="M107" s="12" t="s">
        <v>202</v>
      </c>
      <c r="N107" s="12" t="s">
        <v>202</v>
      </c>
      <c r="O107" s="12" t="s">
        <v>202</v>
      </c>
      <c r="P107" s="12" t="s">
        <v>1492</v>
      </c>
    </row>
    <row r="108" customFormat="false" ht="15" hidden="false" customHeight="false" outlineLevel="0" collapsed="false">
      <c r="A108" s="12" t="s">
        <v>1493</v>
      </c>
      <c r="B108" s="12" t="s">
        <v>926</v>
      </c>
      <c r="C108" s="12" t="s">
        <v>248</v>
      </c>
      <c r="D108" s="12" t="s">
        <v>41</v>
      </c>
      <c r="E108" s="12" t="s">
        <v>1239</v>
      </c>
      <c r="F108" s="13" t="n">
        <v>1</v>
      </c>
      <c r="G108" s="12" t="s">
        <v>1274</v>
      </c>
      <c r="H108" s="12" t="n">
        <v>2</v>
      </c>
      <c r="I108" s="12" t="n">
        <v>1</v>
      </c>
      <c r="J108" s="12" t="s">
        <v>1271</v>
      </c>
      <c r="K108" s="12" t="s">
        <v>202</v>
      </c>
      <c r="L108" s="12" t="s">
        <v>202</v>
      </c>
      <c r="M108" s="12" t="s">
        <v>202</v>
      </c>
      <c r="N108" s="12" t="s">
        <v>202</v>
      </c>
      <c r="O108" s="12" t="s">
        <v>202</v>
      </c>
      <c r="P108" s="12" t="s">
        <v>1494</v>
      </c>
    </row>
    <row r="109" customFormat="false" ht="15" hidden="false" customHeight="false" outlineLevel="0" collapsed="false">
      <c r="A109" s="12" t="s">
        <v>1495</v>
      </c>
      <c r="B109" s="12" t="s">
        <v>926</v>
      </c>
      <c r="C109" s="12" t="s">
        <v>248</v>
      </c>
      <c r="D109" s="12" t="s">
        <v>41</v>
      </c>
      <c r="E109" s="12" t="s">
        <v>1239</v>
      </c>
      <c r="F109" s="13" t="n">
        <v>1</v>
      </c>
      <c r="G109" s="12" t="s">
        <v>1354</v>
      </c>
      <c r="H109" s="12" t="n">
        <v>3</v>
      </c>
      <c r="I109" s="12" t="n">
        <v>1</v>
      </c>
      <c r="J109" s="12" t="s">
        <v>1271</v>
      </c>
      <c r="K109" s="12" t="s">
        <v>202</v>
      </c>
      <c r="L109" s="12" t="s">
        <v>202</v>
      </c>
      <c r="M109" s="12" t="s">
        <v>202</v>
      </c>
      <c r="N109" s="12" t="s">
        <v>202</v>
      </c>
      <c r="O109" s="12" t="s">
        <v>202</v>
      </c>
      <c r="P109" s="12" t="s">
        <v>1494</v>
      </c>
    </row>
    <row r="110" customFormat="false" ht="15" hidden="false" customHeight="false" outlineLevel="0" collapsed="false">
      <c r="A110" s="12" t="s">
        <v>1496</v>
      </c>
      <c r="B110" s="12" t="s">
        <v>926</v>
      </c>
      <c r="C110" s="12" t="s">
        <v>383</v>
      </c>
      <c r="D110" s="12" t="s">
        <v>385</v>
      </c>
      <c r="E110" s="12" t="s">
        <v>1239</v>
      </c>
      <c r="F110" s="13" t="n">
        <v>40</v>
      </c>
      <c r="G110" s="12" t="s">
        <v>1497</v>
      </c>
      <c r="H110" s="12" t="n">
        <v>4</v>
      </c>
      <c r="I110" s="12" t="n">
        <v>3</v>
      </c>
      <c r="J110" s="12" t="s">
        <v>1325</v>
      </c>
      <c r="K110" s="12" t="s">
        <v>202</v>
      </c>
      <c r="L110" s="12" t="s">
        <v>202</v>
      </c>
      <c r="M110" s="12" t="s">
        <v>202</v>
      </c>
      <c r="N110" s="12" t="s">
        <v>202</v>
      </c>
      <c r="O110" s="12" t="s">
        <v>202</v>
      </c>
      <c r="P110" s="12" t="s">
        <v>1498</v>
      </c>
    </row>
    <row r="111" customFormat="false" ht="15" hidden="false" customHeight="false" outlineLevel="0" collapsed="false">
      <c r="A111" s="12" t="s">
        <v>1499</v>
      </c>
      <c r="B111" s="12" t="s">
        <v>926</v>
      </c>
      <c r="C111" s="12" t="s">
        <v>267</v>
      </c>
      <c r="D111" s="12" t="s">
        <v>41</v>
      </c>
      <c r="E111" s="12" t="s">
        <v>1234</v>
      </c>
      <c r="F111" s="13" t="n">
        <v>-2</v>
      </c>
      <c r="G111" s="12" t="s">
        <v>1410</v>
      </c>
      <c r="H111" s="12" t="n">
        <v>0</v>
      </c>
      <c r="I111" s="12" t="n">
        <v>4</v>
      </c>
      <c r="J111" s="12" t="s">
        <v>1243</v>
      </c>
      <c r="K111" s="12" t="s">
        <v>1500</v>
      </c>
      <c r="L111" s="12" t="s">
        <v>1245</v>
      </c>
      <c r="M111" s="12" t="s">
        <v>202</v>
      </c>
      <c r="N111" s="12" t="s">
        <v>202</v>
      </c>
      <c r="O111" s="12" t="s">
        <v>202</v>
      </c>
      <c r="P111" s="12" t="s">
        <v>1501</v>
      </c>
    </row>
    <row r="112" customFormat="false" ht="15" hidden="false" customHeight="false" outlineLevel="0" collapsed="false">
      <c r="A112" s="12" t="s">
        <v>1502</v>
      </c>
      <c r="B112" s="12" t="s">
        <v>932</v>
      </c>
      <c r="C112" s="12" t="s">
        <v>296</v>
      </c>
      <c r="D112" s="12" t="s">
        <v>41</v>
      </c>
      <c r="E112" s="12" t="s">
        <v>1239</v>
      </c>
      <c r="F112" s="13" t="n">
        <v>3</v>
      </c>
      <c r="G112" s="12" t="s">
        <v>1270</v>
      </c>
      <c r="H112" s="12" t="n">
        <v>1</v>
      </c>
      <c r="I112" s="12" t="n">
        <v>1</v>
      </c>
      <c r="J112" s="12" t="s">
        <v>1271</v>
      </c>
      <c r="K112" s="12" t="s">
        <v>202</v>
      </c>
      <c r="L112" s="12" t="s">
        <v>202</v>
      </c>
      <c r="M112" s="12" t="s">
        <v>202</v>
      </c>
      <c r="N112" s="12" t="s">
        <v>202</v>
      </c>
      <c r="O112" s="12" t="s">
        <v>202</v>
      </c>
      <c r="P112" s="12" t="s">
        <v>1503</v>
      </c>
    </row>
    <row r="113" customFormat="false" ht="15" hidden="false" customHeight="false" outlineLevel="0" collapsed="false">
      <c r="A113" s="12" t="s">
        <v>1504</v>
      </c>
      <c r="B113" s="12" t="s">
        <v>932</v>
      </c>
      <c r="C113" s="12" t="s">
        <v>296</v>
      </c>
      <c r="D113" s="12" t="s">
        <v>41</v>
      </c>
      <c r="E113" s="12" t="s">
        <v>1239</v>
      </c>
      <c r="F113" s="13" t="n">
        <v>2</v>
      </c>
      <c r="G113" s="12" t="s">
        <v>1274</v>
      </c>
      <c r="H113" s="12" t="n">
        <v>2</v>
      </c>
      <c r="I113" s="12" t="n">
        <v>1</v>
      </c>
      <c r="J113" s="12" t="s">
        <v>1271</v>
      </c>
      <c r="K113" s="12" t="s">
        <v>202</v>
      </c>
      <c r="L113" s="12" t="s">
        <v>202</v>
      </c>
      <c r="M113" s="12" t="s">
        <v>202</v>
      </c>
      <c r="N113" s="12" t="s">
        <v>202</v>
      </c>
      <c r="O113" s="12" t="s">
        <v>202</v>
      </c>
      <c r="P113" s="12" t="s">
        <v>1505</v>
      </c>
    </row>
    <row r="114" customFormat="false" ht="15" hidden="false" customHeight="false" outlineLevel="0" collapsed="false">
      <c r="A114" s="12" t="s">
        <v>1506</v>
      </c>
      <c r="B114" s="12" t="s">
        <v>932</v>
      </c>
      <c r="C114" s="12" t="s">
        <v>248</v>
      </c>
      <c r="D114" s="12" t="s">
        <v>41</v>
      </c>
      <c r="E114" s="12" t="s">
        <v>1239</v>
      </c>
      <c r="F114" s="13" t="n">
        <v>1</v>
      </c>
      <c r="G114" s="12" t="s">
        <v>1274</v>
      </c>
      <c r="H114" s="12" t="n">
        <v>2</v>
      </c>
      <c r="I114" s="12" t="n">
        <v>1</v>
      </c>
      <c r="J114" s="12" t="s">
        <v>1271</v>
      </c>
      <c r="K114" s="12" t="s">
        <v>202</v>
      </c>
      <c r="L114" s="12" t="s">
        <v>202</v>
      </c>
      <c r="M114" s="12" t="s">
        <v>202</v>
      </c>
      <c r="N114" s="12" t="s">
        <v>202</v>
      </c>
      <c r="O114" s="12" t="s">
        <v>202</v>
      </c>
      <c r="P114" s="12" t="s">
        <v>1507</v>
      </c>
    </row>
    <row r="115" customFormat="false" ht="15" hidden="false" customHeight="false" outlineLevel="0" collapsed="false">
      <c r="A115" s="12" t="s">
        <v>1508</v>
      </c>
      <c r="B115" s="12" t="s">
        <v>936</v>
      </c>
      <c r="C115" s="12" t="s">
        <v>267</v>
      </c>
      <c r="D115" s="12" t="s">
        <v>41</v>
      </c>
      <c r="E115" s="12" t="s">
        <v>1239</v>
      </c>
      <c r="F115" s="13" t="n">
        <v>2</v>
      </c>
      <c r="G115" s="12" t="s">
        <v>1509</v>
      </c>
      <c r="H115" s="12" t="n">
        <v>1</v>
      </c>
      <c r="I115" s="12" t="n">
        <v>4</v>
      </c>
      <c r="J115" s="12" t="s">
        <v>1325</v>
      </c>
      <c r="K115" s="12" t="s">
        <v>202</v>
      </c>
      <c r="L115" s="12" t="s">
        <v>202</v>
      </c>
      <c r="M115" s="12" t="s">
        <v>202</v>
      </c>
      <c r="N115" s="12" t="s">
        <v>202</v>
      </c>
      <c r="O115" s="12" t="s">
        <v>202</v>
      </c>
      <c r="P115" s="12" t="s">
        <v>1510</v>
      </c>
    </row>
    <row r="116" customFormat="false" ht="15" hidden="false" customHeight="false" outlineLevel="0" collapsed="false">
      <c r="A116" s="12" t="s">
        <v>1511</v>
      </c>
      <c r="B116" s="12" t="s">
        <v>936</v>
      </c>
      <c r="C116" s="12" t="s">
        <v>396</v>
      </c>
      <c r="D116" s="12" t="s">
        <v>385</v>
      </c>
      <c r="E116" s="12" t="s">
        <v>1239</v>
      </c>
      <c r="F116" s="13" t="n">
        <v>-0.03</v>
      </c>
      <c r="G116" s="12" t="s">
        <v>1240</v>
      </c>
      <c r="H116" s="12" t="n">
        <v>0</v>
      </c>
      <c r="I116" s="12" t="n">
        <v>1</v>
      </c>
      <c r="J116" s="12" t="s">
        <v>1236</v>
      </c>
      <c r="K116" s="12" t="s">
        <v>202</v>
      </c>
      <c r="L116" s="12" t="s">
        <v>202</v>
      </c>
      <c r="M116" s="12" t="s">
        <v>202</v>
      </c>
      <c r="N116" s="12" t="s">
        <v>202</v>
      </c>
      <c r="O116" s="12" t="s">
        <v>202</v>
      </c>
      <c r="P116" s="12" t="s">
        <v>1512</v>
      </c>
    </row>
    <row r="117" customFormat="false" ht="15" hidden="false" customHeight="false" outlineLevel="0" collapsed="false">
      <c r="A117" s="12" t="s">
        <v>1513</v>
      </c>
      <c r="B117" s="12" t="s">
        <v>936</v>
      </c>
      <c r="C117" s="12" t="s">
        <v>296</v>
      </c>
      <c r="D117" s="12" t="s">
        <v>41</v>
      </c>
      <c r="E117" s="12" t="s">
        <v>1239</v>
      </c>
      <c r="F117" s="13" t="n">
        <v>2</v>
      </c>
      <c r="G117" s="12" t="s">
        <v>1514</v>
      </c>
      <c r="H117" s="12" t="n">
        <v>3</v>
      </c>
      <c r="I117" s="12" t="n">
        <v>4</v>
      </c>
      <c r="J117" s="12" t="s">
        <v>1325</v>
      </c>
      <c r="K117" s="12" t="s">
        <v>202</v>
      </c>
      <c r="L117" s="12" t="s">
        <v>202</v>
      </c>
      <c r="M117" s="12" t="s">
        <v>202</v>
      </c>
      <c r="N117" s="12" t="s">
        <v>202</v>
      </c>
      <c r="O117" s="12" t="s">
        <v>202</v>
      </c>
      <c r="P117" s="12" t="s">
        <v>1515</v>
      </c>
    </row>
    <row r="118" customFormat="false" ht="15" hidden="false" customHeight="false" outlineLevel="0" collapsed="false">
      <c r="A118" s="12" t="s">
        <v>1516</v>
      </c>
      <c r="B118" s="12" t="s">
        <v>936</v>
      </c>
      <c r="C118" s="12" t="s">
        <v>267</v>
      </c>
      <c r="D118" s="12" t="s">
        <v>41</v>
      </c>
      <c r="E118" s="12" t="s">
        <v>1239</v>
      </c>
      <c r="F118" s="13" t="n">
        <v>-1</v>
      </c>
      <c r="G118" s="12" t="s">
        <v>1509</v>
      </c>
      <c r="H118" s="12" t="n">
        <v>1</v>
      </c>
      <c r="I118" s="12" t="n">
        <v>4</v>
      </c>
      <c r="J118" s="12" t="s">
        <v>1243</v>
      </c>
      <c r="K118" s="12" t="s">
        <v>1517</v>
      </c>
      <c r="L118" s="12" t="s">
        <v>1245</v>
      </c>
      <c r="M118" s="12" t="s">
        <v>202</v>
      </c>
      <c r="N118" s="12" t="s">
        <v>202</v>
      </c>
      <c r="O118" s="12" t="s">
        <v>202</v>
      </c>
      <c r="P118" s="12" t="s">
        <v>1518</v>
      </c>
    </row>
    <row r="119" customFormat="false" ht="15" hidden="false" customHeight="false" outlineLevel="0" collapsed="false">
      <c r="A119" s="12" t="s">
        <v>1519</v>
      </c>
      <c r="B119" s="12" t="s">
        <v>936</v>
      </c>
      <c r="C119" s="12" t="s">
        <v>1520</v>
      </c>
      <c r="D119" s="12" t="s">
        <v>1314</v>
      </c>
      <c r="E119" s="12" t="s">
        <v>1315</v>
      </c>
      <c r="F119" s="13" t="n">
        <v>1</v>
      </c>
      <c r="G119" s="12" t="s">
        <v>1316</v>
      </c>
      <c r="H119" s="12" t="n">
        <v>0</v>
      </c>
      <c r="I119" s="12" t="s">
        <v>1317</v>
      </c>
      <c r="J119" s="12" t="s">
        <v>1236</v>
      </c>
      <c r="K119" s="12" t="s">
        <v>202</v>
      </c>
      <c r="L119" s="12" t="s">
        <v>202</v>
      </c>
      <c r="M119" s="12" t="s">
        <v>202</v>
      </c>
      <c r="N119" s="12" t="s">
        <v>202</v>
      </c>
      <c r="O119" s="12" t="s">
        <v>202</v>
      </c>
      <c r="P119" s="12" t="s">
        <v>1521</v>
      </c>
    </row>
    <row r="120" customFormat="false" ht="15" hidden="false" customHeight="false" outlineLevel="0" collapsed="false">
      <c r="A120" s="12" t="s">
        <v>1522</v>
      </c>
      <c r="B120" s="12" t="s">
        <v>944</v>
      </c>
      <c r="C120" s="12" t="s">
        <v>296</v>
      </c>
      <c r="D120" s="12" t="s">
        <v>41</v>
      </c>
      <c r="E120" s="12" t="s">
        <v>1239</v>
      </c>
      <c r="F120" s="13" t="n">
        <v>3</v>
      </c>
      <c r="G120" s="12" t="s">
        <v>1523</v>
      </c>
      <c r="H120" s="12" t="n">
        <v>2</v>
      </c>
      <c r="I120" s="12" t="n">
        <v>6</v>
      </c>
      <c r="J120" s="12" t="s">
        <v>1325</v>
      </c>
      <c r="K120" s="12" t="s">
        <v>202</v>
      </c>
      <c r="L120" s="12" t="s">
        <v>202</v>
      </c>
      <c r="M120" s="12" t="s">
        <v>202</v>
      </c>
      <c r="N120" s="12" t="s">
        <v>202</v>
      </c>
      <c r="O120" s="12" t="s">
        <v>202</v>
      </c>
      <c r="P120" s="12" t="s">
        <v>1524</v>
      </c>
    </row>
    <row r="121" customFormat="false" ht="15" hidden="false" customHeight="false" outlineLevel="0" collapsed="false">
      <c r="A121" s="12" t="s">
        <v>1525</v>
      </c>
      <c r="B121" s="12" t="s">
        <v>944</v>
      </c>
      <c r="C121" s="12" t="s">
        <v>267</v>
      </c>
      <c r="D121" s="12" t="s">
        <v>41</v>
      </c>
      <c r="E121" s="12" t="s">
        <v>1239</v>
      </c>
      <c r="F121" s="13" t="n">
        <v>3</v>
      </c>
      <c r="G121" s="12" t="s">
        <v>1240</v>
      </c>
      <c r="H121" s="12" t="n">
        <v>0</v>
      </c>
      <c r="I121" s="12" t="n">
        <v>1</v>
      </c>
      <c r="J121" s="12" t="s">
        <v>1236</v>
      </c>
      <c r="K121" s="12" t="s">
        <v>202</v>
      </c>
      <c r="L121" s="12" t="s">
        <v>202</v>
      </c>
      <c r="M121" s="12" t="s">
        <v>202</v>
      </c>
      <c r="N121" s="12" t="s">
        <v>202</v>
      </c>
      <c r="O121" s="12" t="s">
        <v>202</v>
      </c>
      <c r="P121" s="12" t="s">
        <v>1526</v>
      </c>
    </row>
    <row r="122" customFormat="false" ht="15" hidden="false" customHeight="false" outlineLevel="0" collapsed="false">
      <c r="A122" s="12" t="s">
        <v>1527</v>
      </c>
      <c r="B122" s="12" t="s">
        <v>944</v>
      </c>
      <c r="C122" s="12" t="s">
        <v>248</v>
      </c>
      <c r="D122" s="12" t="s">
        <v>41</v>
      </c>
      <c r="E122" s="12" t="s">
        <v>1239</v>
      </c>
      <c r="F122" s="13" t="n">
        <v>1</v>
      </c>
      <c r="G122" s="12" t="s">
        <v>1528</v>
      </c>
      <c r="H122" s="12" t="n">
        <v>2</v>
      </c>
      <c r="I122" s="12" t="n">
        <v>4</v>
      </c>
      <c r="J122" s="12" t="s">
        <v>1325</v>
      </c>
      <c r="K122" s="12" t="s">
        <v>202</v>
      </c>
      <c r="L122" s="12" t="s">
        <v>202</v>
      </c>
      <c r="M122" s="12" t="s">
        <v>202</v>
      </c>
      <c r="N122" s="12" t="s">
        <v>202</v>
      </c>
      <c r="O122" s="12" t="s">
        <v>202</v>
      </c>
      <c r="P122" s="12" t="s">
        <v>1478</v>
      </c>
    </row>
    <row r="123" customFormat="false" ht="15" hidden="false" customHeight="false" outlineLevel="0" collapsed="false">
      <c r="A123" s="12" t="s">
        <v>1529</v>
      </c>
      <c r="B123" s="12" t="s">
        <v>944</v>
      </c>
      <c r="C123" s="12" t="s">
        <v>361</v>
      </c>
      <c r="D123" s="12" t="s">
        <v>41</v>
      </c>
      <c r="E123" s="12" t="s">
        <v>1239</v>
      </c>
      <c r="F123" s="13" t="n">
        <v>-3</v>
      </c>
      <c r="G123" s="12" t="s">
        <v>1240</v>
      </c>
      <c r="H123" s="12" t="n">
        <v>0</v>
      </c>
      <c r="I123" s="12" t="n">
        <v>1</v>
      </c>
      <c r="J123" s="12" t="s">
        <v>1236</v>
      </c>
      <c r="K123" s="12" t="s">
        <v>202</v>
      </c>
      <c r="L123" s="12" t="s">
        <v>202</v>
      </c>
      <c r="M123" s="12" t="s">
        <v>202</v>
      </c>
      <c r="N123" s="12" t="s">
        <v>202</v>
      </c>
      <c r="O123" s="12" t="s">
        <v>202</v>
      </c>
      <c r="P123" s="12" t="s">
        <v>1530</v>
      </c>
    </row>
    <row r="124" customFormat="false" ht="15" hidden="false" customHeight="false" outlineLevel="0" collapsed="false">
      <c r="A124" s="12" t="s">
        <v>1531</v>
      </c>
      <c r="B124" s="12" t="s">
        <v>944</v>
      </c>
      <c r="C124" s="12" t="s">
        <v>361</v>
      </c>
      <c r="D124" s="12" t="s">
        <v>41</v>
      </c>
      <c r="E124" s="12" t="s">
        <v>1239</v>
      </c>
      <c r="F124" s="13" t="n">
        <v>-1</v>
      </c>
      <c r="G124" s="12" t="s">
        <v>1528</v>
      </c>
      <c r="H124" s="12" t="n">
        <v>2</v>
      </c>
      <c r="I124" s="12" t="n">
        <v>4</v>
      </c>
      <c r="J124" s="12" t="s">
        <v>1325</v>
      </c>
      <c r="K124" s="12" t="s">
        <v>202</v>
      </c>
      <c r="L124" s="12" t="s">
        <v>202</v>
      </c>
      <c r="M124" s="12" t="s">
        <v>202</v>
      </c>
      <c r="N124" s="12" t="s">
        <v>202</v>
      </c>
      <c r="O124" s="12" t="s">
        <v>202</v>
      </c>
      <c r="P124" s="12" t="s">
        <v>1532</v>
      </c>
    </row>
    <row r="125" customFormat="false" ht="15" hidden="false" customHeight="false" outlineLevel="0" collapsed="false">
      <c r="A125" s="12" t="s">
        <v>1533</v>
      </c>
      <c r="B125" s="12" t="s">
        <v>944</v>
      </c>
      <c r="C125" s="12" t="s">
        <v>361</v>
      </c>
      <c r="D125" s="12" t="s">
        <v>41</v>
      </c>
      <c r="E125" s="12" t="s">
        <v>1239</v>
      </c>
      <c r="F125" s="13" t="n">
        <v>1</v>
      </c>
      <c r="G125" s="12" t="s">
        <v>1528</v>
      </c>
      <c r="H125" s="12" t="n">
        <v>2</v>
      </c>
      <c r="I125" s="12" t="n">
        <v>4</v>
      </c>
      <c r="J125" s="12" t="s">
        <v>1243</v>
      </c>
      <c r="K125" s="12" t="s">
        <v>1534</v>
      </c>
      <c r="L125" s="12" t="s">
        <v>1245</v>
      </c>
      <c r="M125" s="12" t="s">
        <v>202</v>
      </c>
      <c r="N125" s="12" t="s">
        <v>202</v>
      </c>
      <c r="O125" s="12" t="s">
        <v>202</v>
      </c>
      <c r="P125" s="12" t="s">
        <v>1535</v>
      </c>
    </row>
    <row r="126" customFormat="false" ht="15" hidden="false" customHeight="false" outlineLevel="0" collapsed="false">
      <c r="A126" s="12" t="s">
        <v>1536</v>
      </c>
      <c r="B126" s="12" t="s">
        <v>944</v>
      </c>
      <c r="C126" s="12" t="s">
        <v>267</v>
      </c>
      <c r="D126" s="12" t="s">
        <v>41</v>
      </c>
      <c r="E126" s="12" t="s">
        <v>1239</v>
      </c>
      <c r="F126" s="13" t="n">
        <v>-1</v>
      </c>
      <c r="G126" s="12" t="s">
        <v>1240</v>
      </c>
      <c r="H126" s="12" t="n">
        <v>0</v>
      </c>
      <c r="I126" s="12" t="n">
        <v>1</v>
      </c>
      <c r="J126" s="12" t="s">
        <v>1243</v>
      </c>
      <c r="K126" s="12" t="s">
        <v>1534</v>
      </c>
      <c r="L126" s="12" t="s">
        <v>1245</v>
      </c>
      <c r="M126" s="12" t="s">
        <v>202</v>
      </c>
      <c r="N126" s="12" t="s">
        <v>202</v>
      </c>
      <c r="O126" s="12" t="s">
        <v>202</v>
      </c>
      <c r="P126" s="12" t="s">
        <v>1537</v>
      </c>
    </row>
    <row r="127" customFormat="false" ht="15" hidden="false" customHeight="false" outlineLevel="0" collapsed="false">
      <c r="A127" s="12" t="s">
        <v>1538</v>
      </c>
      <c r="B127" s="12" t="s">
        <v>944</v>
      </c>
      <c r="C127" s="12" t="s">
        <v>267</v>
      </c>
      <c r="D127" s="12" t="s">
        <v>41</v>
      </c>
      <c r="E127" s="12" t="s">
        <v>1239</v>
      </c>
      <c r="F127" s="13" t="n">
        <v>2</v>
      </c>
      <c r="G127" s="12" t="s">
        <v>1240</v>
      </c>
      <c r="H127" s="12" t="n">
        <v>0</v>
      </c>
      <c r="I127" s="12" t="n">
        <v>1</v>
      </c>
      <c r="J127" s="12" t="s">
        <v>1243</v>
      </c>
      <c r="K127" s="12" t="s">
        <v>1539</v>
      </c>
      <c r="L127" s="12" t="s">
        <v>1245</v>
      </c>
      <c r="M127" s="12" t="s">
        <v>202</v>
      </c>
      <c r="N127" s="12" t="s">
        <v>202</v>
      </c>
      <c r="O127" s="12" t="s">
        <v>202</v>
      </c>
      <c r="P127" s="12" t="s">
        <v>1540</v>
      </c>
    </row>
    <row r="128" customFormat="false" ht="15" hidden="false" customHeight="false" outlineLevel="0" collapsed="false">
      <c r="A128" s="12" t="s">
        <v>1541</v>
      </c>
      <c r="B128" s="12" t="s">
        <v>944</v>
      </c>
      <c r="C128" s="12" t="s">
        <v>296</v>
      </c>
      <c r="D128" s="12" t="s">
        <v>41</v>
      </c>
      <c r="E128" s="12" t="s">
        <v>1239</v>
      </c>
      <c r="F128" s="13" t="n">
        <v>1</v>
      </c>
      <c r="G128" s="12" t="s">
        <v>1523</v>
      </c>
      <c r="H128" s="12" t="n">
        <v>2</v>
      </c>
      <c r="I128" s="12" t="n">
        <v>6</v>
      </c>
      <c r="J128" s="12" t="s">
        <v>1243</v>
      </c>
      <c r="K128" s="12" t="s">
        <v>1542</v>
      </c>
      <c r="L128" s="12" t="s">
        <v>1245</v>
      </c>
      <c r="M128" s="12" t="s">
        <v>202</v>
      </c>
      <c r="N128" s="12" t="s">
        <v>202</v>
      </c>
      <c r="O128" s="12" t="s">
        <v>202</v>
      </c>
      <c r="P128" s="12" t="s">
        <v>1543</v>
      </c>
    </row>
    <row r="129" customFormat="false" ht="15" hidden="false" customHeight="false" outlineLevel="0" collapsed="false">
      <c r="A129" s="12" t="s">
        <v>1544</v>
      </c>
      <c r="B129" s="12" t="s">
        <v>952</v>
      </c>
      <c r="C129" s="12" t="s">
        <v>296</v>
      </c>
      <c r="D129" s="12" t="s">
        <v>41</v>
      </c>
      <c r="E129" s="12" t="s">
        <v>1239</v>
      </c>
      <c r="F129" s="13" t="n">
        <v>2</v>
      </c>
      <c r="G129" s="12" t="s">
        <v>1528</v>
      </c>
      <c r="H129" s="12" t="n">
        <v>2</v>
      </c>
      <c r="I129" s="12" t="n">
        <v>4</v>
      </c>
      <c r="J129" s="12" t="s">
        <v>1325</v>
      </c>
      <c r="K129" s="12" t="s">
        <v>202</v>
      </c>
      <c r="L129" s="12" t="s">
        <v>202</v>
      </c>
      <c r="M129" s="12" t="s">
        <v>202</v>
      </c>
      <c r="N129" s="12" t="s">
        <v>202</v>
      </c>
      <c r="O129" s="12" t="s">
        <v>202</v>
      </c>
      <c r="P129" s="12" t="s">
        <v>1545</v>
      </c>
    </row>
    <row r="130" customFormat="false" ht="15" hidden="false" customHeight="false" outlineLevel="0" collapsed="false">
      <c r="A130" s="12" t="s">
        <v>1546</v>
      </c>
      <c r="B130" s="12" t="s">
        <v>952</v>
      </c>
      <c r="C130" s="12" t="s">
        <v>267</v>
      </c>
      <c r="D130" s="12" t="s">
        <v>41</v>
      </c>
      <c r="E130" s="12" t="s">
        <v>1239</v>
      </c>
      <c r="F130" s="13" t="n">
        <v>2</v>
      </c>
      <c r="G130" s="12" t="s">
        <v>1270</v>
      </c>
      <c r="H130" s="12" t="n">
        <v>1</v>
      </c>
      <c r="I130" s="12" t="n">
        <v>1</v>
      </c>
      <c r="J130" s="12" t="s">
        <v>1271</v>
      </c>
      <c r="K130" s="12" t="s">
        <v>202</v>
      </c>
      <c r="L130" s="12" t="s">
        <v>202</v>
      </c>
      <c r="M130" s="12" t="s">
        <v>202</v>
      </c>
      <c r="N130" s="12" t="s">
        <v>202</v>
      </c>
      <c r="O130" s="12" t="s">
        <v>202</v>
      </c>
      <c r="P130" s="12" t="s">
        <v>1547</v>
      </c>
    </row>
    <row r="131" customFormat="false" ht="15" hidden="false" customHeight="false" outlineLevel="0" collapsed="false">
      <c r="A131" s="12" t="s">
        <v>1548</v>
      </c>
      <c r="B131" s="12" t="s">
        <v>952</v>
      </c>
      <c r="C131" s="12" t="s">
        <v>248</v>
      </c>
      <c r="D131" s="12" t="s">
        <v>41</v>
      </c>
      <c r="E131" s="12" t="s">
        <v>1234</v>
      </c>
      <c r="F131" s="13" t="n">
        <v>-3</v>
      </c>
      <c r="G131" s="12" t="s">
        <v>1253</v>
      </c>
      <c r="H131" s="12" t="n">
        <v>1</v>
      </c>
      <c r="I131" s="12" t="n">
        <v>3</v>
      </c>
      <c r="J131" s="12" t="s">
        <v>1271</v>
      </c>
      <c r="K131" s="12" t="s">
        <v>202</v>
      </c>
      <c r="L131" s="12" t="s">
        <v>202</v>
      </c>
      <c r="M131" s="12" t="s">
        <v>202</v>
      </c>
      <c r="N131" s="12" t="s">
        <v>202</v>
      </c>
      <c r="O131" s="12" t="s">
        <v>202</v>
      </c>
      <c r="P131" s="12" t="s">
        <v>1549</v>
      </c>
    </row>
    <row r="132" customFormat="false" ht="15" hidden="false" customHeight="false" outlineLevel="0" collapsed="false">
      <c r="A132" s="12" t="s">
        <v>1550</v>
      </c>
      <c r="B132" s="12" t="s">
        <v>952</v>
      </c>
      <c r="C132" s="12" t="s">
        <v>248</v>
      </c>
      <c r="D132" s="12" t="s">
        <v>41</v>
      </c>
      <c r="E132" s="12" t="s">
        <v>1239</v>
      </c>
      <c r="F132" s="13" t="n">
        <v>1</v>
      </c>
      <c r="G132" s="12" t="s">
        <v>1417</v>
      </c>
      <c r="H132" s="12" t="n">
        <v>4</v>
      </c>
      <c r="I132" s="12" t="n">
        <v>1</v>
      </c>
      <c r="J132" s="12" t="s">
        <v>1271</v>
      </c>
      <c r="K132" s="12" t="s">
        <v>202</v>
      </c>
      <c r="L132" s="12" t="s">
        <v>202</v>
      </c>
      <c r="M132" s="12" t="s">
        <v>202</v>
      </c>
      <c r="N132" s="12" t="s">
        <v>202</v>
      </c>
      <c r="O132" s="12" t="s">
        <v>202</v>
      </c>
      <c r="P132" s="12" t="s">
        <v>1551</v>
      </c>
    </row>
    <row r="133" customFormat="false" ht="15" hidden="false" customHeight="false" outlineLevel="0" collapsed="false">
      <c r="A133" s="12" t="s">
        <v>1552</v>
      </c>
      <c r="B133" s="12" t="s">
        <v>952</v>
      </c>
      <c r="C133" s="12" t="s">
        <v>248</v>
      </c>
      <c r="D133" s="12" t="s">
        <v>41</v>
      </c>
      <c r="E133" s="12" t="s">
        <v>1234</v>
      </c>
      <c r="F133" s="13" t="n">
        <v>-2</v>
      </c>
      <c r="G133" s="12" t="s">
        <v>1253</v>
      </c>
      <c r="H133" s="12" t="n">
        <v>1</v>
      </c>
      <c r="I133" s="12" t="n">
        <v>3</v>
      </c>
      <c r="J133" s="12" t="s">
        <v>1243</v>
      </c>
      <c r="K133" s="12" t="s">
        <v>1448</v>
      </c>
      <c r="L133" s="12" t="s">
        <v>1245</v>
      </c>
      <c r="M133" s="12" t="s">
        <v>202</v>
      </c>
      <c r="N133" s="12" t="s">
        <v>202</v>
      </c>
      <c r="O133" s="12" t="s">
        <v>202</v>
      </c>
      <c r="P133" s="12" t="s">
        <v>1553</v>
      </c>
    </row>
    <row r="134" customFormat="false" ht="15" hidden="false" customHeight="false" outlineLevel="0" collapsed="false">
      <c r="A134" s="12" t="s">
        <v>1554</v>
      </c>
      <c r="B134" s="12" t="s">
        <v>958</v>
      </c>
      <c r="C134" s="12" t="s">
        <v>388</v>
      </c>
      <c r="D134" s="12" t="s">
        <v>385</v>
      </c>
      <c r="E134" s="12" t="s">
        <v>1239</v>
      </c>
      <c r="F134" s="13" t="n">
        <v>150</v>
      </c>
      <c r="G134" s="12" t="s">
        <v>1240</v>
      </c>
      <c r="H134" s="12" t="n">
        <v>0</v>
      </c>
      <c r="I134" s="12" t="n">
        <v>1</v>
      </c>
      <c r="J134" s="12" t="s">
        <v>1236</v>
      </c>
      <c r="K134" s="12" t="s">
        <v>202</v>
      </c>
      <c r="L134" s="12" t="s">
        <v>202</v>
      </c>
      <c r="M134" s="12" t="s">
        <v>202</v>
      </c>
      <c r="N134" s="12" t="s">
        <v>202</v>
      </c>
      <c r="O134" s="12" t="s">
        <v>202</v>
      </c>
      <c r="P134" s="12" t="s">
        <v>1555</v>
      </c>
    </row>
    <row r="135" customFormat="false" ht="15" hidden="false" customHeight="false" outlineLevel="0" collapsed="false">
      <c r="A135" s="12" t="s">
        <v>1556</v>
      </c>
      <c r="B135" s="12" t="s">
        <v>958</v>
      </c>
      <c r="C135" s="12" t="s">
        <v>258</v>
      </c>
      <c r="D135" s="12" t="s">
        <v>41</v>
      </c>
      <c r="E135" s="12" t="s">
        <v>1239</v>
      </c>
      <c r="F135" s="13" t="n">
        <v>3</v>
      </c>
      <c r="G135" s="12" t="s">
        <v>1240</v>
      </c>
      <c r="H135" s="12" t="n">
        <v>0</v>
      </c>
      <c r="I135" s="12" t="n">
        <v>1</v>
      </c>
      <c r="J135" s="12" t="s">
        <v>1236</v>
      </c>
      <c r="K135" s="12" t="s">
        <v>202</v>
      </c>
      <c r="L135" s="12" t="s">
        <v>202</v>
      </c>
      <c r="M135" s="12" t="s">
        <v>202</v>
      </c>
      <c r="N135" s="12" t="s">
        <v>202</v>
      </c>
      <c r="O135" s="12" t="s">
        <v>202</v>
      </c>
      <c r="P135" s="12" t="s">
        <v>1557</v>
      </c>
    </row>
    <row r="136" customFormat="false" ht="15" hidden="false" customHeight="false" outlineLevel="0" collapsed="false">
      <c r="A136" s="12" t="s">
        <v>1558</v>
      </c>
      <c r="B136" s="12" t="s">
        <v>958</v>
      </c>
      <c r="C136" s="12" t="s">
        <v>248</v>
      </c>
      <c r="D136" s="12" t="s">
        <v>41</v>
      </c>
      <c r="E136" s="12" t="s">
        <v>1234</v>
      </c>
      <c r="F136" s="13" t="n">
        <v>1</v>
      </c>
      <c r="G136" s="12" t="s">
        <v>1235</v>
      </c>
      <c r="H136" s="12" t="n">
        <v>0</v>
      </c>
      <c r="I136" s="12" t="n">
        <v>2</v>
      </c>
      <c r="J136" s="12" t="s">
        <v>1236</v>
      </c>
      <c r="K136" s="12" t="s">
        <v>202</v>
      </c>
      <c r="L136" s="12" t="s">
        <v>202</v>
      </c>
      <c r="M136" s="12" t="s">
        <v>202</v>
      </c>
      <c r="N136" s="12" t="s">
        <v>202</v>
      </c>
      <c r="O136" s="12" t="s">
        <v>202</v>
      </c>
      <c r="P136" s="12" t="s">
        <v>1559</v>
      </c>
    </row>
    <row r="137" customFormat="false" ht="15" hidden="false" customHeight="false" outlineLevel="0" collapsed="false">
      <c r="A137" s="12" t="s">
        <v>1560</v>
      </c>
      <c r="B137" s="12" t="s">
        <v>958</v>
      </c>
      <c r="C137" s="12" t="s">
        <v>315</v>
      </c>
      <c r="D137" s="12" t="s">
        <v>41</v>
      </c>
      <c r="E137" s="12" t="s">
        <v>1239</v>
      </c>
      <c r="F137" s="13" t="n">
        <v>1</v>
      </c>
      <c r="G137" s="12" t="s">
        <v>1270</v>
      </c>
      <c r="H137" s="12" t="n">
        <v>1</v>
      </c>
      <c r="I137" s="12" t="n">
        <v>1</v>
      </c>
      <c r="J137" s="12" t="s">
        <v>1271</v>
      </c>
      <c r="K137" s="12" t="s">
        <v>202</v>
      </c>
      <c r="L137" s="12" t="s">
        <v>202</v>
      </c>
      <c r="M137" s="12" t="s">
        <v>202</v>
      </c>
      <c r="N137" s="12" t="s">
        <v>202</v>
      </c>
      <c r="O137" s="12" t="s">
        <v>202</v>
      </c>
      <c r="P137" s="12" t="s">
        <v>1561</v>
      </c>
    </row>
    <row r="138" customFormat="false" ht="15" hidden="false" customHeight="false" outlineLevel="0" collapsed="false">
      <c r="A138" s="12" t="s">
        <v>1562</v>
      </c>
      <c r="B138" s="12" t="s">
        <v>958</v>
      </c>
      <c r="C138" s="12" t="s">
        <v>325</v>
      </c>
      <c r="D138" s="12" t="s">
        <v>41</v>
      </c>
      <c r="E138" s="12" t="s">
        <v>1239</v>
      </c>
      <c r="F138" s="13" t="n">
        <v>1</v>
      </c>
      <c r="G138" s="12" t="s">
        <v>1270</v>
      </c>
      <c r="H138" s="12" t="n">
        <v>1</v>
      </c>
      <c r="I138" s="12" t="n">
        <v>1</v>
      </c>
      <c r="J138" s="12" t="s">
        <v>1271</v>
      </c>
      <c r="K138" s="12" t="s">
        <v>202</v>
      </c>
      <c r="L138" s="12" t="s">
        <v>202</v>
      </c>
      <c r="M138" s="12" t="s">
        <v>202</v>
      </c>
      <c r="N138" s="12" t="s">
        <v>202</v>
      </c>
      <c r="O138" s="12" t="s">
        <v>202</v>
      </c>
      <c r="P138" s="12" t="s">
        <v>1563</v>
      </c>
    </row>
    <row r="139" customFormat="false" ht="15" hidden="false" customHeight="false" outlineLevel="0" collapsed="false">
      <c r="A139" s="12" t="s">
        <v>1564</v>
      </c>
      <c r="B139" s="12" t="s">
        <v>958</v>
      </c>
      <c r="C139" s="12" t="s">
        <v>235</v>
      </c>
      <c r="D139" s="12" t="s">
        <v>41</v>
      </c>
      <c r="E139" s="12" t="s">
        <v>1239</v>
      </c>
      <c r="F139" s="13" t="n">
        <v>1</v>
      </c>
      <c r="G139" s="12" t="s">
        <v>1240</v>
      </c>
      <c r="H139" s="12" t="n">
        <v>0</v>
      </c>
      <c r="I139" s="12" t="n">
        <v>1</v>
      </c>
      <c r="J139" s="12" t="s">
        <v>1243</v>
      </c>
      <c r="K139" s="12" t="s">
        <v>1244</v>
      </c>
      <c r="L139" s="12" t="s">
        <v>1245</v>
      </c>
      <c r="M139" s="12" t="s">
        <v>202</v>
      </c>
      <c r="N139" s="12" t="s">
        <v>202</v>
      </c>
      <c r="O139" s="12" t="s">
        <v>202</v>
      </c>
      <c r="P139" s="12" t="s">
        <v>1565</v>
      </c>
    </row>
    <row r="140" customFormat="false" ht="15" hidden="false" customHeight="false" outlineLevel="0" collapsed="false">
      <c r="A140" s="12" t="s">
        <v>1566</v>
      </c>
      <c r="B140" s="12" t="s">
        <v>958</v>
      </c>
      <c r="C140" s="12" t="s">
        <v>402</v>
      </c>
      <c r="D140" s="12" t="s">
        <v>420</v>
      </c>
      <c r="E140" s="12" t="s">
        <v>1239</v>
      </c>
      <c r="F140" s="13" t="n">
        <v>2</v>
      </c>
      <c r="G140" s="12" t="s">
        <v>1240</v>
      </c>
      <c r="H140" s="12" t="n">
        <v>0</v>
      </c>
      <c r="I140" s="12" t="n">
        <v>1</v>
      </c>
      <c r="J140" s="12" t="s">
        <v>1243</v>
      </c>
      <c r="K140" s="12" t="s">
        <v>1567</v>
      </c>
      <c r="L140" s="12" t="s">
        <v>1245</v>
      </c>
      <c r="M140" s="12" t="s">
        <v>202</v>
      </c>
      <c r="N140" s="12" t="s">
        <v>202</v>
      </c>
      <c r="O140" s="12" t="s">
        <v>202</v>
      </c>
      <c r="P140" s="12" t="s">
        <v>1568</v>
      </c>
    </row>
    <row r="141" customFormat="false" ht="15" hidden="false" customHeight="false" outlineLevel="0" collapsed="false">
      <c r="A141" s="12" t="s">
        <v>1569</v>
      </c>
      <c r="B141" s="12" t="s">
        <v>963</v>
      </c>
      <c r="C141" s="12" t="s">
        <v>258</v>
      </c>
      <c r="D141" s="12" t="s">
        <v>41</v>
      </c>
      <c r="E141" s="12" t="s">
        <v>1239</v>
      </c>
      <c r="F141" s="13" t="n">
        <v>4</v>
      </c>
      <c r="G141" s="12" t="s">
        <v>1240</v>
      </c>
      <c r="H141" s="12" t="n">
        <v>0</v>
      </c>
      <c r="I141" s="12" t="n">
        <v>1</v>
      </c>
      <c r="J141" s="12" t="s">
        <v>1236</v>
      </c>
      <c r="K141" s="12" t="s">
        <v>202</v>
      </c>
      <c r="L141" s="12" t="s">
        <v>202</v>
      </c>
      <c r="M141" s="12" t="s">
        <v>202</v>
      </c>
      <c r="N141" s="12" t="s">
        <v>202</v>
      </c>
      <c r="O141" s="12" t="s">
        <v>202</v>
      </c>
      <c r="P141" s="12" t="s">
        <v>1570</v>
      </c>
    </row>
    <row r="142" customFormat="false" ht="15" hidden="false" customHeight="false" outlineLevel="0" collapsed="false">
      <c r="A142" s="12" t="s">
        <v>1571</v>
      </c>
      <c r="B142" s="12" t="s">
        <v>963</v>
      </c>
      <c r="C142" s="12" t="s">
        <v>235</v>
      </c>
      <c r="D142" s="12" t="s">
        <v>41</v>
      </c>
      <c r="E142" s="12" t="s">
        <v>1239</v>
      </c>
      <c r="F142" s="13" t="n">
        <v>2</v>
      </c>
      <c r="G142" s="12" t="s">
        <v>1270</v>
      </c>
      <c r="H142" s="12" t="n">
        <v>1</v>
      </c>
      <c r="I142" s="12" t="n">
        <v>1</v>
      </c>
      <c r="J142" s="12" t="s">
        <v>1271</v>
      </c>
      <c r="K142" s="12" t="s">
        <v>202</v>
      </c>
      <c r="L142" s="12" t="s">
        <v>202</v>
      </c>
      <c r="M142" s="12" t="s">
        <v>202</v>
      </c>
      <c r="N142" s="12" t="s">
        <v>202</v>
      </c>
      <c r="O142" s="12" t="s">
        <v>202</v>
      </c>
      <c r="P142" s="12" t="s">
        <v>1572</v>
      </c>
    </row>
    <row r="143" customFormat="false" ht="15" hidden="false" customHeight="false" outlineLevel="0" collapsed="false">
      <c r="A143" s="12" t="s">
        <v>1573</v>
      </c>
      <c r="B143" s="12" t="s">
        <v>963</v>
      </c>
      <c r="C143" s="12" t="s">
        <v>248</v>
      </c>
      <c r="D143" s="12" t="s">
        <v>41</v>
      </c>
      <c r="E143" s="12" t="s">
        <v>1234</v>
      </c>
      <c r="F143" s="13" t="n">
        <v>2</v>
      </c>
      <c r="G143" s="12" t="s">
        <v>1235</v>
      </c>
      <c r="H143" s="12" t="n">
        <v>0</v>
      </c>
      <c r="I143" s="12" t="n">
        <v>2</v>
      </c>
      <c r="J143" s="12" t="s">
        <v>1236</v>
      </c>
      <c r="K143" s="12" t="s">
        <v>202</v>
      </c>
      <c r="L143" s="12" t="s">
        <v>202</v>
      </c>
      <c r="M143" s="12" t="s">
        <v>202</v>
      </c>
      <c r="N143" s="12" t="s">
        <v>202</v>
      </c>
      <c r="O143" s="12" t="s">
        <v>202</v>
      </c>
      <c r="P143" s="12" t="s">
        <v>1559</v>
      </c>
    </row>
    <row r="144" customFormat="false" ht="15" hidden="false" customHeight="false" outlineLevel="0" collapsed="false">
      <c r="A144" s="12" t="s">
        <v>1574</v>
      </c>
      <c r="B144" s="12" t="s">
        <v>963</v>
      </c>
      <c r="C144" s="12" t="s">
        <v>267</v>
      </c>
      <c r="D144" s="12" t="s">
        <v>41</v>
      </c>
      <c r="E144" s="12" t="s">
        <v>1239</v>
      </c>
      <c r="F144" s="13" t="n">
        <v>-1</v>
      </c>
      <c r="G144" s="12" t="s">
        <v>1240</v>
      </c>
      <c r="H144" s="12" t="n">
        <v>0</v>
      </c>
      <c r="I144" s="12" t="n">
        <v>1</v>
      </c>
      <c r="J144" s="12" t="s">
        <v>1236</v>
      </c>
      <c r="K144" s="12" t="s">
        <v>202</v>
      </c>
      <c r="L144" s="12" t="s">
        <v>202</v>
      </c>
      <c r="M144" s="12" t="s">
        <v>202</v>
      </c>
      <c r="N144" s="12" t="s">
        <v>202</v>
      </c>
      <c r="O144" s="12" t="s">
        <v>202</v>
      </c>
      <c r="P144" s="12" t="s">
        <v>1575</v>
      </c>
    </row>
    <row r="145" customFormat="false" ht="15" hidden="false" customHeight="false" outlineLevel="0" collapsed="false">
      <c r="A145" s="12" t="s">
        <v>1576</v>
      </c>
      <c r="B145" s="12" t="s">
        <v>963</v>
      </c>
      <c r="C145" s="12" t="s">
        <v>258</v>
      </c>
      <c r="D145" s="12" t="s">
        <v>41</v>
      </c>
      <c r="E145" s="12" t="s">
        <v>1239</v>
      </c>
      <c r="F145" s="13" t="n">
        <v>-2</v>
      </c>
      <c r="G145" s="12" t="s">
        <v>1274</v>
      </c>
      <c r="H145" s="12" t="n">
        <v>2</v>
      </c>
      <c r="I145" s="12" t="n">
        <v>1</v>
      </c>
      <c r="J145" s="12" t="s">
        <v>1243</v>
      </c>
      <c r="K145" s="12" t="s">
        <v>1301</v>
      </c>
      <c r="L145" s="12" t="s">
        <v>1245</v>
      </c>
      <c r="M145" s="12" t="s">
        <v>202</v>
      </c>
      <c r="N145" s="12" t="s">
        <v>202</v>
      </c>
      <c r="O145" s="12" t="s">
        <v>202</v>
      </c>
      <c r="P145" s="12" t="s">
        <v>1577</v>
      </c>
    </row>
    <row r="146" customFormat="false" ht="15" hidden="false" customHeight="false" outlineLevel="0" collapsed="false">
      <c r="A146" s="12" t="s">
        <v>1578</v>
      </c>
      <c r="B146" s="12" t="s">
        <v>963</v>
      </c>
      <c r="C146" s="12" t="s">
        <v>248</v>
      </c>
      <c r="D146" s="12" t="s">
        <v>41</v>
      </c>
      <c r="E146" s="12" t="s">
        <v>1234</v>
      </c>
      <c r="F146" s="13" t="n">
        <v>-2</v>
      </c>
      <c r="G146" s="12" t="s">
        <v>1285</v>
      </c>
      <c r="H146" s="12" t="n">
        <v>1</v>
      </c>
      <c r="I146" s="12" t="n">
        <v>2</v>
      </c>
      <c r="J146" s="12" t="s">
        <v>1243</v>
      </c>
      <c r="K146" s="12" t="s">
        <v>1448</v>
      </c>
      <c r="L146" s="12" t="s">
        <v>1245</v>
      </c>
      <c r="M146" s="12" t="s">
        <v>202</v>
      </c>
      <c r="N146" s="12" t="s">
        <v>202</v>
      </c>
      <c r="O146" s="12" t="s">
        <v>202</v>
      </c>
      <c r="P146" s="12" t="s">
        <v>1579</v>
      </c>
    </row>
    <row r="147" customFormat="false" ht="15" hidden="false" customHeight="false" outlineLevel="0" collapsed="false">
      <c r="A147" s="12" t="s">
        <v>1580</v>
      </c>
      <c r="B147" s="12" t="s">
        <v>968</v>
      </c>
      <c r="C147" s="12" t="s">
        <v>267</v>
      </c>
      <c r="D147" s="12" t="s">
        <v>41</v>
      </c>
      <c r="E147" s="12" t="s">
        <v>1239</v>
      </c>
      <c r="F147" s="13" t="n">
        <v>3</v>
      </c>
      <c r="G147" s="12" t="s">
        <v>1270</v>
      </c>
      <c r="H147" s="12" t="n">
        <v>1</v>
      </c>
      <c r="I147" s="12" t="n">
        <v>1</v>
      </c>
      <c r="J147" s="12" t="s">
        <v>1271</v>
      </c>
      <c r="K147" s="12" t="s">
        <v>202</v>
      </c>
      <c r="L147" s="12" t="s">
        <v>202</v>
      </c>
      <c r="M147" s="12" t="s">
        <v>202</v>
      </c>
      <c r="N147" s="12" t="s">
        <v>202</v>
      </c>
      <c r="O147" s="12" t="s">
        <v>202</v>
      </c>
      <c r="P147" s="12" t="s">
        <v>1581</v>
      </c>
    </row>
    <row r="148" customFormat="false" ht="15" hidden="false" customHeight="false" outlineLevel="0" collapsed="false">
      <c r="A148" s="12" t="s">
        <v>1582</v>
      </c>
      <c r="B148" s="12" t="s">
        <v>968</v>
      </c>
      <c r="C148" s="12" t="s">
        <v>248</v>
      </c>
      <c r="D148" s="12" t="s">
        <v>41</v>
      </c>
      <c r="E148" s="12" t="s">
        <v>1239</v>
      </c>
      <c r="F148" s="13" t="n">
        <v>1</v>
      </c>
      <c r="G148" s="12" t="s">
        <v>1528</v>
      </c>
      <c r="H148" s="12" t="n">
        <v>2</v>
      </c>
      <c r="I148" s="12" t="n">
        <v>4</v>
      </c>
      <c r="J148" s="12" t="s">
        <v>1325</v>
      </c>
      <c r="K148" s="12" t="s">
        <v>202</v>
      </c>
      <c r="L148" s="12" t="s">
        <v>202</v>
      </c>
      <c r="M148" s="12" t="s">
        <v>202</v>
      </c>
      <c r="N148" s="12" t="s">
        <v>202</v>
      </c>
      <c r="O148" s="12" t="s">
        <v>202</v>
      </c>
      <c r="P148" s="12" t="s">
        <v>1583</v>
      </c>
    </row>
    <row r="149" customFormat="false" ht="15" hidden="false" customHeight="false" outlineLevel="0" collapsed="false">
      <c r="A149" s="12" t="s">
        <v>1584</v>
      </c>
      <c r="B149" s="12" t="s">
        <v>968</v>
      </c>
      <c r="C149" s="12" t="s">
        <v>258</v>
      </c>
      <c r="D149" s="12" t="s">
        <v>41</v>
      </c>
      <c r="E149" s="12" t="s">
        <v>1239</v>
      </c>
      <c r="F149" s="13" t="n">
        <v>-2</v>
      </c>
      <c r="G149" s="12" t="s">
        <v>1270</v>
      </c>
      <c r="H149" s="12" t="n">
        <v>1</v>
      </c>
      <c r="I149" s="12" t="n">
        <v>1</v>
      </c>
      <c r="J149" s="12" t="s">
        <v>1271</v>
      </c>
      <c r="K149" s="12" t="s">
        <v>202</v>
      </c>
      <c r="L149" s="12" t="s">
        <v>202</v>
      </c>
      <c r="M149" s="12" t="s">
        <v>202</v>
      </c>
      <c r="N149" s="12" t="s">
        <v>202</v>
      </c>
      <c r="O149" s="12" t="s">
        <v>202</v>
      </c>
      <c r="P149" s="12" t="s">
        <v>1585</v>
      </c>
    </row>
    <row r="150" customFormat="false" ht="15" hidden="false" customHeight="false" outlineLevel="0" collapsed="false">
      <c r="A150" s="12" t="s">
        <v>1586</v>
      </c>
      <c r="B150" s="12" t="s">
        <v>968</v>
      </c>
      <c r="C150" s="12" t="s">
        <v>370</v>
      </c>
      <c r="D150" s="12" t="s">
        <v>41</v>
      </c>
      <c r="E150" s="12" t="s">
        <v>1239</v>
      </c>
      <c r="F150" s="13" t="n">
        <v>8</v>
      </c>
      <c r="G150" s="12" t="s">
        <v>1240</v>
      </c>
      <c r="H150" s="12" t="n">
        <v>0</v>
      </c>
      <c r="I150" s="12" t="n">
        <v>1</v>
      </c>
      <c r="J150" s="12" t="s">
        <v>1236</v>
      </c>
      <c r="K150" s="12" t="s">
        <v>202</v>
      </c>
      <c r="L150" s="12" t="s">
        <v>202</v>
      </c>
      <c r="M150" s="12" t="s">
        <v>202</v>
      </c>
      <c r="N150" s="12" t="s">
        <v>202</v>
      </c>
      <c r="O150" s="12" t="s">
        <v>202</v>
      </c>
      <c r="P150" s="12" t="s">
        <v>1587</v>
      </c>
    </row>
    <row r="151" customFormat="false" ht="15" hidden="false" customHeight="false" outlineLevel="0" collapsed="false">
      <c r="A151" s="12" t="s">
        <v>1588</v>
      </c>
      <c r="B151" s="12" t="s">
        <v>968</v>
      </c>
      <c r="C151" s="12" t="s">
        <v>1589</v>
      </c>
      <c r="D151" s="12" t="s">
        <v>50</v>
      </c>
      <c r="E151" s="12" t="s">
        <v>1239</v>
      </c>
      <c r="F151" s="13" t="n">
        <v>-20</v>
      </c>
      <c r="G151" s="12" t="s">
        <v>1240</v>
      </c>
      <c r="H151" s="12" t="n">
        <v>0</v>
      </c>
      <c r="I151" s="12" t="n">
        <v>1</v>
      </c>
      <c r="J151" s="12" t="s">
        <v>1236</v>
      </c>
      <c r="K151" s="12" t="s">
        <v>202</v>
      </c>
      <c r="L151" s="12" t="s">
        <v>202</v>
      </c>
      <c r="M151" s="12" t="s">
        <v>202</v>
      </c>
      <c r="N151" s="12" t="s">
        <v>202</v>
      </c>
      <c r="O151" s="12" t="s">
        <v>202</v>
      </c>
      <c r="P151" s="12" t="s">
        <v>1590</v>
      </c>
    </row>
    <row r="152" customFormat="false" ht="15" hidden="false" customHeight="false" outlineLevel="0" collapsed="false">
      <c r="A152" s="12" t="s">
        <v>1591</v>
      </c>
      <c r="B152" s="12" t="s">
        <v>968</v>
      </c>
      <c r="C152" s="12" t="s">
        <v>370</v>
      </c>
      <c r="D152" s="12" t="s">
        <v>41</v>
      </c>
      <c r="E152" s="12" t="s">
        <v>1239</v>
      </c>
      <c r="F152" s="13" t="n">
        <v>-5</v>
      </c>
      <c r="G152" s="12" t="s">
        <v>1240</v>
      </c>
      <c r="H152" s="12" t="n">
        <v>0</v>
      </c>
      <c r="I152" s="12" t="n">
        <v>1</v>
      </c>
      <c r="J152" s="12" t="s">
        <v>1243</v>
      </c>
      <c r="K152" s="12" t="s">
        <v>1592</v>
      </c>
      <c r="L152" s="12" t="s">
        <v>1245</v>
      </c>
      <c r="M152" s="12" t="s">
        <v>202</v>
      </c>
      <c r="N152" s="12" t="s">
        <v>202</v>
      </c>
      <c r="O152" s="12" t="s">
        <v>202</v>
      </c>
      <c r="P152" s="12" t="s">
        <v>1593</v>
      </c>
    </row>
    <row r="153" customFormat="false" ht="15" hidden="false" customHeight="false" outlineLevel="0" collapsed="false">
      <c r="A153" s="12" t="s">
        <v>1594</v>
      </c>
      <c r="B153" s="12" t="s">
        <v>968</v>
      </c>
      <c r="C153" s="12" t="s">
        <v>1589</v>
      </c>
      <c r="D153" s="12" t="s">
        <v>50</v>
      </c>
      <c r="E153" s="12" t="s">
        <v>1239</v>
      </c>
      <c r="F153" s="13" t="n">
        <v>10</v>
      </c>
      <c r="G153" s="12" t="s">
        <v>1240</v>
      </c>
      <c r="H153" s="12" t="n">
        <v>0</v>
      </c>
      <c r="I153" s="12" t="n">
        <v>1</v>
      </c>
      <c r="J153" s="12" t="s">
        <v>1243</v>
      </c>
      <c r="K153" s="12" t="s">
        <v>1592</v>
      </c>
      <c r="L153" s="12" t="s">
        <v>1245</v>
      </c>
      <c r="M153" s="12" t="s">
        <v>202</v>
      </c>
      <c r="N153" s="12" t="s">
        <v>202</v>
      </c>
      <c r="O153" s="12" t="s">
        <v>202</v>
      </c>
      <c r="P153" s="12" t="s">
        <v>1595</v>
      </c>
    </row>
    <row r="154" customFormat="false" ht="15" hidden="false" customHeight="false" outlineLevel="0" collapsed="false">
      <c r="A154" s="12" t="s">
        <v>1596</v>
      </c>
      <c r="B154" s="12" t="s">
        <v>976</v>
      </c>
      <c r="C154" s="12" t="s">
        <v>235</v>
      </c>
      <c r="D154" s="12" t="s">
        <v>41</v>
      </c>
      <c r="E154" s="12" t="s">
        <v>1239</v>
      </c>
      <c r="F154" s="13" t="n">
        <v>-3</v>
      </c>
      <c r="G154" s="12" t="s">
        <v>1509</v>
      </c>
      <c r="H154" s="12" t="n">
        <v>1</v>
      </c>
      <c r="I154" s="12" t="n">
        <v>4</v>
      </c>
      <c r="J154" s="12" t="s">
        <v>1325</v>
      </c>
      <c r="K154" s="12" t="s">
        <v>202</v>
      </c>
      <c r="L154" s="12" t="s">
        <v>202</v>
      </c>
      <c r="M154" s="12" t="s">
        <v>202</v>
      </c>
      <c r="N154" s="12" t="s">
        <v>202</v>
      </c>
      <c r="O154" s="12" t="s">
        <v>202</v>
      </c>
      <c r="P154" s="12" t="s">
        <v>1597</v>
      </c>
    </row>
    <row r="155" customFormat="false" ht="15" hidden="false" customHeight="false" outlineLevel="0" collapsed="false">
      <c r="A155" s="12" t="s">
        <v>1598</v>
      </c>
      <c r="B155" s="12" t="s">
        <v>976</v>
      </c>
      <c r="C155" s="12" t="s">
        <v>402</v>
      </c>
      <c r="D155" s="12" t="s">
        <v>420</v>
      </c>
      <c r="E155" s="12" t="s">
        <v>1239</v>
      </c>
      <c r="F155" s="13" t="n">
        <v>-6</v>
      </c>
      <c r="G155" s="12" t="s">
        <v>1240</v>
      </c>
      <c r="H155" s="12" t="n">
        <v>0</v>
      </c>
      <c r="I155" s="12" t="n">
        <v>1</v>
      </c>
      <c r="J155" s="12" t="s">
        <v>1236</v>
      </c>
      <c r="K155" s="12" t="s">
        <v>202</v>
      </c>
      <c r="L155" s="12" t="s">
        <v>202</v>
      </c>
      <c r="M155" s="12" t="s">
        <v>202</v>
      </c>
      <c r="N155" s="12" t="s">
        <v>202</v>
      </c>
      <c r="O155" s="12" t="s">
        <v>1277</v>
      </c>
      <c r="P155" s="12" t="s">
        <v>1599</v>
      </c>
    </row>
    <row r="156" customFormat="false" ht="15" hidden="false" customHeight="false" outlineLevel="0" collapsed="false">
      <c r="A156" s="12" t="s">
        <v>1600</v>
      </c>
      <c r="B156" s="12" t="s">
        <v>976</v>
      </c>
      <c r="C156" s="12" t="s">
        <v>370</v>
      </c>
      <c r="D156" s="12" t="s">
        <v>41</v>
      </c>
      <c r="E156" s="12" t="s">
        <v>1234</v>
      </c>
      <c r="F156" s="13" t="n">
        <v>-4</v>
      </c>
      <c r="G156" s="12" t="s">
        <v>1410</v>
      </c>
      <c r="H156" s="12" t="n">
        <v>0</v>
      </c>
      <c r="I156" s="12" t="n">
        <v>4</v>
      </c>
      <c r="J156" s="12" t="s">
        <v>1236</v>
      </c>
      <c r="K156" s="12" t="s">
        <v>202</v>
      </c>
      <c r="L156" s="12" t="s">
        <v>202</v>
      </c>
      <c r="M156" s="12" t="s">
        <v>202</v>
      </c>
      <c r="N156" s="12" t="s">
        <v>202</v>
      </c>
      <c r="O156" s="12" t="s">
        <v>202</v>
      </c>
      <c r="P156" s="12" t="s">
        <v>1601</v>
      </c>
    </row>
    <row r="157" customFormat="false" ht="15" hidden="false" customHeight="false" outlineLevel="0" collapsed="false">
      <c r="A157" s="12" t="s">
        <v>1602</v>
      </c>
      <c r="B157" s="12" t="s">
        <v>976</v>
      </c>
      <c r="C157" s="12" t="s">
        <v>1603</v>
      </c>
      <c r="D157" s="12" t="s">
        <v>1314</v>
      </c>
      <c r="E157" s="12" t="s">
        <v>1315</v>
      </c>
      <c r="F157" s="13" t="n">
        <v>1</v>
      </c>
      <c r="G157" s="12" t="s">
        <v>1410</v>
      </c>
      <c r="H157" s="12" t="n">
        <v>0</v>
      </c>
      <c r="I157" s="12" t="n">
        <v>4</v>
      </c>
      <c r="J157" s="12" t="s">
        <v>1236</v>
      </c>
      <c r="K157" s="12" t="s">
        <v>202</v>
      </c>
      <c r="L157" s="12" t="s">
        <v>202</v>
      </c>
      <c r="M157" s="12" t="s">
        <v>202</v>
      </c>
      <c r="N157" s="12" t="s">
        <v>202</v>
      </c>
      <c r="O157" s="12" t="s">
        <v>202</v>
      </c>
      <c r="P157" s="12" t="s">
        <v>1604</v>
      </c>
    </row>
    <row r="158" customFormat="false" ht="15" hidden="false" customHeight="false" outlineLevel="0" collapsed="false">
      <c r="A158" s="12" t="s">
        <v>1605</v>
      </c>
      <c r="B158" s="12" t="s">
        <v>976</v>
      </c>
      <c r="C158" s="12" t="s">
        <v>1589</v>
      </c>
      <c r="D158" s="12" t="s">
        <v>50</v>
      </c>
      <c r="E158" s="12" t="s">
        <v>1239</v>
      </c>
      <c r="F158" s="13" t="n">
        <v>5</v>
      </c>
      <c r="G158" s="12" t="s">
        <v>1240</v>
      </c>
      <c r="H158" s="12" t="n">
        <v>0</v>
      </c>
      <c r="I158" s="12" t="n">
        <v>1</v>
      </c>
      <c r="J158" s="12" t="s">
        <v>1236</v>
      </c>
      <c r="K158" s="12" t="s">
        <v>202</v>
      </c>
      <c r="L158" s="12" t="s">
        <v>202</v>
      </c>
      <c r="M158" s="12" t="s">
        <v>202</v>
      </c>
      <c r="N158" s="12" t="s">
        <v>202</v>
      </c>
      <c r="O158" s="12" t="s">
        <v>202</v>
      </c>
      <c r="P158" s="12" t="s">
        <v>1606</v>
      </c>
    </row>
    <row r="159" customFormat="false" ht="15" hidden="false" customHeight="false" outlineLevel="0" collapsed="false">
      <c r="A159" s="12" t="s">
        <v>1607</v>
      </c>
      <c r="B159" s="12" t="s">
        <v>976</v>
      </c>
      <c r="C159" s="12" t="s">
        <v>1608</v>
      </c>
      <c r="D159" s="12" t="s">
        <v>50</v>
      </c>
      <c r="E159" s="12" t="s">
        <v>1239</v>
      </c>
      <c r="F159" s="13" t="n">
        <v>5</v>
      </c>
      <c r="G159" s="12" t="s">
        <v>1240</v>
      </c>
      <c r="H159" s="12" t="n">
        <v>0</v>
      </c>
      <c r="I159" s="12" t="n">
        <v>1</v>
      </c>
      <c r="J159" s="12" t="s">
        <v>1236</v>
      </c>
      <c r="K159" s="12" t="s">
        <v>202</v>
      </c>
      <c r="L159" s="12" t="s">
        <v>202</v>
      </c>
      <c r="M159" s="12" t="s">
        <v>202</v>
      </c>
      <c r="N159" s="12" t="s">
        <v>202</v>
      </c>
      <c r="O159" s="12" t="s">
        <v>202</v>
      </c>
      <c r="P159" s="12" t="s">
        <v>1606</v>
      </c>
    </row>
    <row r="160" customFormat="false" ht="15" hidden="false" customHeight="false" outlineLevel="0" collapsed="false">
      <c r="A160" s="12" t="s">
        <v>1609</v>
      </c>
      <c r="B160" s="12" t="s">
        <v>976</v>
      </c>
      <c r="C160" s="12" t="s">
        <v>1610</v>
      </c>
      <c r="D160" s="12" t="s">
        <v>50</v>
      </c>
      <c r="E160" s="12" t="s">
        <v>1239</v>
      </c>
      <c r="F160" s="13" t="n">
        <v>5</v>
      </c>
      <c r="G160" s="12" t="s">
        <v>1240</v>
      </c>
      <c r="H160" s="12" t="n">
        <v>0</v>
      </c>
      <c r="I160" s="12" t="n">
        <v>1</v>
      </c>
      <c r="J160" s="12" t="s">
        <v>1236</v>
      </c>
      <c r="K160" s="12" t="s">
        <v>202</v>
      </c>
      <c r="L160" s="12" t="s">
        <v>202</v>
      </c>
      <c r="M160" s="12" t="s">
        <v>202</v>
      </c>
      <c r="N160" s="12" t="s">
        <v>202</v>
      </c>
      <c r="O160" s="12" t="s">
        <v>202</v>
      </c>
      <c r="P160" s="12" t="s">
        <v>1606</v>
      </c>
    </row>
    <row r="161" customFormat="false" ht="15" hidden="false" customHeight="false" outlineLevel="0" collapsed="false">
      <c r="A161" s="12" t="s">
        <v>1611</v>
      </c>
      <c r="B161" s="12" t="s">
        <v>985</v>
      </c>
      <c r="C161" s="12" t="s">
        <v>388</v>
      </c>
      <c r="D161" s="12" t="s">
        <v>385</v>
      </c>
      <c r="E161" s="12" t="s">
        <v>1239</v>
      </c>
      <c r="F161" s="13" t="n">
        <v>120</v>
      </c>
      <c r="G161" s="12" t="s">
        <v>1240</v>
      </c>
      <c r="H161" s="12" t="n">
        <v>0</v>
      </c>
      <c r="I161" s="12" t="n">
        <v>1</v>
      </c>
      <c r="J161" s="12" t="s">
        <v>1236</v>
      </c>
      <c r="K161" s="12" t="s">
        <v>202</v>
      </c>
      <c r="L161" s="12" t="s">
        <v>202</v>
      </c>
      <c r="M161" s="12" t="s">
        <v>202</v>
      </c>
      <c r="N161" s="12" t="s">
        <v>202</v>
      </c>
      <c r="O161" s="12" t="s">
        <v>202</v>
      </c>
      <c r="P161" s="12" t="s">
        <v>1612</v>
      </c>
    </row>
    <row r="162" customFormat="false" ht="15" hidden="false" customHeight="false" outlineLevel="0" collapsed="false">
      <c r="A162" s="12" t="s">
        <v>1613</v>
      </c>
      <c r="B162" s="12" t="s">
        <v>985</v>
      </c>
      <c r="C162" s="12" t="s">
        <v>325</v>
      </c>
      <c r="D162" s="12" t="s">
        <v>41</v>
      </c>
      <c r="E162" s="12" t="s">
        <v>1239</v>
      </c>
      <c r="F162" s="13" t="n">
        <v>4</v>
      </c>
      <c r="G162" s="12" t="s">
        <v>1240</v>
      </c>
      <c r="H162" s="12" t="n">
        <v>0</v>
      </c>
      <c r="I162" s="12" t="n">
        <v>1</v>
      </c>
      <c r="J162" s="12" t="s">
        <v>1236</v>
      </c>
      <c r="K162" s="12" t="s">
        <v>202</v>
      </c>
      <c r="L162" s="12" t="s">
        <v>202</v>
      </c>
      <c r="M162" s="12" t="s">
        <v>202</v>
      </c>
      <c r="N162" s="12" t="s">
        <v>202</v>
      </c>
      <c r="O162" s="12" t="s">
        <v>202</v>
      </c>
      <c r="P162" s="12" t="s">
        <v>1614</v>
      </c>
    </row>
    <row r="163" customFormat="false" ht="15" hidden="false" customHeight="false" outlineLevel="0" collapsed="false">
      <c r="A163" s="12" t="s">
        <v>1615</v>
      </c>
      <c r="B163" s="12" t="s">
        <v>985</v>
      </c>
      <c r="C163" s="12" t="s">
        <v>258</v>
      </c>
      <c r="D163" s="12" t="s">
        <v>41</v>
      </c>
      <c r="E163" s="12" t="s">
        <v>1239</v>
      </c>
      <c r="F163" s="13" t="n">
        <v>1</v>
      </c>
      <c r="G163" s="12" t="s">
        <v>1240</v>
      </c>
      <c r="H163" s="12" t="n">
        <v>0</v>
      </c>
      <c r="I163" s="12" t="n">
        <v>1</v>
      </c>
      <c r="J163" s="12" t="s">
        <v>1236</v>
      </c>
      <c r="K163" s="12" t="s">
        <v>202</v>
      </c>
      <c r="L163" s="12" t="s">
        <v>202</v>
      </c>
      <c r="M163" s="12" t="s">
        <v>202</v>
      </c>
      <c r="N163" s="12" t="s">
        <v>202</v>
      </c>
      <c r="O163" s="12" t="s">
        <v>202</v>
      </c>
      <c r="P163" s="12" t="s">
        <v>1616</v>
      </c>
    </row>
    <row r="164" customFormat="false" ht="15" hidden="false" customHeight="false" outlineLevel="0" collapsed="false">
      <c r="A164" s="12" t="s">
        <v>1617</v>
      </c>
      <c r="B164" s="12" t="s">
        <v>985</v>
      </c>
      <c r="C164" s="12" t="s">
        <v>370</v>
      </c>
      <c r="D164" s="12" t="s">
        <v>41</v>
      </c>
      <c r="E164" s="12" t="s">
        <v>1239</v>
      </c>
      <c r="F164" s="13" t="n">
        <v>-3</v>
      </c>
      <c r="G164" s="12" t="s">
        <v>1240</v>
      </c>
      <c r="H164" s="12" t="n">
        <v>0</v>
      </c>
      <c r="I164" s="12" t="n">
        <v>1</v>
      </c>
      <c r="J164" s="12" t="s">
        <v>1236</v>
      </c>
      <c r="K164" s="12" t="s">
        <v>202</v>
      </c>
      <c r="L164" s="12" t="s">
        <v>202</v>
      </c>
      <c r="M164" s="12" t="s">
        <v>202</v>
      </c>
      <c r="N164" s="12" t="s">
        <v>202</v>
      </c>
      <c r="O164" s="12" t="s">
        <v>202</v>
      </c>
      <c r="P164" s="12" t="s">
        <v>1618</v>
      </c>
    </row>
    <row r="165" customFormat="false" ht="15" hidden="false" customHeight="false" outlineLevel="0" collapsed="false">
      <c r="A165" s="12" t="s">
        <v>1619</v>
      </c>
      <c r="B165" s="12" t="s">
        <v>985</v>
      </c>
      <c r="C165" s="12" t="s">
        <v>248</v>
      </c>
      <c r="D165" s="12" t="s">
        <v>41</v>
      </c>
      <c r="E165" s="12" t="s">
        <v>1234</v>
      </c>
      <c r="F165" s="13" t="n">
        <v>1</v>
      </c>
      <c r="G165" s="12" t="s">
        <v>1235</v>
      </c>
      <c r="H165" s="12" t="n">
        <v>0</v>
      </c>
      <c r="I165" s="12" t="n">
        <v>2</v>
      </c>
      <c r="J165" s="12" t="s">
        <v>1236</v>
      </c>
      <c r="K165" s="12" t="s">
        <v>202</v>
      </c>
      <c r="L165" s="12" t="s">
        <v>202</v>
      </c>
      <c r="M165" s="12" t="s">
        <v>202</v>
      </c>
      <c r="N165" s="12" t="s">
        <v>202</v>
      </c>
      <c r="O165" s="12" t="s">
        <v>202</v>
      </c>
      <c r="P165" s="12" t="s">
        <v>1620</v>
      </c>
    </row>
    <row r="166" customFormat="false" ht="15" hidden="false" customHeight="false" outlineLevel="0" collapsed="false">
      <c r="A166" s="12" t="s">
        <v>1621</v>
      </c>
      <c r="B166" s="12" t="s">
        <v>985</v>
      </c>
      <c r="C166" s="12" t="s">
        <v>325</v>
      </c>
      <c r="D166" s="12" t="s">
        <v>41</v>
      </c>
      <c r="E166" s="12" t="s">
        <v>1239</v>
      </c>
      <c r="F166" s="13" t="n">
        <v>-2</v>
      </c>
      <c r="G166" s="12" t="s">
        <v>1240</v>
      </c>
      <c r="H166" s="12" t="n">
        <v>0</v>
      </c>
      <c r="I166" s="12" t="n">
        <v>1</v>
      </c>
      <c r="J166" s="12" t="s">
        <v>1254</v>
      </c>
      <c r="K166" s="12" t="s">
        <v>202</v>
      </c>
      <c r="L166" s="12" t="s">
        <v>1245</v>
      </c>
      <c r="M166" s="12" t="s">
        <v>1622</v>
      </c>
      <c r="N166" s="12" t="n">
        <v>8</v>
      </c>
      <c r="O166" s="12" t="s">
        <v>202</v>
      </c>
      <c r="P166" s="12" t="s">
        <v>1440</v>
      </c>
    </row>
    <row r="167" customFormat="false" ht="15" hidden="false" customHeight="false" outlineLevel="0" collapsed="false">
      <c r="A167" s="12" t="s">
        <v>1623</v>
      </c>
      <c r="B167" s="12" t="s">
        <v>991</v>
      </c>
      <c r="C167" s="12" t="s">
        <v>325</v>
      </c>
      <c r="D167" s="12" t="s">
        <v>41</v>
      </c>
      <c r="E167" s="12" t="s">
        <v>1234</v>
      </c>
      <c r="F167" s="13" t="n">
        <v>3</v>
      </c>
      <c r="G167" s="12" t="s">
        <v>1235</v>
      </c>
      <c r="H167" s="12" t="n">
        <v>0</v>
      </c>
      <c r="I167" s="12" t="n">
        <v>2</v>
      </c>
      <c r="J167" s="12" t="s">
        <v>1236</v>
      </c>
      <c r="K167" s="12" t="s">
        <v>202</v>
      </c>
      <c r="L167" s="12" t="s">
        <v>202</v>
      </c>
      <c r="M167" s="12" t="s">
        <v>202</v>
      </c>
      <c r="N167" s="12" t="s">
        <v>202</v>
      </c>
      <c r="O167" s="12" t="s">
        <v>202</v>
      </c>
      <c r="P167" s="12" t="s">
        <v>1624</v>
      </c>
    </row>
    <row r="168" customFormat="false" ht="15" hidden="false" customHeight="false" outlineLevel="0" collapsed="false">
      <c r="A168" s="12" t="s">
        <v>1625</v>
      </c>
      <c r="B168" s="12" t="s">
        <v>991</v>
      </c>
      <c r="C168" s="12" t="s">
        <v>370</v>
      </c>
      <c r="D168" s="12" t="s">
        <v>41</v>
      </c>
      <c r="E168" s="12" t="s">
        <v>1234</v>
      </c>
      <c r="F168" s="13" t="n">
        <v>-4</v>
      </c>
      <c r="G168" s="12" t="s">
        <v>1235</v>
      </c>
      <c r="H168" s="12" t="n">
        <v>0</v>
      </c>
      <c r="I168" s="12" t="n">
        <v>2</v>
      </c>
      <c r="J168" s="12" t="s">
        <v>1236</v>
      </c>
      <c r="K168" s="12" t="s">
        <v>202</v>
      </c>
      <c r="L168" s="12" t="s">
        <v>202</v>
      </c>
      <c r="M168" s="12" t="s">
        <v>202</v>
      </c>
      <c r="N168" s="12" t="s">
        <v>202</v>
      </c>
      <c r="O168" s="12" t="s">
        <v>202</v>
      </c>
      <c r="P168" s="12" t="s">
        <v>1626</v>
      </c>
    </row>
    <row r="169" customFormat="false" ht="15" hidden="false" customHeight="false" outlineLevel="0" collapsed="false">
      <c r="A169" s="12" t="s">
        <v>1627</v>
      </c>
      <c r="B169" s="12" t="s">
        <v>991</v>
      </c>
      <c r="C169" s="12" t="s">
        <v>370</v>
      </c>
      <c r="D169" s="12" t="s">
        <v>41</v>
      </c>
      <c r="E169" s="12" t="s">
        <v>1239</v>
      </c>
      <c r="F169" s="13" t="n">
        <v>-3</v>
      </c>
      <c r="G169" s="12" t="s">
        <v>1240</v>
      </c>
      <c r="H169" s="12" t="n">
        <v>0</v>
      </c>
      <c r="I169" s="12" t="n">
        <v>1</v>
      </c>
      <c r="J169" s="12" t="s">
        <v>1243</v>
      </c>
      <c r="K169" s="12" t="s">
        <v>1628</v>
      </c>
      <c r="L169" s="12" t="s">
        <v>1245</v>
      </c>
      <c r="M169" s="12" t="s">
        <v>202</v>
      </c>
      <c r="N169" s="12" t="s">
        <v>202</v>
      </c>
      <c r="O169" s="12" t="s">
        <v>202</v>
      </c>
      <c r="P169" s="12" t="s">
        <v>1629</v>
      </c>
    </row>
    <row r="170" customFormat="false" ht="15" hidden="false" customHeight="false" outlineLevel="0" collapsed="false">
      <c r="A170" s="12" t="s">
        <v>1630</v>
      </c>
      <c r="B170" s="12" t="s">
        <v>998</v>
      </c>
      <c r="C170" s="12" t="s">
        <v>258</v>
      </c>
      <c r="D170" s="12" t="s">
        <v>41</v>
      </c>
      <c r="E170" s="12" t="s">
        <v>1234</v>
      </c>
      <c r="F170" s="13" t="n">
        <v>2</v>
      </c>
      <c r="G170" s="12" t="s">
        <v>1280</v>
      </c>
      <c r="H170" s="12" t="n">
        <v>0</v>
      </c>
      <c r="I170" s="12" t="n">
        <v>3</v>
      </c>
      <c r="J170" s="12" t="s">
        <v>1236</v>
      </c>
      <c r="K170" s="12" t="s">
        <v>202</v>
      </c>
      <c r="L170" s="12" t="s">
        <v>202</v>
      </c>
      <c r="M170" s="12" t="s">
        <v>202</v>
      </c>
      <c r="N170" s="12" t="s">
        <v>202</v>
      </c>
      <c r="O170" s="12" t="s">
        <v>202</v>
      </c>
      <c r="P170" s="12" t="s">
        <v>1631</v>
      </c>
    </row>
    <row r="171" customFormat="false" ht="15" hidden="false" customHeight="false" outlineLevel="0" collapsed="false">
      <c r="A171" s="12" t="s">
        <v>1632</v>
      </c>
      <c r="B171" s="12" t="s">
        <v>998</v>
      </c>
      <c r="C171" s="12" t="s">
        <v>325</v>
      </c>
      <c r="D171" s="12" t="s">
        <v>41</v>
      </c>
      <c r="E171" s="12" t="s">
        <v>1234</v>
      </c>
      <c r="F171" s="13" t="n">
        <v>2</v>
      </c>
      <c r="G171" s="12" t="s">
        <v>1280</v>
      </c>
      <c r="H171" s="12" t="n">
        <v>0</v>
      </c>
      <c r="I171" s="12" t="n">
        <v>3</v>
      </c>
      <c r="J171" s="12" t="s">
        <v>1236</v>
      </c>
      <c r="K171" s="12" t="s">
        <v>202</v>
      </c>
      <c r="L171" s="12" t="s">
        <v>202</v>
      </c>
      <c r="M171" s="12" t="s">
        <v>202</v>
      </c>
      <c r="N171" s="12" t="s">
        <v>202</v>
      </c>
      <c r="O171" s="12" t="s">
        <v>202</v>
      </c>
      <c r="P171" s="12" t="s">
        <v>1633</v>
      </c>
    </row>
    <row r="172" customFormat="false" ht="15" hidden="false" customHeight="false" outlineLevel="0" collapsed="false">
      <c r="A172" s="12" t="s">
        <v>1634</v>
      </c>
      <c r="B172" s="12" t="s">
        <v>998</v>
      </c>
      <c r="C172" s="12" t="s">
        <v>258</v>
      </c>
      <c r="D172" s="12" t="s">
        <v>41</v>
      </c>
      <c r="E172" s="12" t="s">
        <v>1234</v>
      </c>
      <c r="F172" s="13" t="n">
        <v>-1</v>
      </c>
      <c r="G172" s="12" t="s">
        <v>1280</v>
      </c>
      <c r="H172" s="12" t="n">
        <v>0</v>
      </c>
      <c r="I172" s="12" t="n">
        <v>3</v>
      </c>
      <c r="J172" s="12" t="s">
        <v>1243</v>
      </c>
      <c r="K172" s="12" t="s">
        <v>1301</v>
      </c>
      <c r="L172" s="12" t="s">
        <v>1245</v>
      </c>
      <c r="M172" s="12" t="s">
        <v>202</v>
      </c>
      <c r="N172" s="12" t="s">
        <v>202</v>
      </c>
      <c r="O172" s="12" t="s">
        <v>202</v>
      </c>
      <c r="P172" s="12" t="s">
        <v>1635</v>
      </c>
    </row>
    <row r="173" customFormat="false" ht="15" hidden="false" customHeight="false" outlineLevel="0" collapsed="false">
      <c r="A173" s="12" t="s">
        <v>1636</v>
      </c>
      <c r="B173" s="12" t="s">
        <v>1003</v>
      </c>
      <c r="C173" s="12" t="s">
        <v>248</v>
      </c>
      <c r="D173" s="12" t="s">
        <v>41</v>
      </c>
      <c r="E173" s="12" t="s">
        <v>1234</v>
      </c>
      <c r="F173" s="13" t="n">
        <v>2</v>
      </c>
      <c r="G173" s="12" t="s">
        <v>1280</v>
      </c>
      <c r="H173" s="12" t="n">
        <v>0</v>
      </c>
      <c r="I173" s="12" t="n">
        <v>3</v>
      </c>
      <c r="J173" s="12" t="s">
        <v>1236</v>
      </c>
      <c r="K173" s="12" t="s">
        <v>202</v>
      </c>
      <c r="L173" s="12" t="s">
        <v>202</v>
      </c>
      <c r="M173" s="12" t="s">
        <v>202</v>
      </c>
      <c r="N173" s="12" t="s">
        <v>202</v>
      </c>
      <c r="O173" s="12" t="s">
        <v>202</v>
      </c>
      <c r="P173" s="12" t="s">
        <v>1637</v>
      </c>
    </row>
    <row r="174" customFormat="false" ht="15" hidden="false" customHeight="false" outlineLevel="0" collapsed="false">
      <c r="A174" s="12" t="s">
        <v>1638</v>
      </c>
      <c r="B174" s="12" t="s">
        <v>1003</v>
      </c>
      <c r="C174" s="12" t="s">
        <v>325</v>
      </c>
      <c r="D174" s="12" t="s">
        <v>41</v>
      </c>
      <c r="E174" s="12" t="s">
        <v>1239</v>
      </c>
      <c r="F174" s="13" t="n">
        <v>2</v>
      </c>
      <c r="G174" s="12" t="s">
        <v>1274</v>
      </c>
      <c r="H174" s="12" t="n">
        <v>2</v>
      </c>
      <c r="I174" s="12" t="n">
        <v>1</v>
      </c>
      <c r="J174" s="12" t="s">
        <v>1271</v>
      </c>
      <c r="K174" s="12" t="s">
        <v>202</v>
      </c>
      <c r="L174" s="12" t="s">
        <v>202</v>
      </c>
      <c r="M174" s="12" t="s">
        <v>202</v>
      </c>
      <c r="N174" s="12" t="s">
        <v>202</v>
      </c>
      <c r="O174" s="12" t="s">
        <v>202</v>
      </c>
      <c r="P174" s="12" t="s">
        <v>1639</v>
      </c>
    </row>
    <row r="175" customFormat="false" ht="15" hidden="false" customHeight="false" outlineLevel="0" collapsed="false">
      <c r="A175" s="12" t="s">
        <v>1640</v>
      </c>
      <c r="B175" s="12" t="s">
        <v>1003</v>
      </c>
      <c r="C175" s="12" t="s">
        <v>325</v>
      </c>
      <c r="D175" s="12" t="s">
        <v>41</v>
      </c>
      <c r="E175" s="12" t="s">
        <v>1239</v>
      </c>
      <c r="F175" s="13" t="n">
        <v>2</v>
      </c>
      <c r="G175" s="12" t="s">
        <v>1417</v>
      </c>
      <c r="H175" s="12" t="n">
        <v>4</v>
      </c>
      <c r="I175" s="12" t="n">
        <v>1</v>
      </c>
      <c r="J175" s="12" t="s">
        <v>1271</v>
      </c>
      <c r="K175" s="12" t="s">
        <v>202</v>
      </c>
      <c r="L175" s="12" t="s">
        <v>202</v>
      </c>
      <c r="M175" s="12" t="s">
        <v>202</v>
      </c>
      <c r="N175" s="12" t="s">
        <v>202</v>
      </c>
      <c r="O175" s="12" t="s">
        <v>202</v>
      </c>
      <c r="P175" s="12" t="s">
        <v>1641</v>
      </c>
    </row>
    <row r="176" customFormat="false" ht="15" hidden="false" customHeight="false" outlineLevel="0" collapsed="false">
      <c r="A176" s="12" t="s">
        <v>1642</v>
      </c>
      <c r="B176" s="12" t="s">
        <v>1003</v>
      </c>
      <c r="C176" s="12" t="s">
        <v>325</v>
      </c>
      <c r="D176" s="12" t="s">
        <v>41</v>
      </c>
      <c r="E176" s="12" t="s">
        <v>1239</v>
      </c>
      <c r="F176" s="13" t="n">
        <v>1</v>
      </c>
      <c r="G176" s="12" t="s">
        <v>1274</v>
      </c>
      <c r="H176" s="12" t="n">
        <v>2</v>
      </c>
      <c r="I176" s="12" t="n">
        <v>1</v>
      </c>
      <c r="J176" s="12" t="s">
        <v>1243</v>
      </c>
      <c r="K176" s="12" t="s">
        <v>1643</v>
      </c>
      <c r="L176" s="12" t="s">
        <v>1245</v>
      </c>
      <c r="M176" s="12" t="s">
        <v>202</v>
      </c>
      <c r="N176" s="12" t="s">
        <v>202</v>
      </c>
      <c r="O176" s="12" t="s">
        <v>202</v>
      </c>
      <c r="P176" s="12" t="s">
        <v>1644</v>
      </c>
    </row>
    <row r="177" customFormat="false" ht="15" hidden="false" customHeight="false" outlineLevel="0" collapsed="false">
      <c r="A177" s="12" t="s">
        <v>1645</v>
      </c>
      <c r="B177" s="12" t="s">
        <v>1003</v>
      </c>
      <c r="C177" s="12" t="s">
        <v>388</v>
      </c>
      <c r="D177" s="12" t="s">
        <v>385</v>
      </c>
      <c r="E177" s="12" t="s">
        <v>1239</v>
      </c>
      <c r="F177" s="13" t="n">
        <v>10</v>
      </c>
      <c r="G177" s="12" t="s">
        <v>1417</v>
      </c>
      <c r="H177" s="12" t="n">
        <v>4</v>
      </c>
      <c r="I177" s="12" t="n">
        <v>1</v>
      </c>
      <c r="J177" s="12" t="s">
        <v>1271</v>
      </c>
      <c r="K177" s="12" t="s">
        <v>202</v>
      </c>
      <c r="L177" s="12" t="s">
        <v>202</v>
      </c>
      <c r="M177" s="12" t="s">
        <v>202</v>
      </c>
      <c r="N177" s="12" t="s">
        <v>202</v>
      </c>
      <c r="O177" s="12" t="s">
        <v>202</v>
      </c>
      <c r="P177" s="12" t="s">
        <v>1646</v>
      </c>
    </row>
    <row r="178" customFormat="false" ht="15" hidden="false" customHeight="false" outlineLevel="0" collapsed="false">
      <c r="A178" s="12" t="s">
        <v>1647</v>
      </c>
      <c r="B178" s="12" t="s">
        <v>1009</v>
      </c>
      <c r="C178" s="12" t="s">
        <v>325</v>
      </c>
      <c r="D178" s="12" t="s">
        <v>41</v>
      </c>
      <c r="E178" s="12" t="s">
        <v>1239</v>
      </c>
      <c r="F178" s="13" t="n">
        <v>3</v>
      </c>
      <c r="G178" s="12" t="s">
        <v>1270</v>
      </c>
      <c r="H178" s="12" t="n">
        <v>1</v>
      </c>
      <c r="I178" s="12" t="n">
        <v>1</v>
      </c>
      <c r="J178" s="12" t="s">
        <v>1271</v>
      </c>
      <c r="K178" s="12" t="s">
        <v>202</v>
      </c>
      <c r="L178" s="12" t="s">
        <v>202</v>
      </c>
      <c r="M178" s="12" t="s">
        <v>202</v>
      </c>
      <c r="N178" s="12" t="s">
        <v>202</v>
      </c>
      <c r="O178" s="12" t="s">
        <v>202</v>
      </c>
      <c r="P178" s="12" t="s">
        <v>1648</v>
      </c>
    </row>
    <row r="179" customFormat="false" ht="15" hidden="false" customHeight="false" outlineLevel="0" collapsed="false">
      <c r="A179" s="12" t="s">
        <v>1649</v>
      </c>
      <c r="B179" s="12" t="s">
        <v>1009</v>
      </c>
      <c r="C179" s="12" t="s">
        <v>388</v>
      </c>
      <c r="D179" s="12" t="s">
        <v>385</v>
      </c>
      <c r="E179" s="12" t="s">
        <v>1239</v>
      </c>
      <c r="F179" s="13" t="n">
        <v>40</v>
      </c>
      <c r="G179" s="12" t="s">
        <v>1240</v>
      </c>
      <c r="H179" s="12" t="n">
        <v>0</v>
      </c>
      <c r="I179" s="12" t="n">
        <v>1</v>
      </c>
      <c r="J179" s="12" t="s">
        <v>1236</v>
      </c>
      <c r="K179" s="12" t="s">
        <v>202</v>
      </c>
      <c r="L179" s="12" t="s">
        <v>202</v>
      </c>
      <c r="M179" s="12" t="s">
        <v>202</v>
      </c>
      <c r="N179" s="12" t="s">
        <v>202</v>
      </c>
      <c r="O179" s="12" t="s">
        <v>202</v>
      </c>
      <c r="P179" s="12" t="s">
        <v>1650</v>
      </c>
    </row>
    <row r="180" customFormat="false" ht="15" hidden="false" customHeight="false" outlineLevel="0" collapsed="false">
      <c r="A180" s="12" t="s">
        <v>1651</v>
      </c>
      <c r="B180" s="12" t="s">
        <v>1009</v>
      </c>
      <c r="C180" s="12" t="s">
        <v>325</v>
      </c>
      <c r="D180" s="12" t="s">
        <v>41</v>
      </c>
      <c r="E180" s="12" t="s">
        <v>1239</v>
      </c>
      <c r="F180" s="13" t="n">
        <v>1</v>
      </c>
      <c r="G180" s="12" t="s">
        <v>1270</v>
      </c>
      <c r="H180" s="12" t="n">
        <v>1</v>
      </c>
      <c r="I180" s="12" t="n">
        <v>1</v>
      </c>
      <c r="J180" s="12" t="s">
        <v>1243</v>
      </c>
      <c r="K180" s="12" t="s">
        <v>1376</v>
      </c>
      <c r="L180" s="12" t="s">
        <v>1245</v>
      </c>
      <c r="M180" s="12" t="s">
        <v>202</v>
      </c>
      <c r="N180" s="12" t="s">
        <v>202</v>
      </c>
      <c r="O180" s="12" t="s">
        <v>202</v>
      </c>
      <c r="P180" s="12" t="s">
        <v>1652</v>
      </c>
    </row>
    <row r="181" customFormat="false" ht="15" hidden="false" customHeight="false" outlineLevel="0" collapsed="false">
      <c r="A181" s="12" t="s">
        <v>1653</v>
      </c>
      <c r="B181" s="12" t="s">
        <v>1013</v>
      </c>
      <c r="C181" s="12" t="s">
        <v>248</v>
      </c>
      <c r="D181" s="12" t="s">
        <v>41</v>
      </c>
      <c r="E181" s="12" t="s">
        <v>1234</v>
      </c>
      <c r="F181" s="13" t="n">
        <v>2</v>
      </c>
      <c r="G181" s="12" t="s">
        <v>1280</v>
      </c>
      <c r="H181" s="12" t="n">
        <v>0</v>
      </c>
      <c r="I181" s="12" t="n">
        <v>3</v>
      </c>
      <c r="J181" s="12" t="s">
        <v>1236</v>
      </c>
      <c r="K181" s="12" t="s">
        <v>202</v>
      </c>
      <c r="L181" s="12" t="s">
        <v>202</v>
      </c>
      <c r="M181" s="12" t="s">
        <v>202</v>
      </c>
      <c r="N181" s="12" t="s">
        <v>202</v>
      </c>
      <c r="O181" s="12" t="s">
        <v>202</v>
      </c>
      <c r="P181" s="12" t="s">
        <v>1654</v>
      </c>
    </row>
    <row r="182" customFormat="false" ht="15" hidden="false" customHeight="false" outlineLevel="0" collapsed="false">
      <c r="A182" s="12" t="s">
        <v>1655</v>
      </c>
      <c r="B182" s="12" t="s">
        <v>1013</v>
      </c>
      <c r="C182" s="12" t="s">
        <v>325</v>
      </c>
      <c r="D182" s="12" t="s">
        <v>41</v>
      </c>
      <c r="E182" s="12" t="s">
        <v>1239</v>
      </c>
      <c r="F182" s="13" t="n">
        <v>2</v>
      </c>
      <c r="G182" s="12" t="s">
        <v>1274</v>
      </c>
      <c r="H182" s="12" t="n">
        <v>2</v>
      </c>
      <c r="I182" s="12" t="n">
        <v>1</v>
      </c>
      <c r="J182" s="12" t="s">
        <v>1271</v>
      </c>
      <c r="K182" s="12" t="s">
        <v>202</v>
      </c>
      <c r="L182" s="12" t="s">
        <v>202</v>
      </c>
      <c r="M182" s="12" t="s">
        <v>202</v>
      </c>
      <c r="N182" s="12" t="s">
        <v>202</v>
      </c>
      <c r="O182" s="12" t="s">
        <v>202</v>
      </c>
      <c r="P182" s="12" t="s">
        <v>1656</v>
      </c>
    </row>
    <row r="183" customFormat="false" ht="15" hidden="false" customHeight="false" outlineLevel="0" collapsed="false">
      <c r="A183" s="12" t="s">
        <v>1657</v>
      </c>
      <c r="B183" s="12" t="s">
        <v>1013</v>
      </c>
      <c r="C183" s="12" t="s">
        <v>325</v>
      </c>
      <c r="D183" s="12" t="s">
        <v>41</v>
      </c>
      <c r="E183" s="12" t="s">
        <v>1239</v>
      </c>
      <c r="F183" s="13" t="n">
        <v>4</v>
      </c>
      <c r="G183" s="12" t="s">
        <v>1417</v>
      </c>
      <c r="H183" s="12" t="n">
        <v>4</v>
      </c>
      <c r="I183" s="12" t="n">
        <v>1</v>
      </c>
      <c r="J183" s="12" t="s">
        <v>1271</v>
      </c>
      <c r="K183" s="12" t="s">
        <v>202</v>
      </c>
      <c r="L183" s="12" t="s">
        <v>202</v>
      </c>
      <c r="M183" s="12" t="s">
        <v>202</v>
      </c>
      <c r="N183" s="12" t="s">
        <v>202</v>
      </c>
      <c r="O183" s="12" t="s">
        <v>202</v>
      </c>
      <c r="P183" s="12" t="s">
        <v>1658</v>
      </c>
    </row>
    <row r="184" customFormat="false" ht="15" hidden="false" customHeight="false" outlineLevel="0" collapsed="false">
      <c r="A184" s="12" t="s">
        <v>1659</v>
      </c>
      <c r="B184" s="12" t="s">
        <v>1013</v>
      </c>
      <c r="C184" s="12" t="s">
        <v>388</v>
      </c>
      <c r="D184" s="12" t="s">
        <v>385</v>
      </c>
      <c r="E184" s="12" t="s">
        <v>1239</v>
      </c>
      <c r="F184" s="13" t="n">
        <v>80</v>
      </c>
      <c r="G184" s="12" t="s">
        <v>1417</v>
      </c>
      <c r="H184" s="12" t="n">
        <v>4</v>
      </c>
      <c r="I184" s="12" t="n">
        <v>1</v>
      </c>
      <c r="J184" s="12" t="s">
        <v>1271</v>
      </c>
      <c r="K184" s="12" t="s">
        <v>202</v>
      </c>
      <c r="L184" s="12" t="s">
        <v>202</v>
      </c>
      <c r="M184" s="12" t="s">
        <v>202</v>
      </c>
      <c r="N184" s="12" t="s">
        <v>202</v>
      </c>
      <c r="O184" s="12" t="s">
        <v>202</v>
      </c>
      <c r="P184" s="12" t="s">
        <v>1660</v>
      </c>
    </row>
    <row r="185" customFormat="false" ht="15" hidden="false" customHeight="false" outlineLevel="0" collapsed="false">
      <c r="A185" s="12" t="s">
        <v>1661</v>
      </c>
      <c r="B185" s="12" t="s">
        <v>1013</v>
      </c>
      <c r="C185" s="12" t="s">
        <v>325</v>
      </c>
      <c r="D185" s="12" t="s">
        <v>41</v>
      </c>
      <c r="E185" s="12" t="s">
        <v>1239</v>
      </c>
      <c r="F185" s="13" t="n">
        <v>1</v>
      </c>
      <c r="G185" s="12" t="s">
        <v>1417</v>
      </c>
      <c r="H185" s="12" t="n">
        <v>4</v>
      </c>
      <c r="I185" s="12" t="n">
        <v>1</v>
      </c>
      <c r="J185" s="12" t="s">
        <v>1243</v>
      </c>
      <c r="K185" s="12" t="s">
        <v>1643</v>
      </c>
      <c r="L185" s="12" t="s">
        <v>1245</v>
      </c>
      <c r="M185" s="12" t="s">
        <v>202</v>
      </c>
      <c r="N185" s="12" t="s">
        <v>202</v>
      </c>
      <c r="O185" s="12" t="s">
        <v>202</v>
      </c>
      <c r="P185" s="12" t="s">
        <v>1662</v>
      </c>
    </row>
    <row r="186" customFormat="false" ht="15" hidden="false" customHeight="false" outlineLevel="0" collapsed="false">
      <c r="A186" s="12" t="s">
        <v>1663</v>
      </c>
      <c r="B186" s="12" t="s">
        <v>1018</v>
      </c>
      <c r="C186" s="12" t="s">
        <v>248</v>
      </c>
      <c r="D186" s="12" t="s">
        <v>41</v>
      </c>
      <c r="E186" s="12" t="s">
        <v>1239</v>
      </c>
      <c r="F186" s="13" t="n">
        <v>1</v>
      </c>
      <c r="G186" s="12" t="s">
        <v>1270</v>
      </c>
      <c r="H186" s="12" t="n">
        <v>1</v>
      </c>
      <c r="I186" s="12" t="n">
        <v>1</v>
      </c>
      <c r="J186" s="12" t="s">
        <v>1271</v>
      </c>
      <c r="K186" s="12" t="s">
        <v>202</v>
      </c>
      <c r="L186" s="12" t="s">
        <v>202</v>
      </c>
      <c r="M186" s="12" t="s">
        <v>202</v>
      </c>
      <c r="N186" s="12" t="s">
        <v>202</v>
      </c>
      <c r="O186" s="12" t="s">
        <v>202</v>
      </c>
      <c r="P186" s="12" t="s">
        <v>1664</v>
      </c>
    </row>
    <row r="187" customFormat="false" ht="15" hidden="false" customHeight="false" outlineLevel="0" collapsed="false">
      <c r="A187" s="12" t="s">
        <v>1665</v>
      </c>
      <c r="B187" s="12" t="s">
        <v>1018</v>
      </c>
      <c r="C187" s="12" t="s">
        <v>315</v>
      </c>
      <c r="D187" s="12" t="s">
        <v>41</v>
      </c>
      <c r="E187" s="12" t="s">
        <v>1239</v>
      </c>
      <c r="F187" s="13" t="n">
        <v>1</v>
      </c>
      <c r="G187" s="12" t="s">
        <v>1270</v>
      </c>
      <c r="H187" s="12" t="n">
        <v>1</v>
      </c>
      <c r="I187" s="12" t="n">
        <v>1</v>
      </c>
      <c r="J187" s="12" t="s">
        <v>1271</v>
      </c>
      <c r="K187" s="12" t="s">
        <v>202</v>
      </c>
      <c r="L187" s="12" t="s">
        <v>202</v>
      </c>
      <c r="M187" s="12" t="s">
        <v>202</v>
      </c>
      <c r="N187" s="12" t="s">
        <v>202</v>
      </c>
      <c r="O187" s="12" t="s">
        <v>202</v>
      </c>
      <c r="P187" s="12" t="s">
        <v>1666</v>
      </c>
    </row>
    <row r="188" customFormat="false" ht="15" hidden="false" customHeight="false" outlineLevel="0" collapsed="false">
      <c r="A188" s="12" t="s">
        <v>1667</v>
      </c>
      <c r="B188" s="12" t="s">
        <v>1018</v>
      </c>
      <c r="C188" s="12" t="s">
        <v>325</v>
      </c>
      <c r="D188" s="12" t="s">
        <v>41</v>
      </c>
      <c r="E188" s="12" t="s">
        <v>1239</v>
      </c>
      <c r="F188" s="13" t="n">
        <v>1</v>
      </c>
      <c r="G188" s="12" t="s">
        <v>1240</v>
      </c>
      <c r="H188" s="12" t="n">
        <v>0</v>
      </c>
      <c r="I188" s="12" t="n">
        <v>1</v>
      </c>
      <c r="J188" s="12" t="s">
        <v>1236</v>
      </c>
      <c r="K188" s="12" t="s">
        <v>202</v>
      </c>
      <c r="L188" s="12" t="s">
        <v>202</v>
      </c>
      <c r="M188" s="12" t="s">
        <v>202</v>
      </c>
      <c r="N188" s="12" t="s">
        <v>202</v>
      </c>
      <c r="O188" s="12" t="s">
        <v>202</v>
      </c>
      <c r="P188" s="12" t="s">
        <v>1668</v>
      </c>
    </row>
    <row r="189" customFormat="false" ht="15" hidden="false" customHeight="false" outlineLevel="0" collapsed="false">
      <c r="A189" s="12" t="s">
        <v>1669</v>
      </c>
      <c r="B189" s="12" t="s">
        <v>1018</v>
      </c>
      <c r="C189" s="12" t="s">
        <v>333</v>
      </c>
      <c r="D189" s="12" t="s">
        <v>41</v>
      </c>
      <c r="E189" s="12" t="s">
        <v>1239</v>
      </c>
      <c r="F189" s="13" t="n">
        <v>1</v>
      </c>
      <c r="G189" s="12" t="s">
        <v>1354</v>
      </c>
      <c r="H189" s="12" t="n">
        <v>3</v>
      </c>
      <c r="I189" s="12" t="n">
        <v>1</v>
      </c>
      <c r="J189" s="12" t="s">
        <v>1271</v>
      </c>
      <c r="K189" s="12" t="s">
        <v>202</v>
      </c>
      <c r="L189" s="12" t="s">
        <v>202</v>
      </c>
      <c r="M189" s="12" t="s">
        <v>202</v>
      </c>
      <c r="N189" s="12" t="s">
        <v>202</v>
      </c>
      <c r="O189" s="12" t="s">
        <v>202</v>
      </c>
      <c r="P189" s="12" t="s">
        <v>1670</v>
      </c>
    </row>
    <row r="190" customFormat="false" ht="15" hidden="false" customHeight="false" outlineLevel="0" collapsed="false">
      <c r="A190" s="12" t="s">
        <v>1671</v>
      </c>
      <c r="B190" s="12" t="s">
        <v>1022</v>
      </c>
      <c r="C190" s="12" t="s">
        <v>351</v>
      </c>
      <c r="D190" s="12" t="s">
        <v>41</v>
      </c>
      <c r="E190" s="12" t="s">
        <v>1239</v>
      </c>
      <c r="F190" s="13" t="n">
        <v>2</v>
      </c>
      <c r="G190" s="12" t="s">
        <v>1240</v>
      </c>
      <c r="H190" s="12" t="n">
        <v>0</v>
      </c>
      <c r="I190" s="12" t="n">
        <v>1</v>
      </c>
      <c r="J190" s="12" t="s">
        <v>1236</v>
      </c>
      <c r="K190" s="12" t="s">
        <v>202</v>
      </c>
      <c r="L190" s="12" t="s">
        <v>202</v>
      </c>
      <c r="M190" s="12" t="s">
        <v>202</v>
      </c>
      <c r="N190" s="12" t="s">
        <v>202</v>
      </c>
      <c r="O190" s="12" t="s">
        <v>202</v>
      </c>
      <c r="P190" s="12" t="s">
        <v>1672</v>
      </c>
    </row>
    <row r="191" customFormat="false" ht="15" hidden="false" customHeight="false" outlineLevel="0" collapsed="false">
      <c r="A191" s="12" t="s">
        <v>1673</v>
      </c>
      <c r="B191" s="12" t="s">
        <v>1022</v>
      </c>
      <c r="C191" s="12" t="s">
        <v>325</v>
      </c>
      <c r="D191" s="12" t="s">
        <v>41</v>
      </c>
      <c r="E191" s="12" t="s">
        <v>1239</v>
      </c>
      <c r="F191" s="13" t="n">
        <v>2</v>
      </c>
      <c r="G191" s="12" t="s">
        <v>1270</v>
      </c>
      <c r="H191" s="12" t="n">
        <v>1</v>
      </c>
      <c r="I191" s="12" t="n">
        <v>1</v>
      </c>
      <c r="J191" s="12" t="s">
        <v>1271</v>
      </c>
      <c r="K191" s="12" t="s">
        <v>202</v>
      </c>
      <c r="L191" s="12" t="s">
        <v>202</v>
      </c>
      <c r="M191" s="12" t="s">
        <v>202</v>
      </c>
      <c r="N191" s="12" t="s">
        <v>202</v>
      </c>
      <c r="O191" s="12" t="s">
        <v>202</v>
      </c>
      <c r="P191" s="12" t="s">
        <v>1674</v>
      </c>
    </row>
    <row r="192" customFormat="false" ht="15" hidden="false" customHeight="false" outlineLevel="0" collapsed="false">
      <c r="A192" s="12" t="s">
        <v>1675</v>
      </c>
      <c r="B192" s="12" t="s">
        <v>1022</v>
      </c>
      <c r="C192" s="12" t="s">
        <v>248</v>
      </c>
      <c r="D192" s="12" t="s">
        <v>41</v>
      </c>
      <c r="E192" s="12" t="s">
        <v>1239</v>
      </c>
      <c r="F192" s="13" t="n">
        <v>1</v>
      </c>
      <c r="G192" s="12" t="s">
        <v>1354</v>
      </c>
      <c r="H192" s="12" t="n">
        <v>3</v>
      </c>
      <c r="I192" s="12" t="n">
        <v>1</v>
      </c>
      <c r="J192" s="12" t="s">
        <v>1271</v>
      </c>
      <c r="K192" s="12" t="s">
        <v>202</v>
      </c>
      <c r="L192" s="12" t="s">
        <v>202</v>
      </c>
      <c r="M192" s="12" t="s">
        <v>202</v>
      </c>
      <c r="N192" s="12" t="s">
        <v>202</v>
      </c>
      <c r="O192" s="12" t="s">
        <v>202</v>
      </c>
      <c r="P192" s="12" t="s">
        <v>1676</v>
      </c>
    </row>
    <row r="193" customFormat="false" ht="15" hidden="false" customHeight="false" outlineLevel="0" collapsed="false">
      <c r="A193" s="12" t="s">
        <v>1677</v>
      </c>
      <c r="B193" s="12" t="s">
        <v>1028</v>
      </c>
      <c r="C193" s="12" t="s">
        <v>383</v>
      </c>
      <c r="D193" s="12" t="s">
        <v>385</v>
      </c>
      <c r="E193" s="12" t="s">
        <v>1239</v>
      </c>
      <c r="F193" s="13" t="n">
        <v>-80</v>
      </c>
      <c r="G193" s="12" t="s">
        <v>1509</v>
      </c>
      <c r="H193" s="12" t="n">
        <v>1</v>
      </c>
      <c r="I193" s="12" t="n">
        <v>4</v>
      </c>
      <c r="J193" s="12" t="s">
        <v>1325</v>
      </c>
      <c r="K193" s="12" t="s">
        <v>202</v>
      </c>
      <c r="L193" s="12" t="s">
        <v>202</v>
      </c>
      <c r="M193" s="12" t="s">
        <v>202</v>
      </c>
      <c r="N193" s="12" t="s">
        <v>202</v>
      </c>
      <c r="O193" s="12" t="s">
        <v>202</v>
      </c>
      <c r="P193" s="12" t="s">
        <v>1678</v>
      </c>
    </row>
    <row r="194" customFormat="false" ht="15" hidden="false" customHeight="false" outlineLevel="0" collapsed="false">
      <c r="A194" s="12" t="s">
        <v>1679</v>
      </c>
      <c r="B194" s="12" t="s">
        <v>1028</v>
      </c>
      <c r="C194" s="12" t="s">
        <v>258</v>
      </c>
      <c r="D194" s="12" t="s">
        <v>41</v>
      </c>
      <c r="E194" s="12" t="s">
        <v>1234</v>
      </c>
      <c r="F194" s="13" t="n">
        <v>2</v>
      </c>
      <c r="G194" s="12" t="s">
        <v>1410</v>
      </c>
      <c r="H194" s="12" t="n">
        <v>0</v>
      </c>
      <c r="I194" s="12" t="n">
        <v>4</v>
      </c>
      <c r="J194" s="12" t="s">
        <v>1236</v>
      </c>
      <c r="K194" s="12" t="s">
        <v>202</v>
      </c>
      <c r="L194" s="12" t="s">
        <v>202</v>
      </c>
      <c r="M194" s="12" t="s">
        <v>202</v>
      </c>
      <c r="N194" s="12" t="s">
        <v>202</v>
      </c>
      <c r="O194" s="12" t="s">
        <v>202</v>
      </c>
      <c r="P194" s="12" t="s">
        <v>1680</v>
      </c>
    </row>
    <row r="195" customFormat="false" ht="15" hidden="false" customHeight="false" outlineLevel="0" collapsed="false">
      <c r="A195" s="12" t="s">
        <v>1681</v>
      </c>
      <c r="B195" s="12" t="s">
        <v>1028</v>
      </c>
      <c r="C195" s="12" t="s">
        <v>235</v>
      </c>
      <c r="D195" s="12" t="s">
        <v>41</v>
      </c>
      <c r="E195" s="12" t="s">
        <v>1234</v>
      </c>
      <c r="F195" s="13" t="n">
        <v>-2</v>
      </c>
      <c r="G195" s="12" t="s">
        <v>1410</v>
      </c>
      <c r="H195" s="12" t="n">
        <v>0</v>
      </c>
      <c r="I195" s="12" t="n">
        <v>4</v>
      </c>
      <c r="J195" s="12" t="s">
        <v>1236</v>
      </c>
      <c r="K195" s="12" t="s">
        <v>202</v>
      </c>
      <c r="L195" s="12" t="s">
        <v>202</v>
      </c>
      <c r="M195" s="12" t="s">
        <v>202</v>
      </c>
      <c r="N195" s="12" t="s">
        <v>202</v>
      </c>
      <c r="O195" s="12" t="s">
        <v>202</v>
      </c>
      <c r="P195" s="12" t="s">
        <v>1682</v>
      </c>
    </row>
    <row r="196" customFormat="false" ht="15" hidden="false" customHeight="false" outlineLevel="0" collapsed="false">
      <c r="A196" s="12" t="s">
        <v>1683</v>
      </c>
      <c r="B196" s="12" t="s">
        <v>1028</v>
      </c>
      <c r="C196" s="12" t="s">
        <v>305</v>
      </c>
      <c r="D196" s="12" t="s">
        <v>41</v>
      </c>
      <c r="E196" s="12" t="s">
        <v>1239</v>
      </c>
      <c r="F196" s="13" t="n">
        <v>-1</v>
      </c>
      <c r="G196" s="12" t="s">
        <v>1528</v>
      </c>
      <c r="H196" s="12" t="n">
        <v>2</v>
      </c>
      <c r="I196" s="12" t="n">
        <v>4</v>
      </c>
      <c r="J196" s="12" t="s">
        <v>1325</v>
      </c>
      <c r="K196" s="12" t="s">
        <v>202</v>
      </c>
      <c r="L196" s="12" t="s">
        <v>202</v>
      </c>
      <c r="M196" s="12" t="s">
        <v>202</v>
      </c>
      <c r="N196" s="12" t="s">
        <v>202</v>
      </c>
      <c r="O196" s="12" t="s">
        <v>202</v>
      </c>
      <c r="P196" s="12" t="s">
        <v>1684</v>
      </c>
    </row>
    <row r="197" customFormat="false" ht="15" hidden="false" customHeight="false" outlineLevel="0" collapsed="false">
      <c r="A197" s="12" t="s">
        <v>1685</v>
      </c>
      <c r="B197" s="12" t="s">
        <v>1028</v>
      </c>
      <c r="C197" s="12" t="s">
        <v>296</v>
      </c>
      <c r="D197" s="12" t="s">
        <v>41</v>
      </c>
      <c r="E197" s="12" t="s">
        <v>1239</v>
      </c>
      <c r="F197" s="13" t="n">
        <v>-1</v>
      </c>
      <c r="G197" s="12" t="s">
        <v>1528</v>
      </c>
      <c r="H197" s="12" t="n">
        <v>2</v>
      </c>
      <c r="I197" s="12" t="n">
        <v>4</v>
      </c>
      <c r="J197" s="12" t="s">
        <v>1325</v>
      </c>
      <c r="K197" s="12" t="s">
        <v>202</v>
      </c>
      <c r="L197" s="12" t="s">
        <v>202</v>
      </c>
      <c r="M197" s="12" t="s">
        <v>202</v>
      </c>
      <c r="N197" s="12" t="s">
        <v>202</v>
      </c>
      <c r="O197" s="12" t="s">
        <v>202</v>
      </c>
      <c r="P197" s="12" t="s">
        <v>1686</v>
      </c>
    </row>
    <row r="198" customFormat="false" ht="15" hidden="false" customHeight="false" outlineLevel="0" collapsed="false">
      <c r="A198" s="12" t="s">
        <v>1687</v>
      </c>
      <c r="B198" s="12" t="s">
        <v>1028</v>
      </c>
      <c r="C198" s="12" t="s">
        <v>235</v>
      </c>
      <c r="D198" s="12" t="s">
        <v>41</v>
      </c>
      <c r="E198" s="12" t="s">
        <v>1239</v>
      </c>
      <c r="F198" s="13" t="n">
        <v>3</v>
      </c>
      <c r="G198" s="12" t="s">
        <v>1688</v>
      </c>
      <c r="H198" s="12" t="n">
        <v>5</v>
      </c>
      <c r="I198" s="12" t="n">
        <v>1</v>
      </c>
      <c r="J198" s="12" t="s">
        <v>1254</v>
      </c>
      <c r="K198" s="12" t="s">
        <v>202</v>
      </c>
      <c r="L198" s="12" t="s">
        <v>1245</v>
      </c>
      <c r="M198" s="12" t="s">
        <v>1689</v>
      </c>
      <c r="N198" s="12" t="n">
        <v>8</v>
      </c>
      <c r="O198" s="12" t="s">
        <v>202</v>
      </c>
      <c r="P198" s="12" t="s">
        <v>1690</v>
      </c>
    </row>
    <row r="199" customFormat="false" ht="15" hidden="false" customHeight="false" outlineLevel="0" collapsed="false">
      <c r="A199" s="12" t="s">
        <v>1691</v>
      </c>
      <c r="B199" s="12" t="s">
        <v>1034</v>
      </c>
      <c r="C199" s="12" t="s">
        <v>388</v>
      </c>
      <c r="D199" s="12" t="s">
        <v>385</v>
      </c>
      <c r="E199" s="12" t="s">
        <v>1239</v>
      </c>
      <c r="F199" s="13" t="n">
        <v>-100</v>
      </c>
      <c r="G199" s="12" t="s">
        <v>1240</v>
      </c>
      <c r="H199" s="12" t="n">
        <v>0</v>
      </c>
      <c r="I199" s="12" t="n">
        <v>1</v>
      </c>
      <c r="J199" s="12" t="s">
        <v>1236</v>
      </c>
      <c r="K199" s="12" t="s">
        <v>202</v>
      </c>
      <c r="L199" s="12" t="s">
        <v>202</v>
      </c>
      <c r="M199" s="12" t="s">
        <v>202</v>
      </c>
      <c r="N199" s="12" t="s">
        <v>202</v>
      </c>
      <c r="O199" s="12" t="s">
        <v>202</v>
      </c>
      <c r="P199" s="12" t="s">
        <v>1692</v>
      </c>
    </row>
    <row r="200" customFormat="false" ht="15" hidden="false" customHeight="false" outlineLevel="0" collapsed="false">
      <c r="A200" s="12" t="s">
        <v>1693</v>
      </c>
      <c r="B200" s="12" t="s">
        <v>1034</v>
      </c>
      <c r="C200" s="12" t="s">
        <v>235</v>
      </c>
      <c r="D200" s="12" t="s">
        <v>41</v>
      </c>
      <c r="E200" s="12" t="s">
        <v>1239</v>
      </c>
      <c r="F200" s="13" t="n">
        <v>4</v>
      </c>
      <c r="G200" s="12" t="s">
        <v>1240</v>
      </c>
      <c r="H200" s="12" t="n">
        <v>0</v>
      </c>
      <c r="I200" s="12" t="n">
        <v>1</v>
      </c>
      <c r="J200" s="12" t="s">
        <v>1236</v>
      </c>
      <c r="K200" s="12" t="s">
        <v>202</v>
      </c>
      <c r="L200" s="12" t="s">
        <v>202</v>
      </c>
      <c r="M200" s="12" t="s">
        <v>202</v>
      </c>
      <c r="N200" s="12" t="s">
        <v>202</v>
      </c>
      <c r="O200" s="12" t="s">
        <v>202</v>
      </c>
      <c r="P200" s="12" t="s">
        <v>1694</v>
      </c>
    </row>
    <row r="201" customFormat="false" ht="15" hidden="false" customHeight="false" outlineLevel="0" collapsed="false">
      <c r="A201" s="12" t="s">
        <v>1695</v>
      </c>
      <c r="B201" s="12" t="s">
        <v>1034</v>
      </c>
      <c r="C201" s="12" t="s">
        <v>258</v>
      </c>
      <c r="D201" s="12" t="s">
        <v>41</v>
      </c>
      <c r="E201" s="12" t="s">
        <v>1239</v>
      </c>
      <c r="F201" s="13" t="n">
        <v>-3</v>
      </c>
      <c r="G201" s="12" t="s">
        <v>1240</v>
      </c>
      <c r="H201" s="12" t="n">
        <v>0</v>
      </c>
      <c r="I201" s="12" t="n">
        <v>1</v>
      </c>
      <c r="J201" s="12" t="s">
        <v>1236</v>
      </c>
      <c r="K201" s="12" t="s">
        <v>202</v>
      </c>
      <c r="L201" s="12" t="s">
        <v>202</v>
      </c>
      <c r="M201" s="12" t="s">
        <v>202</v>
      </c>
      <c r="N201" s="12" t="s">
        <v>202</v>
      </c>
      <c r="O201" s="12" t="s">
        <v>202</v>
      </c>
      <c r="P201" s="12" t="s">
        <v>1696</v>
      </c>
    </row>
    <row r="202" customFormat="false" ht="15" hidden="false" customHeight="false" outlineLevel="0" collapsed="false">
      <c r="A202" s="12" t="s">
        <v>1697</v>
      </c>
      <c r="B202" s="12" t="s">
        <v>1034</v>
      </c>
      <c r="C202" s="12" t="s">
        <v>305</v>
      </c>
      <c r="D202" s="12" t="s">
        <v>41</v>
      </c>
      <c r="E202" s="12" t="s">
        <v>1239</v>
      </c>
      <c r="F202" s="13" t="n">
        <v>1</v>
      </c>
      <c r="G202" s="12" t="s">
        <v>1698</v>
      </c>
      <c r="H202" s="12" t="n">
        <v>2</v>
      </c>
      <c r="I202" s="12" t="n">
        <v>3</v>
      </c>
      <c r="J202" s="12" t="s">
        <v>1325</v>
      </c>
      <c r="K202" s="12" t="s">
        <v>202</v>
      </c>
      <c r="L202" s="12" t="s">
        <v>202</v>
      </c>
      <c r="M202" s="12" t="s">
        <v>202</v>
      </c>
      <c r="N202" s="12" t="s">
        <v>202</v>
      </c>
      <c r="O202" s="12" t="s">
        <v>202</v>
      </c>
      <c r="P202" s="12" t="s">
        <v>1699</v>
      </c>
    </row>
    <row r="203" customFormat="false" ht="15" hidden="false" customHeight="false" outlineLevel="0" collapsed="false">
      <c r="A203" s="12" t="s">
        <v>1700</v>
      </c>
      <c r="B203" s="12" t="s">
        <v>1034</v>
      </c>
      <c r="C203" s="12" t="s">
        <v>296</v>
      </c>
      <c r="D203" s="12" t="s">
        <v>41</v>
      </c>
      <c r="E203" s="12" t="s">
        <v>1239</v>
      </c>
      <c r="F203" s="13" t="n">
        <v>1</v>
      </c>
      <c r="G203" s="12" t="s">
        <v>1274</v>
      </c>
      <c r="H203" s="12" t="n">
        <v>2</v>
      </c>
      <c r="I203" s="12" t="n">
        <v>1</v>
      </c>
      <c r="J203" s="12" t="s">
        <v>1271</v>
      </c>
      <c r="K203" s="12" t="s">
        <v>202</v>
      </c>
      <c r="L203" s="12" t="s">
        <v>202</v>
      </c>
      <c r="M203" s="12" t="s">
        <v>202</v>
      </c>
      <c r="N203" s="12" t="s">
        <v>202</v>
      </c>
      <c r="O203" s="12" t="s">
        <v>202</v>
      </c>
      <c r="P203" s="12" t="s">
        <v>1701</v>
      </c>
    </row>
    <row r="204" customFormat="false" ht="15" hidden="false" customHeight="false" outlineLevel="0" collapsed="false">
      <c r="A204" s="12" t="s">
        <v>1702</v>
      </c>
      <c r="B204" s="12" t="s">
        <v>1034</v>
      </c>
      <c r="C204" s="12" t="s">
        <v>258</v>
      </c>
      <c r="D204" s="12" t="s">
        <v>41</v>
      </c>
      <c r="E204" s="12" t="s">
        <v>1239</v>
      </c>
      <c r="F204" s="13" t="n">
        <v>1</v>
      </c>
      <c r="G204" s="12" t="s">
        <v>1240</v>
      </c>
      <c r="H204" s="12" t="n">
        <v>0</v>
      </c>
      <c r="I204" s="12" t="n">
        <v>1</v>
      </c>
      <c r="J204" s="12" t="s">
        <v>1243</v>
      </c>
      <c r="K204" s="12" t="s">
        <v>1703</v>
      </c>
      <c r="L204" s="12" t="s">
        <v>1245</v>
      </c>
      <c r="M204" s="12" t="s">
        <v>202</v>
      </c>
      <c r="N204" s="12" t="s">
        <v>202</v>
      </c>
      <c r="O204" s="12" t="s">
        <v>202</v>
      </c>
      <c r="P204" s="12" t="s">
        <v>1704</v>
      </c>
    </row>
    <row r="205" customFormat="false" ht="15" hidden="false" customHeight="false" outlineLevel="0" collapsed="false">
      <c r="A205" s="12" t="s">
        <v>1705</v>
      </c>
      <c r="B205" s="12" t="s">
        <v>1034</v>
      </c>
      <c r="C205" s="12" t="s">
        <v>370</v>
      </c>
      <c r="D205" s="12" t="s">
        <v>41</v>
      </c>
      <c r="E205" s="12" t="s">
        <v>1239</v>
      </c>
      <c r="F205" s="13" t="n">
        <v>3</v>
      </c>
      <c r="G205" s="12" t="s">
        <v>1240</v>
      </c>
      <c r="H205" s="12" t="n">
        <v>0</v>
      </c>
      <c r="I205" s="12" t="n">
        <v>1</v>
      </c>
      <c r="J205" s="12" t="s">
        <v>1236</v>
      </c>
      <c r="K205" s="12" t="s">
        <v>202</v>
      </c>
      <c r="L205" s="12" t="s">
        <v>202</v>
      </c>
      <c r="M205" s="12" t="s">
        <v>202</v>
      </c>
      <c r="N205" s="12" t="s">
        <v>202</v>
      </c>
      <c r="O205" s="12" t="s">
        <v>202</v>
      </c>
      <c r="P205" s="12" t="s">
        <v>1038</v>
      </c>
    </row>
    <row r="206" customFormat="false" ht="15" hidden="false" customHeight="false" outlineLevel="0" collapsed="false">
      <c r="A206" s="12" t="s">
        <v>1706</v>
      </c>
      <c r="B206" s="12" t="s">
        <v>1039</v>
      </c>
      <c r="C206" s="12" t="s">
        <v>315</v>
      </c>
      <c r="D206" s="12" t="s">
        <v>41</v>
      </c>
      <c r="E206" s="12" t="s">
        <v>1239</v>
      </c>
      <c r="F206" s="13" t="n">
        <v>2</v>
      </c>
      <c r="G206" s="12" t="s">
        <v>1270</v>
      </c>
      <c r="H206" s="12" t="n">
        <v>1</v>
      </c>
      <c r="I206" s="12" t="n">
        <v>1</v>
      </c>
      <c r="J206" s="12" t="s">
        <v>1271</v>
      </c>
      <c r="K206" s="12" t="s">
        <v>202</v>
      </c>
      <c r="L206" s="12" t="s">
        <v>202</v>
      </c>
      <c r="M206" s="12" t="s">
        <v>202</v>
      </c>
      <c r="N206" s="12" t="s">
        <v>202</v>
      </c>
      <c r="O206" s="12" t="s">
        <v>202</v>
      </c>
      <c r="P206" s="12" t="s">
        <v>1707</v>
      </c>
    </row>
    <row r="207" customFormat="false" ht="15" hidden="false" customHeight="false" outlineLevel="0" collapsed="false">
      <c r="A207" s="12" t="s">
        <v>1708</v>
      </c>
      <c r="B207" s="12" t="s">
        <v>1039</v>
      </c>
      <c r="C207" s="12" t="s">
        <v>315</v>
      </c>
      <c r="D207" s="12" t="s">
        <v>41</v>
      </c>
      <c r="E207" s="12" t="s">
        <v>1239</v>
      </c>
      <c r="F207" s="13" t="n">
        <v>2</v>
      </c>
      <c r="G207" s="12" t="s">
        <v>1354</v>
      </c>
      <c r="H207" s="12" t="n">
        <v>3</v>
      </c>
      <c r="I207" s="12" t="n">
        <v>1</v>
      </c>
      <c r="J207" s="12" t="s">
        <v>1271</v>
      </c>
      <c r="K207" s="12" t="s">
        <v>202</v>
      </c>
      <c r="L207" s="12" t="s">
        <v>202</v>
      </c>
      <c r="M207" s="12" t="s">
        <v>202</v>
      </c>
      <c r="N207" s="12" t="s">
        <v>202</v>
      </c>
      <c r="O207" s="12" t="s">
        <v>202</v>
      </c>
      <c r="P207" s="12" t="s">
        <v>1709</v>
      </c>
    </row>
    <row r="208" customFormat="false" ht="15" hidden="false" customHeight="false" outlineLevel="0" collapsed="false">
      <c r="A208" s="12" t="s">
        <v>1710</v>
      </c>
      <c r="B208" s="12" t="s">
        <v>1039</v>
      </c>
      <c r="C208" s="12" t="s">
        <v>388</v>
      </c>
      <c r="D208" s="12" t="s">
        <v>385</v>
      </c>
      <c r="E208" s="12" t="s">
        <v>1239</v>
      </c>
      <c r="F208" s="13" t="n">
        <v>40</v>
      </c>
      <c r="G208" s="12" t="s">
        <v>1240</v>
      </c>
      <c r="H208" s="12" t="n">
        <v>0</v>
      </c>
      <c r="I208" s="12" t="n">
        <v>1</v>
      </c>
      <c r="J208" s="12" t="s">
        <v>1236</v>
      </c>
      <c r="K208" s="12" t="s">
        <v>202</v>
      </c>
      <c r="L208" s="12" t="s">
        <v>202</v>
      </c>
      <c r="M208" s="12" t="s">
        <v>202</v>
      </c>
      <c r="N208" s="12" t="s">
        <v>202</v>
      </c>
      <c r="O208" s="12" t="s">
        <v>202</v>
      </c>
      <c r="P208" s="12" t="s">
        <v>1660</v>
      </c>
    </row>
    <row r="209" customFormat="false" ht="15" hidden="false" customHeight="false" outlineLevel="0" collapsed="false">
      <c r="A209" s="12" t="s">
        <v>1711</v>
      </c>
      <c r="B209" s="12" t="s">
        <v>1039</v>
      </c>
      <c r="C209" s="12" t="s">
        <v>315</v>
      </c>
      <c r="D209" s="12" t="s">
        <v>41</v>
      </c>
      <c r="E209" s="12" t="s">
        <v>1239</v>
      </c>
      <c r="F209" s="13" t="n">
        <v>-1</v>
      </c>
      <c r="G209" s="12" t="s">
        <v>1354</v>
      </c>
      <c r="H209" s="12" t="n">
        <v>3</v>
      </c>
      <c r="I209" s="12" t="n">
        <v>1</v>
      </c>
      <c r="J209" s="12" t="s">
        <v>1254</v>
      </c>
      <c r="K209" s="12" t="s">
        <v>202</v>
      </c>
      <c r="L209" s="12" t="s">
        <v>1245</v>
      </c>
      <c r="M209" s="12" t="s">
        <v>1712</v>
      </c>
      <c r="N209" s="12" t="n">
        <v>6</v>
      </c>
      <c r="O209" s="12" t="s">
        <v>202</v>
      </c>
      <c r="P209" s="12" t="s">
        <v>1440</v>
      </c>
    </row>
    <row r="210" customFormat="false" ht="15" hidden="false" customHeight="false" outlineLevel="0" collapsed="false">
      <c r="A210" s="12" t="s">
        <v>1713</v>
      </c>
      <c r="B210" s="12" t="s">
        <v>1046</v>
      </c>
      <c r="C210" s="12" t="s">
        <v>315</v>
      </c>
      <c r="D210" s="12" t="s">
        <v>41</v>
      </c>
      <c r="E210" s="12" t="s">
        <v>1239</v>
      </c>
      <c r="F210" s="13" t="n">
        <v>1</v>
      </c>
      <c r="G210" s="12" t="s">
        <v>1523</v>
      </c>
      <c r="H210" s="12" t="n">
        <v>2</v>
      </c>
      <c r="I210" s="12" t="n">
        <v>6</v>
      </c>
      <c r="J210" s="12" t="s">
        <v>1325</v>
      </c>
      <c r="K210" s="12" t="s">
        <v>202</v>
      </c>
      <c r="L210" s="12" t="s">
        <v>202</v>
      </c>
      <c r="M210" s="12" t="s">
        <v>202</v>
      </c>
      <c r="N210" s="12" t="s">
        <v>202</v>
      </c>
      <c r="O210" s="12" t="s">
        <v>202</v>
      </c>
      <c r="P210" s="12" t="s">
        <v>1714</v>
      </c>
    </row>
    <row r="211" customFormat="false" ht="15" hidden="false" customHeight="false" outlineLevel="0" collapsed="false">
      <c r="A211" s="12" t="s">
        <v>1715</v>
      </c>
      <c r="B211" s="12" t="s">
        <v>1046</v>
      </c>
      <c r="C211" s="12" t="s">
        <v>370</v>
      </c>
      <c r="D211" s="12" t="s">
        <v>41</v>
      </c>
      <c r="E211" s="12" t="s">
        <v>1239</v>
      </c>
      <c r="F211" s="13" t="n">
        <v>3</v>
      </c>
      <c r="G211" s="12" t="s">
        <v>1240</v>
      </c>
      <c r="H211" s="12" t="n">
        <v>0</v>
      </c>
      <c r="I211" s="12" t="n">
        <v>1</v>
      </c>
      <c r="J211" s="12" t="s">
        <v>1236</v>
      </c>
      <c r="K211" s="12" t="s">
        <v>202</v>
      </c>
      <c r="L211" s="12" t="s">
        <v>202</v>
      </c>
      <c r="M211" s="12" t="s">
        <v>202</v>
      </c>
      <c r="N211" s="12" t="s">
        <v>202</v>
      </c>
      <c r="O211" s="12" t="s">
        <v>202</v>
      </c>
      <c r="P211" s="12" t="s">
        <v>1716</v>
      </c>
    </row>
    <row r="212" customFormat="false" ht="15" hidden="false" customHeight="false" outlineLevel="0" collapsed="false">
      <c r="A212" s="12" t="s">
        <v>1717</v>
      </c>
      <c r="B212" s="12" t="s">
        <v>1046</v>
      </c>
      <c r="C212" s="12" t="s">
        <v>370</v>
      </c>
      <c r="D212" s="12" t="s">
        <v>41</v>
      </c>
      <c r="E212" s="12" t="s">
        <v>1239</v>
      </c>
      <c r="F212" s="13" t="n">
        <v>4</v>
      </c>
      <c r="G212" s="12" t="s">
        <v>1240</v>
      </c>
      <c r="H212" s="12" t="n">
        <v>0</v>
      </c>
      <c r="I212" s="12" t="n">
        <v>1</v>
      </c>
      <c r="J212" s="12" t="s">
        <v>1243</v>
      </c>
      <c r="K212" s="12" t="s">
        <v>1718</v>
      </c>
      <c r="L212" s="12" t="s">
        <v>1245</v>
      </c>
      <c r="M212" s="12" t="s">
        <v>202</v>
      </c>
      <c r="N212" s="12" t="s">
        <v>202</v>
      </c>
      <c r="O212" s="12" t="s">
        <v>202</v>
      </c>
      <c r="P212" s="12" t="s">
        <v>1719</v>
      </c>
    </row>
    <row r="213" customFormat="false" ht="15" hidden="false" customHeight="false" outlineLevel="0" collapsed="false">
      <c r="A213" s="12" t="s">
        <v>1720</v>
      </c>
      <c r="B213" s="12" t="s">
        <v>1053</v>
      </c>
      <c r="C213" s="12" t="s">
        <v>341</v>
      </c>
      <c r="D213" s="12" t="s">
        <v>41</v>
      </c>
      <c r="E213" s="12" t="s">
        <v>1239</v>
      </c>
      <c r="F213" s="13" t="n">
        <v>3</v>
      </c>
      <c r="G213" s="12" t="s">
        <v>1270</v>
      </c>
      <c r="H213" s="12" t="n">
        <v>1</v>
      </c>
      <c r="I213" s="12" t="n">
        <v>1</v>
      </c>
      <c r="J213" s="12" t="s">
        <v>1271</v>
      </c>
      <c r="K213" s="12" t="s">
        <v>202</v>
      </c>
      <c r="L213" s="12" t="s">
        <v>202</v>
      </c>
      <c r="M213" s="12" t="s">
        <v>202</v>
      </c>
      <c r="N213" s="12" t="s">
        <v>202</v>
      </c>
      <c r="O213" s="12" t="s">
        <v>202</v>
      </c>
      <c r="P213" s="12" t="s">
        <v>1721</v>
      </c>
    </row>
    <row r="214" customFormat="false" ht="15" hidden="false" customHeight="false" outlineLevel="0" collapsed="false">
      <c r="A214" s="12" t="s">
        <v>1722</v>
      </c>
      <c r="B214" s="12" t="s">
        <v>1053</v>
      </c>
      <c r="C214" s="12" t="s">
        <v>388</v>
      </c>
      <c r="D214" s="12" t="s">
        <v>385</v>
      </c>
      <c r="E214" s="12" t="s">
        <v>1239</v>
      </c>
      <c r="F214" s="13" t="n">
        <v>50</v>
      </c>
      <c r="G214" s="12" t="s">
        <v>1240</v>
      </c>
      <c r="H214" s="12" t="n">
        <v>0</v>
      </c>
      <c r="I214" s="12" t="n">
        <v>1</v>
      </c>
      <c r="J214" s="12" t="s">
        <v>1236</v>
      </c>
      <c r="K214" s="12" t="s">
        <v>202</v>
      </c>
      <c r="L214" s="12" t="s">
        <v>202</v>
      </c>
      <c r="M214" s="12" t="s">
        <v>202</v>
      </c>
      <c r="N214" s="12" t="s">
        <v>202</v>
      </c>
      <c r="O214" s="12" t="s">
        <v>202</v>
      </c>
      <c r="P214" s="12" t="s">
        <v>1723</v>
      </c>
    </row>
    <row r="215" customFormat="false" ht="15" hidden="false" customHeight="false" outlineLevel="0" collapsed="false">
      <c r="A215" s="12" t="s">
        <v>1724</v>
      </c>
      <c r="B215" s="12" t="s">
        <v>1053</v>
      </c>
      <c r="C215" s="12" t="s">
        <v>341</v>
      </c>
      <c r="D215" s="12" t="s">
        <v>41</v>
      </c>
      <c r="E215" s="12" t="s">
        <v>1239</v>
      </c>
      <c r="F215" s="13" t="n">
        <v>1</v>
      </c>
      <c r="G215" s="12" t="s">
        <v>1270</v>
      </c>
      <c r="H215" s="12" t="n">
        <v>1</v>
      </c>
      <c r="I215" s="12" t="n">
        <v>1</v>
      </c>
      <c r="J215" s="12" t="s">
        <v>1254</v>
      </c>
      <c r="K215" s="12" t="s">
        <v>202</v>
      </c>
      <c r="L215" s="12" t="s">
        <v>1245</v>
      </c>
      <c r="M215" s="12" t="s">
        <v>1725</v>
      </c>
      <c r="N215" s="12" t="n">
        <v>8</v>
      </c>
      <c r="O215" s="12" t="s">
        <v>202</v>
      </c>
      <c r="P215" s="12" t="s">
        <v>1726</v>
      </c>
    </row>
    <row r="216" customFormat="false" ht="15" hidden="false" customHeight="false" outlineLevel="0" collapsed="false">
      <c r="A216" s="12" t="s">
        <v>1727</v>
      </c>
      <c r="B216" s="12" t="s">
        <v>1059</v>
      </c>
      <c r="C216" s="12" t="s">
        <v>396</v>
      </c>
      <c r="D216" s="12" t="s">
        <v>385</v>
      </c>
      <c r="E216" s="12" t="s">
        <v>1239</v>
      </c>
      <c r="F216" s="13" t="n">
        <v>-0.01</v>
      </c>
      <c r="G216" s="12" t="s">
        <v>1240</v>
      </c>
      <c r="H216" s="12" t="n">
        <v>0</v>
      </c>
      <c r="I216" s="12" t="n">
        <v>1</v>
      </c>
      <c r="J216" s="12" t="s">
        <v>1236</v>
      </c>
      <c r="K216" s="12" t="s">
        <v>202</v>
      </c>
      <c r="L216" s="12" t="s">
        <v>202</v>
      </c>
      <c r="M216" s="12" t="s">
        <v>202</v>
      </c>
      <c r="N216" s="12" t="s">
        <v>202</v>
      </c>
      <c r="O216" s="12" t="s">
        <v>202</v>
      </c>
      <c r="P216" s="12" t="s">
        <v>1728</v>
      </c>
    </row>
    <row r="217" customFormat="false" ht="15" hidden="false" customHeight="false" outlineLevel="0" collapsed="false">
      <c r="A217" s="12" t="s">
        <v>1729</v>
      </c>
      <c r="B217" s="12" t="s">
        <v>1059</v>
      </c>
      <c r="C217" s="12" t="s">
        <v>267</v>
      </c>
      <c r="D217" s="12" t="s">
        <v>41</v>
      </c>
      <c r="E217" s="12" t="s">
        <v>1239</v>
      </c>
      <c r="F217" s="13" t="n">
        <v>2</v>
      </c>
      <c r="G217" s="12" t="s">
        <v>1270</v>
      </c>
      <c r="H217" s="12" t="n">
        <v>1</v>
      </c>
      <c r="I217" s="12" t="n">
        <v>1</v>
      </c>
      <c r="J217" s="12" t="s">
        <v>1271</v>
      </c>
      <c r="K217" s="12" t="s">
        <v>202</v>
      </c>
      <c r="L217" s="12" t="s">
        <v>202</v>
      </c>
      <c r="M217" s="12" t="s">
        <v>202</v>
      </c>
      <c r="N217" s="12" t="s">
        <v>202</v>
      </c>
      <c r="O217" s="12" t="s">
        <v>202</v>
      </c>
      <c r="P217" s="12" t="s">
        <v>1730</v>
      </c>
    </row>
    <row r="218" customFormat="false" ht="15" hidden="false" customHeight="false" outlineLevel="0" collapsed="false">
      <c r="A218" s="12" t="s">
        <v>1731</v>
      </c>
      <c r="B218" s="12" t="s">
        <v>1059</v>
      </c>
      <c r="C218" s="12" t="s">
        <v>296</v>
      </c>
      <c r="D218" s="12" t="s">
        <v>41</v>
      </c>
      <c r="E218" s="12" t="s">
        <v>1239</v>
      </c>
      <c r="F218" s="13" t="n">
        <v>1</v>
      </c>
      <c r="G218" s="12" t="s">
        <v>1528</v>
      </c>
      <c r="H218" s="12" t="n">
        <v>2</v>
      </c>
      <c r="I218" s="12" t="n">
        <v>4</v>
      </c>
      <c r="J218" s="12" t="s">
        <v>1325</v>
      </c>
      <c r="K218" s="12" t="s">
        <v>202</v>
      </c>
      <c r="L218" s="12" t="s">
        <v>202</v>
      </c>
      <c r="M218" s="12" t="s">
        <v>202</v>
      </c>
      <c r="N218" s="12" t="s">
        <v>202</v>
      </c>
      <c r="O218" s="12" t="s">
        <v>202</v>
      </c>
      <c r="P218" s="12" t="s">
        <v>1732</v>
      </c>
    </row>
    <row r="219" customFormat="false" ht="15" hidden="false" customHeight="false" outlineLevel="0" collapsed="false">
      <c r="A219" s="12" t="s">
        <v>1733</v>
      </c>
      <c r="B219" s="12" t="s">
        <v>1059</v>
      </c>
      <c r="C219" s="12" t="s">
        <v>341</v>
      </c>
      <c r="D219" s="12" t="s">
        <v>41</v>
      </c>
      <c r="E219" s="12" t="s">
        <v>1239</v>
      </c>
      <c r="F219" s="13" t="n">
        <v>2</v>
      </c>
      <c r="G219" s="12" t="s">
        <v>1270</v>
      </c>
      <c r="H219" s="12" t="n">
        <v>1</v>
      </c>
      <c r="I219" s="12" t="n">
        <v>1</v>
      </c>
      <c r="J219" s="12" t="s">
        <v>1271</v>
      </c>
      <c r="K219" s="12" t="s">
        <v>202</v>
      </c>
      <c r="L219" s="12" t="s">
        <v>202</v>
      </c>
      <c r="M219" s="12" t="s">
        <v>202</v>
      </c>
      <c r="N219" s="12" t="s">
        <v>202</v>
      </c>
      <c r="O219" s="12" t="s">
        <v>202</v>
      </c>
      <c r="P219" s="12" t="s">
        <v>1734</v>
      </c>
    </row>
    <row r="220" customFormat="false" ht="15" hidden="false" customHeight="false" outlineLevel="0" collapsed="false">
      <c r="A220" s="12" t="s">
        <v>1735</v>
      </c>
      <c r="B220" s="12" t="s">
        <v>1059</v>
      </c>
      <c r="C220" s="12" t="s">
        <v>296</v>
      </c>
      <c r="D220" s="12" t="s">
        <v>41</v>
      </c>
      <c r="E220" s="12" t="s">
        <v>1239</v>
      </c>
      <c r="F220" s="13" t="n">
        <v>1</v>
      </c>
      <c r="G220" s="12" t="s">
        <v>1528</v>
      </c>
      <c r="H220" s="12" t="n">
        <v>2</v>
      </c>
      <c r="I220" s="12" t="n">
        <v>4</v>
      </c>
      <c r="J220" s="12" t="s">
        <v>1243</v>
      </c>
      <c r="K220" s="12" t="s">
        <v>1736</v>
      </c>
      <c r="L220" s="12" t="s">
        <v>1245</v>
      </c>
      <c r="M220" s="12" t="s">
        <v>202</v>
      </c>
      <c r="N220" s="12" t="s">
        <v>202</v>
      </c>
      <c r="O220" s="12" t="s">
        <v>202</v>
      </c>
      <c r="P220" s="12" t="s">
        <v>1737</v>
      </c>
    </row>
    <row r="221" customFormat="false" ht="15" hidden="false" customHeight="false" outlineLevel="0" collapsed="false">
      <c r="A221" s="12" t="s">
        <v>1738</v>
      </c>
      <c r="B221" s="12" t="s">
        <v>1064</v>
      </c>
      <c r="C221" s="12" t="s">
        <v>315</v>
      </c>
      <c r="D221" s="12" t="s">
        <v>41</v>
      </c>
      <c r="E221" s="12" t="s">
        <v>1239</v>
      </c>
      <c r="F221" s="13" t="n">
        <v>1</v>
      </c>
      <c r="G221" s="12" t="s">
        <v>1270</v>
      </c>
      <c r="H221" s="12" t="n">
        <v>1</v>
      </c>
      <c r="I221" s="12" t="n">
        <v>1</v>
      </c>
      <c r="J221" s="12" t="s">
        <v>1271</v>
      </c>
      <c r="K221" s="12" t="s">
        <v>202</v>
      </c>
      <c r="L221" s="12" t="s">
        <v>202</v>
      </c>
      <c r="M221" s="12" t="s">
        <v>202</v>
      </c>
      <c r="N221" s="12" t="s">
        <v>202</v>
      </c>
      <c r="O221" s="12" t="s">
        <v>202</v>
      </c>
      <c r="P221" s="12" t="s">
        <v>1739</v>
      </c>
    </row>
    <row r="222" customFormat="false" ht="15" hidden="false" customHeight="false" outlineLevel="0" collapsed="false">
      <c r="A222" s="12" t="s">
        <v>1740</v>
      </c>
      <c r="B222" s="12" t="s">
        <v>1064</v>
      </c>
      <c r="C222" s="12" t="s">
        <v>248</v>
      </c>
      <c r="D222" s="12" t="s">
        <v>41</v>
      </c>
      <c r="E222" s="12" t="s">
        <v>1234</v>
      </c>
      <c r="F222" s="13" t="n">
        <v>1</v>
      </c>
      <c r="G222" s="12" t="s">
        <v>1235</v>
      </c>
      <c r="H222" s="12" t="n">
        <v>0</v>
      </c>
      <c r="I222" s="12" t="n">
        <v>2</v>
      </c>
      <c r="J222" s="12" t="s">
        <v>1236</v>
      </c>
      <c r="K222" s="12" t="s">
        <v>202</v>
      </c>
      <c r="L222" s="12" t="s">
        <v>202</v>
      </c>
      <c r="M222" s="12" t="s">
        <v>202</v>
      </c>
      <c r="N222" s="12" t="s">
        <v>202</v>
      </c>
      <c r="O222" s="12" t="s">
        <v>202</v>
      </c>
      <c r="P222" s="12" t="s">
        <v>1741</v>
      </c>
    </row>
    <row r="223" customFormat="false" ht="15" hidden="false" customHeight="false" outlineLevel="0" collapsed="false">
      <c r="A223" s="12" t="s">
        <v>1742</v>
      </c>
      <c r="B223" s="12" t="s">
        <v>1071</v>
      </c>
      <c r="C223" s="12" t="s">
        <v>296</v>
      </c>
      <c r="D223" s="12" t="s">
        <v>41</v>
      </c>
      <c r="E223" s="12" t="s">
        <v>1239</v>
      </c>
      <c r="F223" s="13" t="n">
        <v>2</v>
      </c>
      <c r="G223" s="12" t="s">
        <v>1270</v>
      </c>
      <c r="H223" s="12" t="n">
        <v>1</v>
      </c>
      <c r="I223" s="12" t="n">
        <v>1</v>
      </c>
      <c r="J223" s="12" t="s">
        <v>1271</v>
      </c>
      <c r="K223" s="12" t="s">
        <v>202</v>
      </c>
      <c r="L223" s="12" t="s">
        <v>202</v>
      </c>
      <c r="M223" s="12" t="s">
        <v>202</v>
      </c>
      <c r="N223" s="12" t="s">
        <v>202</v>
      </c>
      <c r="O223" s="12" t="s">
        <v>202</v>
      </c>
      <c r="P223" s="12" t="s">
        <v>1743</v>
      </c>
    </row>
    <row r="224" customFormat="false" ht="15" hidden="false" customHeight="false" outlineLevel="0" collapsed="false">
      <c r="A224" s="12" t="s">
        <v>1744</v>
      </c>
      <c r="B224" s="12" t="s">
        <v>1071</v>
      </c>
      <c r="C224" s="12" t="s">
        <v>248</v>
      </c>
      <c r="D224" s="12" t="s">
        <v>41</v>
      </c>
      <c r="E224" s="12" t="s">
        <v>1239</v>
      </c>
      <c r="F224" s="13" t="n">
        <v>1</v>
      </c>
      <c r="G224" s="12" t="s">
        <v>1270</v>
      </c>
      <c r="H224" s="12" t="n">
        <v>1</v>
      </c>
      <c r="I224" s="12" t="n">
        <v>1</v>
      </c>
      <c r="J224" s="12" t="s">
        <v>1271</v>
      </c>
      <c r="K224" s="12" t="s">
        <v>202</v>
      </c>
      <c r="L224" s="12" t="s">
        <v>202</v>
      </c>
      <c r="M224" s="12" t="s">
        <v>202</v>
      </c>
      <c r="N224" s="12" t="s">
        <v>202</v>
      </c>
      <c r="O224" s="12" t="s">
        <v>202</v>
      </c>
      <c r="P224" s="12" t="s">
        <v>1478</v>
      </c>
    </row>
    <row r="225" customFormat="false" ht="15" hidden="false" customHeight="false" outlineLevel="0" collapsed="false">
      <c r="A225" s="12" t="s">
        <v>1745</v>
      </c>
      <c r="B225" s="12" t="s">
        <v>1071</v>
      </c>
      <c r="C225" s="12" t="s">
        <v>296</v>
      </c>
      <c r="D225" s="12" t="s">
        <v>41</v>
      </c>
      <c r="E225" s="12" t="s">
        <v>1239</v>
      </c>
      <c r="F225" s="13" t="n">
        <v>1</v>
      </c>
      <c r="G225" s="12" t="s">
        <v>1270</v>
      </c>
      <c r="H225" s="12" t="n">
        <v>1</v>
      </c>
      <c r="I225" s="12" t="n">
        <v>1</v>
      </c>
      <c r="J225" s="12" t="s">
        <v>1243</v>
      </c>
      <c r="K225" s="12" t="s">
        <v>1746</v>
      </c>
      <c r="L225" s="12" t="s">
        <v>1245</v>
      </c>
      <c r="M225" s="12" t="s">
        <v>202</v>
      </c>
      <c r="N225" s="12" t="s">
        <v>202</v>
      </c>
      <c r="O225" s="12" t="s">
        <v>202</v>
      </c>
      <c r="P225" s="12" t="s">
        <v>1747</v>
      </c>
    </row>
    <row r="226" customFormat="false" ht="15" hidden="false" customHeight="false" outlineLevel="0" collapsed="false">
      <c r="A226" s="12" t="s">
        <v>1748</v>
      </c>
      <c r="B226" s="12" t="s">
        <v>1077</v>
      </c>
      <c r="C226" s="12" t="s">
        <v>1749</v>
      </c>
      <c r="D226" s="12" t="s">
        <v>1314</v>
      </c>
      <c r="E226" s="12" t="s">
        <v>1315</v>
      </c>
      <c r="F226" s="13" t="n">
        <v>1</v>
      </c>
      <c r="G226" s="12" t="s">
        <v>1750</v>
      </c>
      <c r="H226" s="12" t="n">
        <v>0</v>
      </c>
      <c r="I226" s="12" t="n">
        <v>6</v>
      </c>
      <c r="J226" s="12" t="s">
        <v>1236</v>
      </c>
      <c r="K226" s="12" t="s">
        <v>202</v>
      </c>
      <c r="L226" s="12" t="s">
        <v>202</v>
      </c>
      <c r="M226" s="12" t="s">
        <v>202</v>
      </c>
      <c r="N226" s="12" t="s">
        <v>202</v>
      </c>
      <c r="O226" s="12" t="s">
        <v>202</v>
      </c>
      <c r="P226" s="12" t="s">
        <v>1751</v>
      </c>
    </row>
    <row r="227" customFormat="false" ht="15" hidden="false" customHeight="false" outlineLevel="0" collapsed="false">
      <c r="A227" s="12" t="s">
        <v>1752</v>
      </c>
      <c r="B227" s="12" t="s">
        <v>1077</v>
      </c>
      <c r="C227" s="12" t="s">
        <v>1753</v>
      </c>
      <c r="D227" s="12" t="s">
        <v>420</v>
      </c>
      <c r="E227" s="12" t="s">
        <v>1315</v>
      </c>
      <c r="F227" s="13" t="n">
        <v>0.8</v>
      </c>
      <c r="G227" s="12" t="s">
        <v>1750</v>
      </c>
      <c r="H227" s="12" t="n">
        <v>0</v>
      </c>
      <c r="I227" s="12" t="n">
        <v>6</v>
      </c>
      <c r="J227" s="12" t="s">
        <v>1236</v>
      </c>
      <c r="K227" s="12" t="s">
        <v>202</v>
      </c>
      <c r="L227" s="12" t="s">
        <v>202</v>
      </c>
      <c r="M227" s="12" t="s">
        <v>202</v>
      </c>
      <c r="N227" s="12" t="s">
        <v>202</v>
      </c>
      <c r="O227" s="12" t="s">
        <v>202</v>
      </c>
      <c r="P227" s="12" t="s">
        <v>1754</v>
      </c>
    </row>
    <row r="228" customFormat="false" ht="15" hidden="false" customHeight="false" outlineLevel="0" collapsed="false">
      <c r="A228" s="12" t="s">
        <v>1755</v>
      </c>
      <c r="B228" s="12" t="s">
        <v>1084</v>
      </c>
      <c r="C228" s="12" t="s">
        <v>248</v>
      </c>
      <c r="D228" s="12" t="s">
        <v>41</v>
      </c>
      <c r="E228" s="12" t="s">
        <v>1234</v>
      </c>
      <c r="F228" s="13" t="n">
        <v>2</v>
      </c>
      <c r="G228" s="12" t="s">
        <v>1235</v>
      </c>
      <c r="H228" s="12" t="n">
        <v>0</v>
      </c>
      <c r="I228" s="12" t="n">
        <v>2</v>
      </c>
      <c r="J228" s="12" t="s">
        <v>1236</v>
      </c>
      <c r="K228" s="12" t="s">
        <v>202</v>
      </c>
      <c r="L228" s="12" t="s">
        <v>202</v>
      </c>
      <c r="M228" s="12" t="s">
        <v>202</v>
      </c>
      <c r="N228" s="12" t="s">
        <v>202</v>
      </c>
      <c r="O228" s="12" t="s">
        <v>202</v>
      </c>
      <c r="P228" s="12" t="s">
        <v>1756</v>
      </c>
    </row>
    <row r="229" customFormat="false" ht="15" hidden="false" customHeight="false" outlineLevel="0" collapsed="false">
      <c r="A229" s="12" t="s">
        <v>1757</v>
      </c>
      <c r="B229" s="12" t="s">
        <v>1084</v>
      </c>
      <c r="C229" s="12" t="s">
        <v>305</v>
      </c>
      <c r="D229" s="12" t="s">
        <v>41</v>
      </c>
      <c r="E229" s="12" t="s">
        <v>1239</v>
      </c>
      <c r="F229" s="13" t="n">
        <v>3</v>
      </c>
      <c r="G229" s="12" t="s">
        <v>1274</v>
      </c>
      <c r="H229" s="12" t="n">
        <v>2</v>
      </c>
      <c r="I229" s="12" t="n">
        <v>1</v>
      </c>
      <c r="J229" s="12" t="s">
        <v>1271</v>
      </c>
      <c r="K229" s="12" t="s">
        <v>202</v>
      </c>
      <c r="L229" s="12" t="s">
        <v>202</v>
      </c>
      <c r="M229" s="12" t="s">
        <v>202</v>
      </c>
      <c r="N229" s="12" t="s">
        <v>202</v>
      </c>
      <c r="O229" s="12" t="s">
        <v>202</v>
      </c>
      <c r="P229" s="12" t="s">
        <v>1758</v>
      </c>
    </row>
    <row r="230" customFormat="false" ht="15" hidden="false" customHeight="false" outlineLevel="0" collapsed="false">
      <c r="A230" s="12" t="s">
        <v>1759</v>
      </c>
      <c r="B230" s="12" t="s">
        <v>1084</v>
      </c>
      <c r="C230" s="12" t="s">
        <v>305</v>
      </c>
      <c r="D230" s="12" t="s">
        <v>41</v>
      </c>
      <c r="E230" s="12" t="s">
        <v>1239</v>
      </c>
      <c r="F230" s="13" t="n">
        <v>3</v>
      </c>
      <c r="G230" s="12" t="s">
        <v>1354</v>
      </c>
      <c r="H230" s="12" t="n">
        <v>3</v>
      </c>
      <c r="I230" s="12" t="n">
        <v>1</v>
      </c>
      <c r="J230" s="12" t="s">
        <v>1271</v>
      </c>
      <c r="K230" s="12" t="s">
        <v>202</v>
      </c>
      <c r="L230" s="12" t="s">
        <v>202</v>
      </c>
      <c r="M230" s="12" t="s">
        <v>202</v>
      </c>
      <c r="N230" s="12" t="s">
        <v>202</v>
      </c>
      <c r="O230" s="12" t="s">
        <v>202</v>
      </c>
      <c r="P230" s="12" t="s">
        <v>1760</v>
      </c>
    </row>
    <row r="231" customFormat="false" ht="15" hidden="false" customHeight="false" outlineLevel="0" collapsed="false">
      <c r="A231" s="12" t="s">
        <v>1761</v>
      </c>
      <c r="B231" s="12" t="s">
        <v>1084</v>
      </c>
      <c r="C231" s="12" t="s">
        <v>388</v>
      </c>
      <c r="D231" s="12" t="s">
        <v>385</v>
      </c>
      <c r="E231" s="12" t="s">
        <v>1239</v>
      </c>
      <c r="F231" s="13" t="n">
        <v>30</v>
      </c>
      <c r="G231" s="12" t="s">
        <v>1354</v>
      </c>
      <c r="H231" s="12" t="n">
        <v>3</v>
      </c>
      <c r="I231" s="12" t="n">
        <v>1</v>
      </c>
      <c r="J231" s="12" t="s">
        <v>1271</v>
      </c>
      <c r="K231" s="12" t="s">
        <v>202</v>
      </c>
      <c r="L231" s="12" t="s">
        <v>202</v>
      </c>
      <c r="M231" s="12" t="s">
        <v>202</v>
      </c>
      <c r="N231" s="12" t="s">
        <v>202</v>
      </c>
      <c r="O231" s="12" t="s">
        <v>202</v>
      </c>
      <c r="P231" s="12" t="s">
        <v>1762</v>
      </c>
    </row>
    <row r="232" customFormat="false" ht="15" hidden="false" customHeight="false" outlineLevel="0" collapsed="false">
      <c r="A232" s="12" t="s">
        <v>1763</v>
      </c>
      <c r="B232" s="12" t="s">
        <v>1084</v>
      </c>
      <c r="C232" s="12" t="s">
        <v>296</v>
      </c>
      <c r="D232" s="12" t="s">
        <v>41</v>
      </c>
      <c r="E232" s="12" t="s">
        <v>1239</v>
      </c>
      <c r="F232" s="13" t="n">
        <v>1</v>
      </c>
      <c r="G232" s="12" t="s">
        <v>1417</v>
      </c>
      <c r="H232" s="12" t="n">
        <v>4</v>
      </c>
      <c r="I232" s="12" t="n">
        <v>1</v>
      </c>
      <c r="J232" s="12" t="s">
        <v>1271</v>
      </c>
      <c r="K232" s="12" t="s">
        <v>202</v>
      </c>
      <c r="L232" s="12" t="s">
        <v>202</v>
      </c>
      <c r="M232" s="12" t="s">
        <v>202</v>
      </c>
      <c r="N232" s="12" t="s">
        <v>202</v>
      </c>
      <c r="O232" s="12" t="s">
        <v>202</v>
      </c>
      <c r="P232" s="12" t="s">
        <v>1764</v>
      </c>
    </row>
    <row r="233" customFormat="false" ht="15" hidden="false" customHeight="false" outlineLevel="0" collapsed="false">
      <c r="A233" s="12" t="s">
        <v>1765</v>
      </c>
      <c r="B233" s="12" t="s">
        <v>1084</v>
      </c>
      <c r="C233" s="12" t="s">
        <v>305</v>
      </c>
      <c r="D233" s="12" t="s">
        <v>41</v>
      </c>
      <c r="E233" s="12" t="s">
        <v>1239</v>
      </c>
      <c r="F233" s="13" t="n">
        <v>1</v>
      </c>
      <c r="G233" s="12" t="s">
        <v>1354</v>
      </c>
      <c r="H233" s="12" t="n">
        <v>3</v>
      </c>
      <c r="I233" s="12" t="n">
        <v>1</v>
      </c>
      <c r="J233" s="12" t="s">
        <v>1243</v>
      </c>
      <c r="K233" s="12" t="s">
        <v>1643</v>
      </c>
      <c r="L233" s="12" t="s">
        <v>1245</v>
      </c>
      <c r="M233" s="12" t="s">
        <v>202</v>
      </c>
      <c r="N233" s="12" t="s">
        <v>202</v>
      </c>
      <c r="O233" s="12" t="s">
        <v>202</v>
      </c>
      <c r="P233" s="12" t="s">
        <v>1662</v>
      </c>
    </row>
    <row r="234" customFormat="false" ht="15" hidden="false" customHeight="false" outlineLevel="0" collapsed="false">
      <c r="A234" s="12" t="s">
        <v>1766</v>
      </c>
      <c r="B234" s="12" t="s">
        <v>1084</v>
      </c>
      <c r="C234" s="12" t="s">
        <v>361</v>
      </c>
      <c r="D234" s="12" t="s">
        <v>41</v>
      </c>
      <c r="E234" s="12" t="s">
        <v>1239</v>
      </c>
      <c r="F234" s="13" t="n">
        <v>-1</v>
      </c>
      <c r="G234" s="12" t="s">
        <v>1240</v>
      </c>
      <c r="H234" s="12" t="n">
        <v>0</v>
      </c>
      <c r="I234" s="12" t="n">
        <v>1</v>
      </c>
      <c r="J234" s="12" t="s">
        <v>1236</v>
      </c>
      <c r="K234" s="12" t="s">
        <v>202</v>
      </c>
      <c r="L234" s="12" t="s">
        <v>202</v>
      </c>
      <c r="M234" s="12" t="s">
        <v>202</v>
      </c>
      <c r="N234" s="12" t="s">
        <v>202</v>
      </c>
      <c r="O234" s="12" t="s">
        <v>202</v>
      </c>
      <c r="P234" s="12" t="s">
        <v>1767</v>
      </c>
    </row>
    <row r="235" customFormat="false" ht="15" hidden="false" customHeight="false" outlineLevel="0" collapsed="false">
      <c r="A235" s="12" t="s">
        <v>1768</v>
      </c>
      <c r="B235" s="12" t="s">
        <v>1091</v>
      </c>
      <c r="C235" s="12" t="s">
        <v>248</v>
      </c>
      <c r="D235" s="12" t="s">
        <v>41</v>
      </c>
      <c r="E235" s="12" t="s">
        <v>1234</v>
      </c>
      <c r="F235" s="13" t="n">
        <v>2</v>
      </c>
      <c r="G235" s="12" t="s">
        <v>1280</v>
      </c>
      <c r="H235" s="12" t="n">
        <v>0</v>
      </c>
      <c r="I235" s="12" t="n">
        <v>3</v>
      </c>
      <c r="J235" s="12" t="s">
        <v>1236</v>
      </c>
      <c r="K235" s="12" t="s">
        <v>202</v>
      </c>
      <c r="L235" s="12" t="s">
        <v>202</v>
      </c>
      <c r="M235" s="12" t="s">
        <v>202</v>
      </c>
      <c r="N235" s="12" t="s">
        <v>202</v>
      </c>
      <c r="O235" s="12" t="s">
        <v>202</v>
      </c>
      <c r="P235" s="12" t="s">
        <v>1654</v>
      </c>
    </row>
    <row r="236" customFormat="false" ht="15" hidden="false" customHeight="false" outlineLevel="0" collapsed="false">
      <c r="A236" s="12" t="s">
        <v>1769</v>
      </c>
      <c r="B236" s="12" t="s">
        <v>1091</v>
      </c>
      <c r="C236" s="12" t="s">
        <v>305</v>
      </c>
      <c r="D236" s="12" t="s">
        <v>41</v>
      </c>
      <c r="E236" s="12" t="s">
        <v>1239</v>
      </c>
      <c r="F236" s="13" t="n">
        <v>3</v>
      </c>
      <c r="G236" s="12" t="s">
        <v>1274</v>
      </c>
      <c r="H236" s="12" t="n">
        <v>2</v>
      </c>
      <c r="I236" s="12" t="n">
        <v>1</v>
      </c>
      <c r="J236" s="12" t="s">
        <v>1271</v>
      </c>
      <c r="K236" s="12" t="s">
        <v>202</v>
      </c>
      <c r="L236" s="12" t="s">
        <v>202</v>
      </c>
      <c r="M236" s="12" t="s">
        <v>202</v>
      </c>
      <c r="N236" s="12" t="s">
        <v>202</v>
      </c>
      <c r="O236" s="12" t="s">
        <v>202</v>
      </c>
      <c r="P236" s="12" t="s">
        <v>1770</v>
      </c>
    </row>
    <row r="237" customFormat="false" ht="15" hidden="false" customHeight="false" outlineLevel="0" collapsed="false">
      <c r="A237" s="12" t="s">
        <v>1771</v>
      </c>
      <c r="B237" s="12" t="s">
        <v>1091</v>
      </c>
      <c r="C237" s="12" t="s">
        <v>305</v>
      </c>
      <c r="D237" s="12" t="s">
        <v>41</v>
      </c>
      <c r="E237" s="12" t="s">
        <v>1239</v>
      </c>
      <c r="F237" s="13" t="n">
        <v>2</v>
      </c>
      <c r="G237" s="12" t="s">
        <v>1417</v>
      </c>
      <c r="H237" s="12" t="n">
        <v>4</v>
      </c>
      <c r="I237" s="12" t="n">
        <v>1</v>
      </c>
      <c r="J237" s="12" t="s">
        <v>1271</v>
      </c>
      <c r="K237" s="12" t="s">
        <v>202</v>
      </c>
      <c r="L237" s="12" t="s">
        <v>202</v>
      </c>
      <c r="M237" s="12" t="s">
        <v>202</v>
      </c>
      <c r="N237" s="12" t="s">
        <v>202</v>
      </c>
      <c r="O237" s="12" t="s">
        <v>202</v>
      </c>
      <c r="P237" s="12" t="s">
        <v>1772</v>
      </c>
    </row>
    <row r="238" customFormat="false" ht="15" hidden="false" customHeight="false" outlineLevel="0" collapsed="false">
      <c r="A238" s="12" t="s">
        <v>1773</v>
      </c>
      <c r="B238" s="12" t="s">
        <v>1091</v>
      </c>
      <c r="C238" s="12" t="s">
        <v>296</v>
      </c>
      <c r="D238" s="12" t="s">
        <v>41</v>
      </c>
      <c r="E238" s="12" t="s">
        <v>1239</v>
      </c>
      <c r="F238" s="13" t="n">
        <v>2</v>
      </c>
      <c r="G238" s="12" t="s">
        <v>1514</v>
      </c>
      <c r="H238" s="12" t="n">
        <v>3</v>
      </c>
      <c r="I238" s="12" t="n">
        <v>4</v>
      </c>
      <c r="J238" s="12" t="s">
        <v>1325</v>
      </c>
      <c r="K238" s="12" t="s">
        <v>202</v>
      </c>
      <c r="L238" s="12" t="s">
        <v>202</v>
      </c>
      <c r="M238" s="12" t="s">
        <v>202</v>
      </c>
      <c r="N238" s="12" t="s">
        <v>202</v>
      </c>
      <c r="O238" s="12" t="s">
        <v>202</v>
      </c>
      <c r="P238" s="12" t="s">
        <v>1701</v>
      </c>
    </row>
    <row r="239" customFormat="false" ht="15" hidden="false" customHeight="false" outlineLevel="0" collapsed="false">
      <c r="A239" s="12" t="s">
        <v>1774</v>
      </c>
      <c r="B239" s="12" t="s">
        <v>1091</v>
      </c>
      <c r="C239" s="12" t="s">
        <v>361</v>
      </c>
      <c r="D239" s="12" t="s">
        <v>41</v>
      </c>
      <c r="E239" s="12" t="s">
        <v>1239</v>
      </c>
      <c r="F239" s="13" t="n">
        <v>-1</v>
      </c>
      <c r="G239" s="12" t="s">
        <v>1240</v>
      </c>
      <c r="H239" s="12" t="n">
        <v>0</v>
      </c>
      <c r="I239" s="12" t="n">
        <v>1</v>
      </c>
      <c r="J239" s="12" t="s">
        <v>1236</v>
      </c>
      <c r="K239" s="12" t="s">
        <v>202</v>
      </c>
      <c r="L239" s="12" t="s">
        <v>202</v>
      </c>
      <c r="M239" s="12" t="s">
        <v>202</v>
      </c>
      <c r="N239" s="12" t="s">
        <v>202</v>
      </c>
      <c r="O239" s="12" t="s">
        <v>202</v>
      </c>
      <c r="P239" s="12" t="s">
        <v>1767</v>
      </c>
    </row>
    <row r="240" customFormat="false" ht="15" hidden="false" customHeight="false" outlineLevel="0" collapsed="false">
      <c r="A240" s="12" t="s">
        <v>1775</v>
      </c>
      <c r="B240" s="12" t="s">
        <v>1091</v>
      </c>
      <c r="C240" s="12" t="s">
        <v>388</v>
      </c>
      <c r="D240" s="12" t="s">
        <v>385</v>
      </c>
      <c r="E240" s="12" t="s">
        <v>1239</v>
      </c>
      <c r="F240" s="13" t="n">
        <v>40</v>
      </c>
      <c r="G240" s="12" t="s">
        <v>1417</v>
      </c>
      <c r="H240" s="12" t="n">
        <v>4</v>
      </c>
      <c r="I240" s="12" t="n">
        <v>1</v>
      </c>
      <c r="J240" s="12" t="s">
        <v>1271</v>
      </c>
      <c r="K240" s="12" t="s">
        <v>202</v>
      </c>
      <c r="L240" s="12" t="s">
        <v>202</v>
      </c>
      <c r="M240" s="12" t="s">
        <v>202</v>
      </c>
      <c r="N240" s="12" t="s">
        <v>202</v>
      </c>
      <c r="O240" s="12" t="s">
        <v>202</v>
      </c>
      <c r="P240" s="12" t="s">
        <v>1776</v>
      </c>
    </row>
    <row r="241" customFormat="false" ht="15" hidden="false" customHeight="false" outlineLevel="0" collapsed="false">
      <c r="A241" s="12" t="s">
        <v>1777</v>
      </c>
      <c r="B241" s="12" t="s">
        <v>1096</v>
      </c>
      <c r="C241" s="12" t="s">
        <v>361</v>
      </c>
      <c r="D241" s="12" t="s">
        <v>41</v>
      </c>
      <c r="E241" s="12" t="s">
        <v>1239</v>
      </c>
      <c r="F241" s="13" t="n">
        <v>3</v>
      </c>
      <c r="G241" s="12" t="s">
        <v>1274</v>
      </c>
      <c r="H241" s="12" t="n">
        <v>2</v>
      </c>
      <c r="I241" s="12" t="n">
        <v>1</v>
      </c>
      <c r="J241" s="12" t="s">
        <v>1271</v>
      </c>
      <c r="K241" s="12" t="s">
        <v>202</v>
      </c>
      <c r="L241" s="12" t="s">
        <v>202</v>
      </c>
      <c r="M241" s="12" t="s">
        <v>202</v>
      </c>
      <c r="N241" s="12" t="s">
        <v>202</v>
      </c>
      <c r="O241" s="12" t="s">
        <v>202</v>
      </c>
      <c r="P241" s="12" t="s">
        <v>1778</v>
      </c>
    </row>
    <row r="242" customFormat="false" ht="15" hidden="false" customHeight="false" outlineLevel="0" collapsed="false">
      <c r="A242" s="12" t="s">
        <v>1779</v>
      </c>
      <c r="B242" s="12" t="s">
        <v>1096</v>
      </c>
      <c r="C242" s="12" t="s">
        <v>305</v>
      </c>
      <c r="D242" s="12" t="s">
        <v>41</v>
      </c>
      <c r="E242" s="12" t="s">
        <v>1239</v>
      </c>
      <c r="F242" s="13" t="n">
        <v>2</v>
      </c>
      <c r="G242" s="12" t="s">
        <v>1274</v>
      </c>
      <c r="H242" s="12" t="n">
        <v>2</v>
      </c>
      <c r="I242" s="12" t="n">
        <v>1</v>
      </c>
      <c r="J242" s="12" t="s">
        <v>1271</v>
      </c>
      <c r="K242" s="12" t="s">
        <v>202</v>
      </c>
      <c r="L242" s="12" t="s">
        <v>202</v>
      </c>
      <c r="M242" s="12" t="s">
        <v>202</v>
      </c>
      <c r="N242" s="12" t="s">
        <v>202</v>
      </c>
      <c r="O242" s="12" t="s">
        <v>202</v>
      </c>
      <c r="P242" s="12" t="s">
        <v>1780</v>
      </c>
    </row>
    <row r="243" customFormat="false" ht="15" hidden="false" customHeight="false" outlineLevel="0" collapsed="false">
      <c r="A243" s="12" t="s">
        <v>1781</v>
      </c>
      <c r="B243" s="12" t="s">
        <v>1096</v>
      </c>
      <c r="C243" s="12" t="s">
        <v>296</v>
      </c>
      <c r="D243" s="12" t="s">
        <v>41</v>
      </c>
      <c r="E243" s="12" t="s">
        <v>1239</v>
      </c>
      <c r="F243" s="13" t="n">
        <v>1</v>
      </c>
      <c r="G243" s="12" t="s">
        <v>1782</v>
      </c>
      <c r="H243" s="12" t="n">
        <v>3</v>
      </c>
      <c r="I243" s="12" t="n">
        <v>3</v>
      </c>
      <c r="J243" s="12" t="s">
        <v>1325</v>
      </c>
      <c r="K243" s="12" t="s">
        <v>202</v>
      </c>
      <c r="L243" s="12" t="s">
        <v>202</v>
      </c>
      <c r="M243" s="12" t="s">
        <v>202</v>
      </c>
      <c r="N243" s="12" t="s">
        <v>202</v>
      </c>
      <c r="O243" s="12" t="s">
        <v>202</v>
      </c>
      <c r="P243" s="12" t="s">
        <v>1783</v>
      </c>
    </row>
    <row r="244" customFormat="false" ht="15" hidden="false" customHeight="false" outlineLevel="0" collapsed="false">
      <c r="A244" s="12" t="s">
        <v>1784</v>
      </c>
      <c r="B244" s="12" t="s">
        <v>1096</v>
      </c>
      <c r="C244" s="12" t="s">
        <v>388</v>
      </c>
      <c r="D244" s="12" t="s">
        <v>385</v>
      </c>
      <c r="E244" s="12" t="s">
        <v>1239</v>
      </c>
      <c r="F244" s="13" t="n">
        <v>20</v>
      </c>
      <c r="G244" s="12" t="s">
        <v>1354</v>
      </c>
      <c r="H244" s="12" t="n">
        <v>3</v>
      </c>
      <c r="I244" s="12" t="n">
        <v>1</v>
      </c>
      <c r="J244" s="12" t="s">
        <v>1271</v>
      </c>
      <c r="K244" s="12" t="s">
        <v>202</v>
      </c>
      <c r="L244" s="12" t="s">
        <v>202</v>
      </c>
      <c r="M244" s="12" t="s">
        <v>202</v>
      </c>
      <c r="N244" s="12" t="s">
        <v>202</v>
      </c>
      <c r="O244" s="12" t="s">
        <v>202</v>
      </c>
      <c r="P244" s="12" t="s">
        <v>1646</v>
      </c>
    </row>
    <row r="245" customFormat="false" ht="15" hidden="false" customHeight="false" outlineLevel="0" collapsed="false">
      <c r="A245" s="12" t="s">
        <v>1785</v>
      </c>
      <c r="B245" s="12" t="s">
        <v>1100</v>
      </c>
      <c r="C245" s="12" t="s">
        <v>305</v>
      </c>
      <c r="D245" s="12" t="s">
        <v>41</v>
      </c>
      <c r="E245" s="12" t="s">
        <v>1239</v>
      </c>
      <c r="F245" s="13" t="n">
        <v>2</v>
      </c>
      <c r="G245" s="12" t="s">
        <v>1274</v>
      </c>
      <c r="H245" s="12" t="n">
        <v>2</v>
      </c>
      <c r="I245" s="12" t="n">
        <v>1</v>
      </c>
      <c r="J245" s="12" t="s">
        <v>1271</v>
      </c>
      <c r="K245" s="12" t="s">
        <v>202</v>
      </c>
      <c r="L245" s="12" t="s">
        <v>202</v>
      </c>
      <c r="M245" s="12" t="s">
        <v>202</v>
      </c>
      <c r="N245" s="12" t="s">
        <v>202</v>
      </c>
      <c r="O245" s="12" t="s">
        <v>202</v>
      </c>
      <c r="P245" s="12" t="s">
        <v>1786</v>
      </c>
    </row>
    <row r="246" customFormat="false" ht="15" hidden="false" customHeight="false" outlineLevel="0" collapsed="false">
      <c r="A246" s="12" t="s">
        <v>1787</v>
      </c>
      <c r="B246" s="12" t="s">
        <v>1100</v>
      </c>
      <c r="C246" s="12" t="s">
        <v>325</v>
      </c>
      <c r="D246" s="12" t="s">
        <v>41</v>
      </c>
      <c r="E246" s="12" t="s">
        <v>1239</v>
      </c>
      <c r="F246" s="13" t="n">
        <v>2</v>
      </c>
      <c r="G246" s="12" t="s">
        <v>1354</v>
      </c>
      <c r="H246" s="12" t="n">
        <v>3</v>
      </c>
      <c r="I246" s="12" t="n">
        <v>1</v>
      </c>
      <c r="J246" s="12" t="s">
        <v>1271</v>
      </c>
      <c r="K246" s="12" t="s">
        <v>202</v>
      </c>
      <c r="L246" s="12" t="s">
        <v>202</v>
      </c>
      <c r="M246" s="12" t="s">
        <v>202</v>
      </c>
      <c r="N246" s="12" t="s">
        <v>202</v>
      </c>
      <c r="O246" s="12" t="s">
        <v>202</v>
      </c>
      <c r="P246" s="12" t="s">
        <v>1788</v>
      </c>
    </row>
    <row r="247" customFormat="false" ht="15" hidden="false" customHeight="false" outlineLevel="0" collapsed="false">
      <c r="A247" s="12" t="s">
        <v>1789</v>
      </c>
      <c r="B247" s="12" t="s">
        <v>1100</v>
      </c>
      <c r="C247" s="12" t="s">
        <v>296</v>
      </c>
      <c r="D247" s="12" t="s">
        <v>41</v>
      </c>
      <c r="E247" s="12" t="s">
        <v>1239</v>
      </c>
      <c r="F247" s="13" t="n">
        <v>1</v>
      </c>
      <c r="G247" s="12" t="s">
        <v>1782</v>
      </c>
      <c r="H247" s="12" t="n">
        <v>3</v>
      </c>
      <c r="I247" s="12" t="n">
        <v>3</v>
      </c>
      <c r="J247" s="12" t="s">
        <v>1325</v>
      </c>
      <c r="K247" s="12" t="s">
        <v>202</v>
      </c>
      <c r="L247" s="12" t="s">
        <v>202</v>
      </c>
      <c r="M247" s="12" t="s">
        <v>202</v>
      </c>
      <c r="N247" s="12" t="s">
        <v>202</v>
      </c>
      <c r="O247" s="12" t="s">
        <v>202</v>
      </c>
      <c r="P247" s="12" t="s">
        <v>1790</v>
      </c>
    </row>
    <row r="248" customFormat="false" ht="15" hidden="false" customHeight="false" outlineLevel="0" collapsed="false">
      <c r="A248" s="12" t="s">
        <v>1791</v>
      </c>
      <c r="B248" s="12" t="s">
        <v>1100</v>
      </c>
      <c r="C248" s="12" t="s">
        <v>361</v>
      </c>
      <c r="D248" s="12" t="s">
        <v>41</v>
      </c>
      <c r="E248" s="12" t="s">
        <v>1239</v>
      </c>
      <c r="F248" s="13" t="n">
        <v>1</v>
      </c>
      <c r="G248" s="12" t="s">
        <v>1274</v>
      </c>
      <c r="H248" s="12" t="n">
        <v>2</v>
      </c>
      <c r="I248" s="12" t="n">
        <v>1</v>
      </c>
      <c r="J248" s="12" t="s">
        <v>1271</v>
      </c>
      <c r="K248" s="12" t="s">
        <v>202</v>
      </c>
      <c r="L248" s="12" t="s">
        <v>202</v>
      </c>
      <c r="M248" s="12" t="s">
        <v>202</v>
      </c>
      <c r="N248" s="12" t="s">
        <v>202</v>
      </c>
      <c r="O248" s="12" t="s">
        <v>202</v>
      </c>
      <c r="P248" s="12" t="s">
        <v>1792</v>
      </c>
    </row>
    <row r="249" customFormat="false" ht="15" hidden="false" customHeight="false" outlineLevel="0" collapsed="false">
      <c r="A249" s="12" t="s">
        <v>1793</v>
      </c>
      <c r="B249" s="12" t="s">
        <v>1100</v>
      </c>
      <c r="C249" s="12" t="s">
        <v>388</v>
      </c>
      <c r="D249" s="12" t="s">
        <v>385</v>
      </c>
      <c r="E249" s="12" t="s">
        <v>1239</v>
      </c>
      <c r="F249" s="13" t="n">
        <v>20</v>
      </c>
      <c r="G249" s="12" t="s">
        <v>1354</v>
      </c>
      <c r="H249" s="12" t="n">
        <v>3</v>
      </c>
      <c r="I249" s="12" t="n">
        <v>1</v>
      </c>
      <c r="J249" s="12" t="s">
        <v>1271</v>
      </c>
      <c r="K249" s="12" t="s">
        <v>202</v>
      </c>
      <c r="L249" s="12" t="s">
        <v>202</v>
      </c>
      <c r="M249" s="12" t="s">
        <v>202</v>
      </c>
      <c r="N249" s="12" t="s">
        <v>202</v>
      </c>
      <c r="O249" s="12" t="s">
        <v>202</v>
      </c>
      <c r="P249" s="12" t="s">
        <v>1646</v>
      </c>
    </row>
    <row r="250" customFormat="false" ht="15" hidden="false" customHeight="false" outlineLevel="0" collapsed="false">
      <c r="A250" s="12" t="s">
        <v>1794</v>
      </c>
      <c r="B250" s="12" t="s">
        <v>1105</v>
      </c>
      <c r="C250" s="12" t="s">
        <v>305</v>
      </c>
      <c r="D250" s="12" t="s">
        <v>41</v>
      </c>
      <c r="E250" s="12" t="s">
        <v>1239</v>
      </c>
      <c r="F250" s="13" t="n">
        <v>2</v>
      </c>
      <c r="G250" s="12" t="s">
        <v>1274</v>
      </c>
      <c r="H250" s="12" t="n">
        <v>2</v>
      </c>
      <c r="I250" s="12" t="n">
        <v>1</v>
      </c>
      <c r="J250" s="12" t="s">
        <v>1271</v>
      </c>
      <c r="K250" s="12" t="s">
        <v>202</v>
      </c>
      <c r="L250" s="12" t="s">
        <v>202</v>
      </c>
      <c r="M250" s="12" t="s">
        <v>202</v>
      </c>
      <c r="N250" s="12" t="s">
        <v>202</v>
      </c>
      <c r="O250" s="12" t="s">
        <v>202</v>
      </c>
      <c r="P250" s="12" t="s">
        <v>1795</v>
      </c>
    </row>
    <row r="251" customFormat="false" ht="15" hidden="false" customHeight="false" outlineLevel="0" collapsed="false">
      <c r="A251" s="12" t="s">
        <v>1796</v>
      </c>
      <c r="B251" s="12" t="s">
        <v>1105</v>
      </c>
      <c r="C251" s="12" t="s">
        <v>315</v>
      </c>
      <c r="D251" s="12" t="s">
        <v>41</v>
      </c>
      <c r="E251" s="12" t="s">
        <v>1239</v>
      </c>
      <c r="F251" s="13" t="n">
        <v>1</v>
      </c>
      <c r="G251" s="12" t="s">
        <v>1274</v>
      </c>
      <c r="H251" s="12" t="n">
        <v>2</v>
      </c>
      <c r="I251" s="12" t="n">
        <v>1</v>
      </c>
      <c r="J251" s="12" t="s">
        <v>1271</v>
      </c>
      <c r="K251" s="12" t="s">
        <v>202</v>
      </c>
      <c r="L251" s="12" t="s">
        <v>202</v>
      </c>
      <c r="M251" s="12" t="s">
        <v>202</v>
      </c>
      <c r="N251" s="12" t="s">
        <v>202</v>
      </c>
      <c r="O251" s="12" t="s">
        <v>202</v>
      </c>
      <c r="P251" s="12" t="s">
        <v>1797</v>
      </c>
    </row>
    <row r="252" customFormat="false" ht="15" hidden="false" customHeight="false" outlineLevel="0" collapsed="false">
      <c r="A252" s="12" t="s">
        <v>1798</v>
      </c>
      <c r="B252" s="12" t="s">
        <v>1105</v>
      </c>
      <c r="C252" s="12" t="s">
        <v>341</v>
      </c>
      <c r="D252" s="12" t="s">
        <v>41</v>
      </c>
      <c r="E252" s="12" t="s">
        <v>1239</v>
      </c>
      <c r="F252" s="13" t="n">
        <v>1</v>
      </c>
      <c r="G252" s="12" t="s">
        <v>1354</v>
      </c>
      <c r="H252" s="12" t="n">
        <v>3</v>
      </c>
      <c r="I252" s="12" t="n">
        <v>1</v>
      </c>
      <c r="J252" s="12" t="s">
        <v>1271</v>
      </c>
      <c r="K252" s="12" t="s">
        <v>202</v>
      </c>
      <c r="L252" s="12" t="s">
        <v>202</v>
      </c>
      <c r="M252" s="12" t="s">
        <v>202</v>
      </c>
      <c r="N252" s="12" t="s">
        <v>202</v>
      </c>
      <c r="O252" s="12" t="s">
        <v>202</v>
      </c>
      <c r="P252" s="12" t="s">
        <v>1799</v>
      </c>
    </row>
    <row r="253" customFormat="false" ht="15" hidden="false" customHeight="false" outlineLevel="0" collapsed="false">
      <c r="A253" s="12" t="s">
        <v>1800</v>
      </c>
      <c r="B253" s="12" t="s">
        <v>1105</v>
      </c>
      <c r="C253" s="12" t="s">
        <v>388</v>
      </c>
      <c r="D253" s="12" t="s">
        <v>385</v>
      </c>
      <c r="E253" s="12" t="s">
        <v>1239</v>
      </c>
      <c r="F253" s="13" t="n">
        <v>20</v>
      </c>
      <c r="G253" s="12" t="s">
        <v>1354</v>
      </c>
      <c r="H253" s="12" t="n">
        <v>3</v>
      </c>
      <c r="I253" s="12" t="n">
        <v>1</v>
      </c>
      <c r="J253" s="12" t="s">
        <v>1271</v>
      </c>
      <c r="K253" s="12" t="s">
        <v>202</v>
      </c>
      <c r="L253" s="12" t="s">
        <v>202</v>
      </c>
      <c r="M253" s="12" t="s">
        <v>202</v>
      </c>
      <c r="N253" s="12" t="s">
        <v>202</v>
      </c>
      <c r="O253" s="12" t="s">
        <v>202</v>
      </c>
      <c r="P253" s="12" t="s">
        <v>1646</v>
      </c>
    </row>
    <row r="254" customFormat="false" ht="15" hidden="false" customHeight="false" outlineLevel="0" collapsed="false">
      <c r="A254" s="12" t="s">
        <v>1801</v>
      </c>
      <c r="B254" s="12" t="s">
        <v>1110</v>
      </c>
      <c r="C254" s="12" t="s">
        <v>305</v>
      </c>
      <c r="D254" s="12" t="s">
        <v>41</v>
      </c>
      <c r="E254" s="12" t="s">
        <v>1239</v>
      </c>
      <c r="F254" s="13" t="n">
        <v>1</v>
      </c>
      <c r="G254" s="12" t="s">
        <v>1240</v>
      </c>
      <c r="H254" s="12" t="n">
        <v>0</v>
      </c>
      <c r="I254" s="12" t="n">
        <v>1</v>
      </c>
      <c r="J254" s="12" t="s">
        <v>1236</v>
      </c>
      <c r="K254" s="12" t="s">
        <v>202</v>
      </c>
      <c r="L254" s="12" t="s">
        <v>202</v>
      </c>
      <c r="M254" s="12" t="s">
        <v>202</v>
      </c>
      <c r="N254" s="12" t="s">
        <v>202</v>
      </c>
      <c r="O254" s="12" t="s">
        <v>202</v>
      </c>
      <c r="P254" s="12" t="s">
        <v>1802</v>
      </c>
    </row>
    <row r="255" customFormat="false" ht="15" hidden="false" customHeight="false" outlineLevel="0" collapsed="false">
      <c r="A255" s="12" t="s">
        <v>1803</v>
      </c>
      <c r="B255" s="12" t="s">
        <v>1110</v>
      </c>
      <c r="C255" s="12" t="s">
        <v>1804</v>
      </c>
      <c r="D255" s="12" t="s">
        <v>1314</v>
      </c>
      <c r="E255" s="12" t="s">
        <v>1315</v>
      </c>
      <c r="F255" s="13" t="n">
        <v>1</v>
      </c>
      <c r="G255" s="12" t="s">
        <v>1280</v>
      </c>
      <c r="H255" s="12" t="n">
        <v>0</v>
      </c>
      <c r="I255" s="12" t="n">
        <v>3</v>
      </c>
      <c r="J255" s="12" t="s">
        <v>1236</v>
      </c>
      <c r="K255" s="12" t="s">
        <v>202</v>
      </c>
      <c r="L255" s="12" t="s">
        <v>202</v>
      </c>
      <c r="M255" s="12" t="s">
        <v>202</v>
      </c>
      <c r="N255" s="12" t="s">
        <v>202</v>
      </c>
      <c r="O255" s="12" t="s">
        <v>202</v>
      </c>
      <c r="P255" s="12" t="s">
        <v>1805</v>
      </c>
    </row>
    <row r="256" customFormat="false" ht="15" hidden="false" customHeight="false" outlineLevel="0" collapsed="false">
      <c r="A256" s="12" t="s">
        <v>1806</v>
      </c>
      <c r="B256" s="12" t="s">
        <v>1110</v>
      </c>
      <c r="C256" s="12" t="s">
        <v>305</v>
      </c>
      <c r="D256" s="12" t="s">
        <v>41</v>
      </c>
      <c r="E256" s="12" t="s">
        <v>1239</v>
      </c>
      <c r="F256" s="13" t="n">
        <v>2</v>
      </c>
      <c r="G256" s="12" t="s">
        <v>1240</v>
      </c>
      <c r="H256" s="12" t="n">
        <v>0</v>
      </c>
      <c r="I256" s="12" t="n">
        <v>1</v>
      </c>
      <c r="J256" s="12" t="s">
        <v>1243</v>
      </c>
      <c r="K256" s="12" t="s">
        <v>1807</v>
      </c>
      <c r="L256" s="12" t="s">
        <v>1245</v>
      </c>
      <c r="M256" s="12" t="s">
        <v>202</v>
      </c>
      <c r="N256" s="12" t="s">
        <v>202</v>
      </c>
      <c r="O256" s="12" t="s">
        <v>202</v>
      </c>
      <c r="P256" s="12" t="s">
        <v>1808</v>
      </c>
    </row>
    <row r="257" customFormat="false" ht="15" hidden="false" customHeight="false" outlineLevel="0" collapsed="false">
      <c r="A257" s="12" t="s">
        <v>1809</v>
      </c>
      <c r="B257" s="12" t="s">
        <v>1115</v>
      </c>
      <c r="C257" s="12" t="s">
        <v>333</v>
      </c>
      <c r="D257" s="12" t="s">
        <v>41</v>
      </c>
      <c r="E257" s="12" t="s">
        <v>1239</v>
      </c>
      <c r="F257" s="13" t="n">
        <v>3</v>
      </c>
      <c r="G257" s="12" t="s">
        <v>1270</v>
      </c>
      <c r="H257" s="12" t="n">
        <v>1</v>
      </c>
      <c r="I257" s="12" t="n">
        <v>1</v>
      </c>
      <c r="J257" s="12" t="s">
        <v>1271</v>
      </c>
      <c r="K257" s="12" t="s">
        <v>202</v>
      </c>
      <c r="L257" s="12" t="s">
        <v>202</v>
      </c>
      <c r="M257" s="12" t="s">
        <v>202</v>
      </c>
      <c r="N257" s="12" t="s">
        <v>202</v>
      </c>
      <c r="O257" s="12" t="s">
        <v>202</v>
      </c>
      <c r="P257" s="12" t="s">
        <v>1810</v>
      </c>
    </row>
    <row r="258" customFormat="false" ht="15" hidden="false" customHeight="false" outlineLevel="0" collapsed="false">
      <c r="A258" s="12" t="s">
        <v>1811</v>
      </c>
      <c r="B258" s="12" t="s">
        <v>1115</v>
      </c>
      <c r="C258" s="12" t="s">
        <v>388</v>
      </c>
      <c r="D258" s="12" t="s">
        <v>385</v>
      </c>
      <c r="E258" s="12" t="s">
        <v>1239</v>
      </c>
      <c r="F258" s="13" t="n">
        <v>40</v>
      </c>
      <c r="G258" s="12" t="s">
        <v>1240</v>
      </c>
      <c r="H258" s="12" t="n">
        <v>0</v>
      </c>
      <c r="I258" s="12" t="n">
        <v>1</v>
      </c>
      <c r="J258" s="12" t="s">
        <v>1236</v>
      </c>
      <c r="K258" s="12" t="s">
        <v>202</v>
      </c>
      <c r="L258" s="12" t="s">
        <v>202</v>
      </c>
      <c r="M258" s="12" t="s">
        <v>202</v>
      </c>
      <c r="N258" s="12" t="s">
        <v>202</v>
      </c>
      <c r="O258" s="12" t="s">
        <v>202</v>
      </c>
      <c r="P258" s="12" t="s">
        <v>1812</v>
      </c>
    </row>
    <row r="259" customFormat="false" ht="15" hidden="false" customHeight="false" outlineLevel="0" collapsed="false">
      <c r="A259" s="12" t="s">
        <v>1813</v>
      </c>
      <c r="B259" s="12" t="s">
        <v>1115</v>
      </c>
      <c r="C259" s="12" t="s">
        <v>351</v>
      </c>
      <c r="D259" s="12" t="s">
        <v>41</v>
      </c>
      <c r="E259" s="12" t="s">
        <v>1239</v>
      </c>
      <c r="F259" s="13" t="n">
        <v>-1</v>
      </c>
      <c r="G259" s="12" t="s">
        <v>1240</v>
      </c>
      <c r="H259" s="12" t="n">
        <v>0</v>
      </c>
      <c r="I259" s="12" t="n">
        <v>1</v>
      </c>
      <c r="J259" s="12" t="s">
        <v>1236</v>
      </c>
      <c r="K259" s="12" t="s">
        <v>202</v>
      </c>
      <c r="L259" s="12" t="s">
        <v>202</v>
      </c>
      <c r="M259" s="12" t="s">
        <v>202</v>
      </c>
      <c r="N259" s="12" t="s">
        <v>202</v>
      </c>
      <c r="O259" s="12" t="s">
        <v>202</v>
      </c>
      <c r="P259" s="12" t="s">
        <v>1814</v>
      </c>
    </row>
    <row r="260" customFormat="false" ht="15" hidden="false" customHeight="false" outlineLevel="0" collapsed="false">
      <c r="A260" s="12" t="s">
        <v>1815</v>
      </c>
      <c r="B260" s="12" t="s">
        <v>1115</v>
      </c>
      <c r="C260" s="12" t="s">
        <v>333</v>
      </c>
      <c r="D260" s="12" t="s">
        <v>41</v>
      </c>
      <c r="E260" s="12" t="s">
        <v>1239</v>
      </c>
      <c r="F260" s="13" t="n">
        <v>1</v>
      </c>
      <c r="G260" s="12" t="s">
        <v>1270</v>
      </c>
      <c r="H260" s="12" t="n">
        <v>1</v>
      </c>
      <c r="I260" s="12" t="n">
        <v>1</v>
      </c>
      <c r="J260" s="12" t="s">
        <v>1243</v>
      </c>
      <c r="K260" s="12" t="s">
        <v>1643</v>
      </c>
      <c r="L260" s="12" t="s">
        <v>1245</v>
      </c>
      <c r="M260" s="12" t="s">
        <v>202</v>
      </c>
      <c r="N260" s="12" t="s">
        <v>202</v>
      </c>
      <c r="O260" s="12" t="s">
        <v>202</v>
      </c>
      <c r="P260" s="12" t="s">
        <v>1816</v>
      </c>
    </row>
    <row r="261" customFormat="false" ht="15" hidden="false" customHeight="false" outlineLevel="0" collapsed="false">
      <c r="A261" s="12" t="s">
        <v>1817</v>
      </c>
      <c r="B261" s="12" t="s">
        <v>1115</v>
      </c>
      <c r="C261" s="12" t="s">
        <v>333</v>
      </c>
      <c r="D261" s="12" t="s">
        <v>41</v>
      </c>
      <c r="E261" s="12" t="s">
        <v>1239</v>
      </c>
      <c r="F261" s="13" t="n">
        <v>-2</v>
      </c>
      <c r="G261" s="12" t="s">
        <v>1270</v>
      </c>
      <c r="H261" s="12" t="n">
        <v>1</v>
      </c>
      <c r="I261" s="12" t="n">
        <v>1</v>
      </c>
      <c r="J261" s="12" t="s">
        <v>1254</v>
      </c>
      <c r="K261" s="12" t="s">
        <v>202</v>
      </c>
      <c r="L261" s="12" t="s">
        <v>1245</v>
      </c>
      <c r="M261" s="12" t="s">
        <v>1818</v>
      </c>
      <c r="N261" s="12" t="n">
        <v>6</v>
      </c>
      <c r="O261" s="12" t="s">
        <v>202</v>
      </c>
      <c r="P261" s="12" t="s">
        <v>1440</v>
      </c>
    </row>
    <row r="262" customFormat="false" ht="15" hidden="false" customHeight="false" outlineLevel="0" collapsed="false">
      <c r="A262" s="12" t="s">
        <v>1819</v>
      </c>
      <c r="B262" s="12" t="s">
        <v>1121</v>
      </c>
      <c r="C262" s="12" t="s">
        <v>333</v>
      </c>
      <c r="D262" s="12" t="s">
        <v>41</v>
      </c>
      <c r="E262" s="12" t="s">
        <v>1239</v>
      </c>
      <c r="F262" s="13" t="n">
        <v>1</v>
      </c>
      <c r="G262" s="12" t="s">
        <v>1270</v>
      </c>
      <c r="H262" s="12" t="n">
        <v>1</v>
      </c>
      <c r="I262" s="12" t="n">
        <v>1</v>
      </c>
      <c r="J262" s="12" t="s">
        <v>1271</v>
      </c>
      <c r="K262" s="12" t="s">
        <v>202</v>
      </c>
      <c r="L262" s="12" t="s">
        <v>202</v>
      </c>
      <c r="M262" s="12" t="s">
        <v>202</v>
      </c>
      <c r="N262" s="12" t="s">
        <v>202</v>
      </c>
      <c r="O262" s="12" t="s">
        <v>202</v>
      </c>
      <c r="P262" s="12" t="s">
        <v>1707</v>
      </c>
    </row>
    <row r="263" customFormat="false" ht="15" hidden="false" customHeight="false" outlineLevel="0" collapsed="false">
      <c r="A263" s="12" t="s">
        <v>1820</v>
      </c>
      <c r="B263" s="12" t="s">
        <v>1121</v>
      </c>
      <c r="C263" s="12" t="s">
        <v>333</v>
      </c>
      <c r="D263" s="12" t="s">
        <v>41</v>
      </c>
      <c r="E263" s="12" t="s">
        <v>1239</v>
      </c>
      <c r="F263" s="13" t="n">
        <v>1</v>
      </c>
      <c r="G263" s="12" t="s">
        <v>1698</v>
      </c>
      <c r="H263" s="12" t="n">
        <v>2</v>
      </c>
      <c r="I263" s="12" t="n">
        <v>3</v>
      </c>
      <c r="J263" s="12" t="s">
        <v>1325</v>
      </c>
      <c r="K263" s="12" t="s">
        <v>202</v>
      </c>
      <c r="L263" s="12" t="s">
        <v>202</v>
      </c>
      <c r="M263" s="12" t="s">
        <v>202</v>
      </c>
      <c r="N263" s="12" t="s">
        <v>202</v>
      </c>
      <c r="O263" s="12" t="s">
        <v>202</v>
      </c>
      <c r="P263" s="12" t="s">
        <v>1821</v>
      </c>
    </row>
    <row r="264" customFormat="false" ht="15" hidden="false" customHeight="false" outlineLevel="0" collapsed="false">
      <c r="A264" s="12" t="s">
        <v>1822</v>
      </c>
      <c r="B264" s="12" t="s">
        <v>1121</v>
      </c>
      <c r="C264" s="12" t="s">
        <v>351</v>
      </c>
      <c r="D264" s="12" t="s">
        <v>41</v>
      </c>
      <c r="E264" s="12" t="s">
        <v>1239</v>
      </c>
      <c r="F264" s="13" t="n">
        <v>1</v>
      </c>
      <c r="G264" s="12" t="s">
        <v>1240</v>
      </c>
      <c r="H264" s="12" t="n">
        <v>0</v>
      </c>
      <c r="I264" s="12" t="n">
        <v>1</v>
      </c>
      <c r="J264" s="12" t="s">
        <v>1236</v>
      </c>
      <c r="K264" s="12" t="s">
        <v>202</v>
      </c>
      <c r="L264" s="12" t="s">
        <v>202</v>
      </c>
      <c r="M264" s="12" t="s">
        <v>202</v>
      </c>
      <c r="N264" s="12" t="s">
        <v>202</v>
      </c>
      <c r="O264" s="12" t="s">
        <v>202</v>
      </c>
      <c r="P264" s="12" t="s">
        <v>1823</v>
      </c>
    </row>
    <row r="265" customFormat="false" ht="15" hidden="false" customHeight="false" outlineLevel="0" collapsed="false">
      <c r="A265" s="12" t="s">
        <v>1824</v>
      </c>
      <c r="B265" s="12" t="s">
        <v>1121</v>
      </c>
      <c r="C265" s="12" t="s">
        <v>370</v>
      </c>
      <c r="D265" s="12" t="s">
        <v>41</v>
      </c>
      <c r="E265" s="12" t="s">
        <v>1239</v>
      </c>
      <c r="F265" s="13" t="n">
        <v>-1</v>
      </c>
      <c r="G265" s="12" t="s">
        <v>1270</v>
      </c>
      <c r="H265" s="12" t="n">
        <v>1</v>
      </c>
      <c r="I265" s="12" t="n">
        <v>1</v>
      </c>
      <c r="J265" s="12" t="s">
        <v>1271</v>
      </c>
      <c r="K265" s="12" t="s">
        <v>202</v>
      </c>
      <c r="L265" s="12" t="s">
        <v>202</v>
      </c>
      <c r="M265" s="12" t="s">
        <v>202</v>
      </c>
      <c r="N265" s="12" t="s">
        <v>202</v>
      </c>
      <c r="O265" s="12" t="s">
        <v>202</v>
      </c>
      <c r="P265" s="12" t="s">
        <v>1825</v>
      </c>
    </row>
    <row r="266" customFormat="false" ht="15" hidden="false" customHeight="false" outlineLevel="0" collapsed="false">
      <c r="A266" s="12" t="s">
        <v>1826</v>
      </c>
      <c r="B266" s="12" t="s">
        <v>1126</v>
      </c>
      <c r="C266" s="12" t="s">
        <v>333</v>
      </c>
      <c r="D266" s="12" t="s">
        <v>41</v>
      </c>
      <c r="E266" s="12" t="s">
        <v>1234</v>
      </c>
      <c r="F266" s="13" t="n">
        <v>-2</v>
      </c>
      <c r="G266" s="12" t="s">
        <v>1235</v>
      </c>
      <c r="H266" s="12" t="n">
        <v>0</v>
      </c>
      <c r="I266" s="12" t="n">
        <v>2</v>
      </c>
      <c r="J266" s="12" t="s">
        <v>1236</v>
      </c>
      <c r="K266" s="12" t="s">
        <v>202</v>
      </c>
      <c r="L266" s="12" t="s">
        <v>202</v>
      </c>
      <c r="M266" s="12" t="s">
        <v>202</v>
      </c>
      <c r="N266" s="12" t="s">
        <v>202</v>
      </c>
      <c r="O266" s="12" t="s">
        <v>202</v>
      </c>
      <c r="P266" s="12" t="s">
        <v>1827</v>
      </c>
    </row>
    <row r="267" customFormat="false" ht="15" hidden="false" customHeight="false" outlineLevel="0" collapsed="false">
      <c r="A267" s="12" t="s">
        <v>1828</v>
      </c>
      <c r="B267" s="12" t="s">
        <v>1126</v>
      </c>
      <c r="C267" s="12" t="s">
        <v>333</v>
      </c>
      <c r="D267" s="12" t="s">
        <v>41</v>
      </c>
      <c r="E267" s="12" t="s">
        <v>1239</v>
      </c>
      <c r="F267" s="13" t="n">
        <v>3</v>
      </c>
      <c r="G267" s="12" t="s">
        <v>1698</v>
      </c>
      <c r="H267" s="12" t="n">
        <v>2</v>
      </c>
      <c r="I267" s="12" t="n">
        <v>3</v>
      </c>
      <c r="J267" s="12" t="s">
        <v>1325</v>
      </c>
      <c r="K267" s="12" t="s">
        <v>202</v>
      </c>
      <c r="L267" s="12" t="s">
        <v>202</v>
      </c>
      <c r="M267" s="12" t="s">
        <v>202</v>
      </c>
      <c r="N267" s="12" t="s">
        <v>202</v>
      </c>
      <c r="O267" s="12" t="s">
        <v>202</v>
      </c>
      <c r="P267" s="12" t="s">
        <v>1829</v>
      </c>
    </row>
    <row r="268" customFormat="false" ht="15" hidden="false" customHeight="false" outlineLevel="0" collapsed="false">
      <c r="A268" s="12" t="s">
        <v>1830</v>
      </c>
      <c r="B268" s="12" t="s">
        <v>1126</v>
      </c>
      <c r="C268" s="12" t="s">
        <v>333</v>
      </c>
      <c r="D268" s="12" t="s">
        <v>41</v>
      </c>
      <c r="E268" s="12" t="s">
        <v>1239</v>
      </c>
      <c r="F268" s="13" t="n">
        <v>-1</v>
      </c>
      <c r="G268" s="12" t="s">
        <v>1698</v>
      </c>
      <c r="H268" s="12" t="n">
        <v>2</v>
      </c>
      <c r="I268" s="12" t="n">
        <v>3</v>
      </c>
      <c r="J268" s="12" t="s">
        <v>1243</v>
      </c>
      <c r="K268" s="12" t="s">
        <v>1517</v>
      </c>
      <c r="L268" s="12" t="s">
        <v>1245</v>
      </c>
      <c r="M268" s="12" t="s">
        <v>202</v>
      </c>
      <c r="N268" s="12" t="s">
        <v>202</v>
      </c>
      <c r="O268" s="12" t="s">
        <v>202</v>
      </c>
      <c r="P268" s="12" t="s">
        <v>1831</v>
      </c>
    </row>
    <row r="269" customFormat="false" ht="15" hidden="false" customHeight="false" outlineLevel="0" collapsed="false">
      <c r="A269" s="12" t="s">
        <v>1832</v>
      </c>
      <c r="B269" s="12" t="s">
        <v>1132</v>
      </c>
      <c r="C269" s="12" t="s">
        <v>370</v>
      </c>
      <c r="D269" s="12" t="s">
        <v>41</v>
      </c>
      <c r="E269" s="12" t="s">
        <v>1234</v>
      </c>
      <c r="F269" s="13" t="n">
        <v>-6</v>
      </c>
      <c r="G269" s="12" t="s">
        <v>1235</v>
      </c>
      <c r="H269" s="12" t="n">
        <v>0</v>
      </c>
      <c r="I269" s="12" t="n">
        <v>2</v>
      </c>
      <c r="J269" s="12" t="s">
        <v>1236</v>
      </c>
      <c r="K269" s="12" t="s">
        <v>202</v>
      </c>
      <c r="L269" s="12" t="s">
        <v>202</v>
      </c>
      <c r="M269" s="12" t="s">
        <v>202</v>
      </c>
      <c r="N269" s="12" t="s">
        <v>202</v>
      </c>
      <c r="O269" s="12" t="s">
        <v>202</v>
      </c>
      <c r="P269" s="12" t="s">
        <v>1833</v>
      </c>
    </row>
    <row r="270" customFormat="false" ht="15" hidden="false" customHeight="false" outlineLevel="0" collapsed="false">
      <c r="A270" s="12" t="s">
        <v>1834</v>
      </c>
      <c r="B270" s="12" t="s">
        <v>1132</v>
      </c>
      <c r="C270" s="12" t="s">
        <v>333</v>
      </c>
      <c r="D270" s="12" t="s">
        <v>41</v>
      </c>
      <c r="E270" s="12" t="s">
        <v>1234</v>
      </c>
      <c r="F270" s="13" t="n">
        <v>2</v>
      </c>
      <c r="G270" s="12" t="s">
        <v>1235</v>
      </c>
      <c r="H270" s="12" t="n">
        <v>0</v>
      </c>
      <c r="I270" s="12" t="n">
        <v>2</v>
      </c>
      <c r="J270" s="12" t="s">
        <v>1236</v>
      </c>
      <c r="K270" s="12" t="s">
        <v>202</v>
      </c>
      <c r="L270" s="12" t="s">
        <v>202</v>
      </c>
      <c r="M270" s="12" t="s">
        <v>202</v>
      </c>
      <c r="N270" s="12" t="s">
        <v>202</v>
      </c>
      <c r="O270" s="12" t="s">
        <v>202</v>
      </c>
      <c r="P270" s="12" t="s">
        <v>1835</v>
      </c>
    </row>
    <row r="271" customFormat="false" ht="15" hidden="false" customHeight="false" outlineLevel="0" collapsed="false">
      <c r="A271" s="12" t="s">
        <v>1836</v>
      </c>
      <c r="B271" s="12" t="s">
        <v>1132</v>
      </c>
      <c r="C271" s="12" t="s">
        <v>351</v>
      </c>
      <c r="D271" s="12" t="s">
        <v>41</v>
      </c>
      <c r="E271" s="12" t="s">
        <v>1239</v>
      </c>
      <c r="F271" s="13" t="n">
        <v>-3</v>
      </c>
      <c r="G271" s="12" t="s">
        <v>1240</v>
      </c>
      <c r="H271" s="12" t="n">
        <v>0</v>
      </c>
      <c r="I271" s="12" t="n">
        <v>1</v>
      </c>
      <c r="J271" s="12" t="s">
        <v>1236</v>
      </c>
      <c r="K271" s="12" t="s">
        <v>202</v>
      </c>
      <c r="L271" s="12" t="s">
        <v>202</v>
      </c>
      <c r="M271" s="12" t="s">
        <v>202</v>
      </c>
      <c r="N271" s="12" t="s">
        <v>202</v>
      </c>
      <c r="O271" s="12" t="s">
        <v>202</v>
      </c>
      <c r="P271" s="12" t="s">
        <v>1837</v>
      </c>
    </row>
    <row r="272" customFormat="false" ht="15" hidden="false" customHeight="false" outlineLevel="0" collapsed="false">
      <c r="A272" s="12" t="s">
        <v>1838</v>
      </c>
      <c r="B272" s="12" t="s">
        <v>1132</v>
      </c>
      <c r="C272" s="12" t="s">
        <v>351</v>
      </c>
      <c r="D272" s="12" t="s">
        <v>41</v>
      </c>
      <c r="E272" s="12" t="s">
        <v>1239</v>
      </c>
      <c r="F272" s="13" t="n">
        <v>-2</v>
      </c>
      <c r="G272" s="12" t="s">
        <v>1240</v>
      </c>
      <c r="H272" s="12" t="n">
        <v>0</v>
      </c>
      <c r="I272" s="12" t="n">
        <v>1</v>
      </c>
      <c r="J272" s="12" t="s">
        <v>1243</v>
      </c>
      <c r="K272" s="12" t="s">
        <v>1839</v>
      </c>
      <c r="L272" s="12" t="s">
        <v>1245</v>
      </c>
      <c r="M272" s="12" t="s">
        <v>202</v>
      </c>
      <c r="N272" s="12" t="s">
        <v>202</v>
      </c>
      <c r="O272" s="12" t="s">
        <v>202</v>
      </c>
      <c r="P272" s="12" t="s">
        <v>1840</v>
      </c>
    </row>
    <row r="273" customFormat="false" ht="15" hidden="false" customHeight="false" outlineLevel="0" collapsed="false">
      <c r="A273" s="12" t="s">
        <v>1841</v>
      </c>
      <c r="B273" s="12" t="s">
        <v>1132</v>
      </c>
      <c r="C273" s="12" t="s">
        <v>370</v>
      </c>
      <c r="D273" s="12" t="s">
        <v>41</v>
      </c>
      <c r="E273" s="12" t="s">
        <v>1239</v>
      </c>
      <c r="F273" s="13" t="n">
        <v>6</v>
      </c>
      <c r="G273" s="12" t="s">
        <v>1270</v>
      </c>
      <c r="H273" s="12" t="n">
        <v>1</v>
      </c>
      <c r="I273" s="12" t="n">
        <v>1</v>
      </c>
      <c r="J273" s="12" t="s">
        <v>1254</v>
      </c>
      <c r="K273" s="12" t="s">
        <v>202</v>
      </c>
      <c r="L273" s="12" t="s">
        <v>1245</v>
      </c>
      <c r="M273" s="12" t="s">
        <v>1842</v>
      </c>
      <c r="N273" s="12" t="n">
        <v>6</v>
      </c>
      <c r="O273" s="12" t="s">
        <v>202</v>
      </c>
      <c r="P273" s="12" t="s">
        <v>1843</v>
      </c>
    </row>
    <row r="274" customFormat="false" ht="15" hidden="false" customHeight="false" outlineLevel="0" collapsed="false">
      <c r="A274" s="12" t="s">
        <v>1844</v>
      </c>
      <c r="B274" s="12" t="s">
        <v>1132</v>
      </c>
      <c r="C274" s="12" t="s">
        <v>351</v>
      </c>
      <c r="D274" s="12" t="s">
        <v>41</v>
      </c>
      <c r="E274" s="12" t="s">
        <v>1239</v>
      </c>
      <c r="F274" s="13" t="n">
        <v>-2</v>
      </c>
      <c r="G274" s="12" t="s">
        <v>1240</v>
      </c>
      <c r="H274" s="12" t="n">
        <v>0</v>
      </c>
      <c r="I274" s="12" t="n">
        <v>1</v>
      </c>
      <c r="J274" s="12" t="s">
        <v>1254</v>
      </c>
      <c r="K274" s="12" t="s">
        <v>202</v>
      </c>
      <c r="L274" s="12" t="s">
        <v>1245</v>
      </c>
      <c r="M274" s="12" t="s">
        <v>1842</v>
      </c>
      <c r="N274" s="12" t="n">
        <v>6</v>
      </c>
      <c r="O274" s="12" t="s">
        <v>202</v>
      </c>
      <c r="P274" s="12" t="s">
        <v>1845</v>
      </c>
    </row>
    <row r="275" customFormat="false" ht="15" hidden="false" customHeight="false" outlineLevel="0" collapsed="false">
      <c r="A275" s="12" t="s">
        <v>1846</v>
      </c>
      <c r="B275" s="12" t="s">
        <v>1138</v>
      </c>
      <c r="C275" s="12" t="s">
        <v>351</v>
      </c>
      <c r="D275" s="12" t="s">
        <v>41</v>
      </c>
      <c r="E275" s="12" t="s">
        <v>1239</v>
      </c>
      <c r="F275" s="13" t="n">
        <v>3</v>
      </c>
      <c r="G275" s="12" t="s">
        <v>1270</v>
      </c>
      <c r="H275" s="12" t="n">
        <v>1</v>
      </c>
      <c r="I275" s="12" t="n">
        <v>1</v>
      </c>
      <c r="J275" s="12" t="s">
        <v>1271</v>
      </c>
      <c r="K275" s="12" t="s">
        <v>202</v>
      </c>
      <c r="L275" s="12" t="s">
        <v>202</v>
      </c>
      <c r="M275" s="12" t="s">
        <v>202</v>
      </c>
      <c r="N275" s="12" t="s">
        <v>202</v>
      </c>
      <c r="O275" s="12" t="s">
        <v>202</v>
      </c>
      <c r="P275" s="12" t="s">
        <v>1847</v>
      </c>
    </row>
    <row r="276" customFormat="false" ht="15" hidden="false" customHeight="false" outlineLevel="0" collapsed="false">
      <c r="A276" s="12" t="s">
        <v>1848</v>
      </c>
      <c r="B276" s="12" t="s">
        <v>1138</v>
      </c>
      <c r="C276" s="12" t="s">
        <v>351</v>
      </c>
      <c r="D276" s="12" t="s">
        <v>41</v>
      </c>
      <c r="E276" s="12" t="s">
        <v>1239</v>
      </c>
      <c r="F276" s="13" t="n">
        <v>1</v>
      </c>
      <c r="G276" s="12" t="s">
        <v>1698</v>
      </c>
      <c r="H276" s="12" t="n">
        <v>2</v>
      </c>
      <c r="I276" s="12" t="n">
        <v>3</v>
      </c>
      <c r="J276" s="12" t="s">
        <v>1325</v>
      </c>
      <c r="K276" s="12" t="s">
        <v>202</v>
      </c>
      <c r="L276" s="12" t="s">
        <v>202</v>
      </c>
      <c r="M276" s="12" t="s">
        <v>202</v>
      </c>
      <c r="N276" s="12" t="s">
        <v>202</v>
      </c>
      <c r="O276" s="12" t="s">
        <v>202</v>
      </c>
      <c r="P276" s="12" t="s">
        <v>1709</v>
      </c>
    </row>
    <row r="277" customFormat="false" ht="15" hidden="false" customHeight="false" outlineLevel="0" collapsed="false">
      <c r="A277" s="12" t="s">
        <v>1849</v>
      </c>
      <c r="B277" s="12" t="s">
        <v>1138</v>
      </c>
      <c r="C277" s="12" t="s">
        <v>333</v>
      </c>
      <c r="D277" s="12" t="s">
        <v>41</v>
      </c>
      <c r="E277" s="12" t="s">
        <v>1239</v>
      </c>
      <c r="F277" s="13" t="n">
        <v>1</v>
      </c>
      <c r="G277" s="12" t="s">
        <v>1354</v>
      </c>
      <c r="H277" s="12" t="n">
        <v>3</v>
      </c>
      <c r="I277" s="12" t="n">
        <v>1</v>
      </c>
      <c r="J277" s="12" t="s">
        <v>1271</v>
      </c>
      <c r="K277" s="12" t="s">
        <v>202</v>
      </c>
      <c r="L277" s="12" t="s">
        <v>202</v>
      </c>
      <c r="M277" s="12" t="s">
        <v>202</v>
      </c>
      <c r="N277" s="12" t="s">
        <v>202</v>
      </c>
      <c r="O277" s="12" t="s">
        <v>202</v>
      </c>
      <c r="P277" s="12" t="s">
        <v>1850</v>
      </c>
    </row>
    <row r="278" customFormat="false" ht="15" hidden="false" customHeight="false" outlineLevel="0" collapsed="false">
      <c r="A278" s="12" t="s">
        <v>1851</v>
      </c>
      <c r="B278" s="12" t="s">
        <v>1142</v>
      </c>
      <c r="C278" s="12" t="s">
        <v>351</v>
      </c>
      <c r="D278" s="12" t="s">
        <v>41</v>
      </c>
      <c r="E278" s="12" t="s">
        <v>1239</v>
      </c>
      <c r="F278" s="13" t="n">
        <v>3</v>
      </c>
      <c r="G278" s="12" t="s">
        <v>1240</v>
      </c>
      <c r="H278" s="12" t="n">
        <v>0</v>
      </c>
      <c r="I278" s="12" t="n">
        <v>1</v>
      </c>
      <c r="J278" s="12" t="s">
        <v>1236</v>
      </c>
      <c r="K278" s="12" t="s">
        <v>202</v>
      </c>
      <c r="L278" s="12" t="s">
        <v>202</v>
      </c>
      <c r="M278" s="12" t="s">
        <v>202</v>
      </c>
      <c r="N278" s="12" t="s">
        <v>202</v>
      </c>
      <c r="O278" s="12" t="s">
        <v>202</v>
      </c>
      <c r="P278" s="12" t="s">
        <v>1852</v>
      </c>
    </row>
    <row r="279" customFormat="false" ht="15" hidden="false" customHeight="false" outlineLevel="0" collapsed="false">
      <c r="A279" s="12" t="s">
        <v>1853</v>
      </c>
      <c r="B279" s="12" t="s">
        <v>1142</v>
      </c>
      <c r="C279" s="12" t="s">
        <v>267</v>
      </c>
      <c r="D279" s="12" t="s">
        <v>41</v>
      </c>
      <c r="E279" s="12" t="s">
        <v>1239</v>
      </c>
      <c r="F279" s="13" t="n">
        <v>1</v>
      </c>
      <c r="G279" s="12" t="s">
        <v>1274</v>
      </c>
      <c r="H279" s="12" t="n">
        <v>2</v>
      </c>
      <c r="I279" s="12" t="n">
        <v>1</v>
      </c>
      <c r="J279" s="12" t="s">
        <v>1271</v>
      </c>
      <c r="K279" s="12" t="s">
        <v>202</v>
      </c>
      <c r="L279" s="12" t="s">
        <v>202</v>
      </c>
      <c r="M279" s="12" t="s">
        <v>202</v>
      </c>
      <c r="N279" s="12" t="s">
        <v>202</v>
      </c>
      <c r="O279" s="12" t="s">
        <v>202</v>
      </c>
      <c r="P279" s="12" t="s">
        <v>1854</v>
      </c>
    </row>
    <row r="280" customFormat="false" ht="15" hidden="false" customHeight="false" outlineLevel="0" collapsed="false">
      <c r="A280" s="12" t="s">
        <v>1855</v>
      </c>
      <c r="B280" s="12" t="s">
        <v>1142</v>
      </c>
      <c r="C280" s="12" t="s">
        <v>1856</v>
      </c>
      <c r="D280" s="12" t="s">
        <v>50</v>
      </c>
      <c r="E280" s="12" t="s">
        <v>1239</v>
      </c>
      <c r="F280" s="13" t="n">
        <v>-5</v>
      </c>
      <c r="G280" s="12" t="s">
        <v>1240</v>
      </c>
      <c r="H280" s="12" t="n">
        <v>0</v>
      </c>
      <c r="I280" s="12" t="n">
        <v>1</v>
      </c>
      <c r="J280" s="12" t="s">
        <v>1236</v>
      </c>
      <c r="K280" s="12" t="s">
        <v>202</v>
      </c>
      <c r="L280" s="12" t="s">
        <v>202</v>
      </c>
      <c r="M280" s="12" t="s">
        <v>202</v>
      </c>
      <c r="N280" s="12" t="s">
        <v>202</v>
      </c>
      <c r="O280" s="12" t="s">
        <v>202</v>
      </c>
      <c r="P280" s="12" t="s">
        <v>1857</v>
      </c>
    </row>
    <row r="281" customFormat="false" ht="15" hidden="false" customHeight="false" outlineLevel="0" collapsed="false">
      <c r="A281" s="12" t="s">
        <v>1858</v>
      </c>
      <c r="B281" s="12" t="s">
        <v>1148</v>
      </c>
      <c r="C281" s="12" t="s">
        <v>361</v>
      </c>
      <c r="D281" s="12" t="s">
        <v>41</v>
      </c>
      <c r="E281" s="12" t="s">
        <v>1239</v>
      </c>
      <c r="F281" s="13" t="n">
        <v>3</v>
      </c>
      <c r="G281" s="12" t="s">
        <v>1240</v>
      </c>
      <c r="H281" s="12" t="n">
        <v>0</v>
      </c>
      <c r="I281" s="12" t="n">
        <v>1</v>
      </c>
      <c r="J281" s="12" t="s">
        <v>1236</v>
      </c>
      <c r="K281" s="12" t="s">
        <v>202</v>
      </c>
      <c r="L281" s="12" t="s">
        <v>202</v>
      </c>
      <c r="M281" s="12" t="s">
        <v>202</v>
      </c>
      <c r="N281" s="12" t="s">
        <v>202</v>
      </c>
      <c r="O281" s="12" t="s">
        <v>202</v>
      </c>
      <c r="P281" s="12" t="s">
        <v>1859</v>
      </c>
    </row>
    <row r="282" customFormat="false" ht="15" hidden="false" customHeight="false" outlineLevel="0" collapsed="false">
      <c r="A282" s="12" t="s">
        <v>1860</v>
      </c>
      <c r="B282" s="12" t="s">
        <v>1148</v>
      </c>
      <c r="C282" s="12" t="s">
        <v>361</v>
      </c>
      <c r="D282" s="12" t="s">
        <v>41</v>
      </c>
      <c r="E282" s="12" t="s">
        <v>1239</v>
      </c>
      <c r="F282" s="13" t="n">
        <v>1</v>
      </c>
      <c r="G282" s="12" t="s">
        <v>1253</v>
      </c>
      <c r="H282" s="12" t="n">
        <v>1</v>
      </c>
      <c r="I282" s="12" t="n">
        <v>3</v>
      </c>
      <c r="J282" s="12" t="s">
        <v>1325</v>
      </c>
      <c r="K282" s="12" t="s">
        <v>202</v>
      </c>
      <c r="L282" s="12" t="s">
        <v>202</v>
      </c>
      <c r="M282" s="12" t="s">
        <v>202</v>
      </c>
      <c r="N282" s="12" t="s">
        <v>202</v>
      </c>
      <c r="O282" s="12" t="s">
        <v>202</v>
      </c>
      <c r="P282" s="12" t="s">
        <v>1709</v>
      </c>
    </row>
    <row r="283" customFormat="false" ht="15" hidden="false" customHeight="false" outlineLevel="0" collapsed="false">
      <c r="A283" s="12" t="s">
        <v>1861</v>
      </c>
      <c r="B283" s="12" t="s">
        <v>1148</v>
      </c>
      <c r="C283" s="12" t="s">
        <v>1862</v>
      </c>
      <c r="D283" s="12" t="s">
        <v>1314</v>
      </c>
      <c r="E283" s="12" t="s">
        <v>1315</v>
      </c>
      <c r="F283" s="13" t="n">
        <v>1</v>
      </c>
      <c r="G283" s="12" t="s">
        <v>1316</v>
      </c>
      <c r="H283" s="12" t="n">
        <v>0</v>
      </c>
      <c r="I283" s="12" t="s">
        <v>1317</v>
      </c>
      <c r="J283" s="12" t="s">
        <v>1236</v>
      </c>
      <c r="K283" s="12" t="s">
        <v>202</v>
      </c>
      <c r="L283" s="12" t="s">
        <v>202</v>
      </c>
      <c r="M283" s="12" t="s">
        <v>202</v>
      </c>
      <c r="N283" s="12" t="s">
        <v>202</v>
      </c>
      <c r="O283" s="12" t="s">
        <v>202</v>
      </c>
      <c r="P283" s="12" t="s">
        <v>1863</v>
      </c>
    </row>
    <row r="284" customFormat="false" ht="15" hidden="false" customHeight="false" outlineLevel="0" collapsed="false">
      <c r="A284" s="12" t="s">
        <v>1864</v>
      </c>
      <c r="B284" s="12" t="s">
        <v>1148</v>
      </c>
      <c r="C284" s="12" t="s">
        <v>248</v>
      </c>
      <c r="D284" s="12" t="s">
        <v>41</v>
      </c>
      <c r="E284" s="12" t="s">
        <v>1239</v>
      </c>
      <c r="F284" s="13" t="n">
        <v>-1</v>
      </c>
      <c r="G284" s="12" t="s">
        <v>1270</v>
      </c>
      <c r="H284" s="12" t="n">
        <v>1</v>
      </c>
      <c r="I284" s="12" t="n">
        <v>1</v>
      </c>
      <c r="J284" s="12" t="s">
        <v>1271</v>
      </c>
      <c r="K284" s="12" t="s">
        <v>202</v>
      </c>
      <c r="L284" s="12" t="s">
        <v>202</v>
      </c>
      <c r="M284" s="12" t="s">
        <v>202</v>
      </c>
      <c r="N284" s="12" t="s">
        <v>202</v>
      </c>
      <c r="O284" s="12" t="s">
        <v>202</v>
      </c>
      <c r="P284" s="12" t="s">
        <v>1865</v>
      </c>
    </row>
    <row r="285" customFormat="false" ht="15" hidden="false" customHeight="false" outlineLevel="0" collapsed="false">
      <c r="A285" s="12" t="s">
        <v>1866</v>
      </c>
      <c r="B285" s="12" t="s">
        <v>1148</v>
      </c>
      <c r="C285" s="12" t="s">
        <v>296</v>
      </c>
      <c r="D285" s="12" t="s">
        <v>41</v>
      </c>
      <c r="E285" s="12" t="s">
        <v>1239</v>
      </c>
      <c r="F285" s="13" t="n">
        <v>-1</v>
      </c>
      <c r="G285" s="12" t="s">
        <v>1274</v>
      </c>
      <c r="H285" s="12" t="n">
        <v>2</v>
      </c>
      <c r="I285" s="12" t="n">
        <v>1</v>
      </c>
      <c r="J285" s="12" t="s">
        <v>1271</v>
      </c>
      <c r="K285" s="12" t="s">
        <v>202</v>
      </c>
      <c r="L285" s="12" t="s">
        <v>202</v>
      </c>
      <c r="M285" s="12" t="s">
        <v>202</v>
      </c>
      <c r="N285" s="12" t="s">
        <v>202</v>
      </c>
      <c r="O285" s="12" t="s">
        <v>202</v>
      </c>
      <c r="P285" s="12" t="s">
        <v>1867</v>
      </c>
    </row>
    <row r="286" customFormat="false" ht="15" hidden="false" customHeight="false" outlineLevel="0" collapsed="false">
      <c r="A286" s="12" t="s">
        <v>1868</v>
      </c>
      <c r="B286" s="12" t="s">
        <v>1148</v>
      </c>
      <c r="C286" s="12" t="s">
        <v>351</v>
      </c>
      <c r="D286" s="12" t="s">
        <v>41</v>
      </c>
      <c r="E286" s="12" t="s">
        <v>1239</v>
      </c>
      <c r="F286" s="13" t="n">
        <v>1</v>
      </c>
      <c r="G286" s="12" t="s">
        <v>1240</v>
      </c>
      <c r="H286" s="12" t="n">
        <v>0</v>
      </c>
      <c r="I286" s="12" t="n">
        <v>1</v>
      </c>
      <c r="J286" s="12" t="s">
        <v>1236</v>
      </c>
      <c r="K286" s="12" t="s">
        <v>202</v>
      </c>
      <c r="L286" s="12" t="s">
        <v>202</v>
      </c>
      <c r="M286" s="12" t="s">
        <v>202</v>
      </c>
      <c r="N286" s="12" t="s">
        <v>202</v>
      </c>
      <c r="O286" s="12" t="s">
        <v>202</v>
      </c>
      <c r="P286" s="12" t="s">
        <v>1869</v>
      </c>
    </row>
    <row r="287" customFormat="false" ht="15" hidden="false" customHeight="false" outlineLevel="0" collapsed="false">
      <c r="A287" s="12" t="s">
        <v>1870</v>
      </c>
      <c r="B287" s="12" t="s">
        <v>1154</v>
      </c>
      <c r="C287" s="12" t="s">
        <v>351</v>
      </c>
      <c r="D287" s="12" t="s">
        <v>41</v>
      </c>
      <c r="E287" s="12" t="s">
        <v>1239</v>
      </c>
      <c r="F287" s="13" t="n">
        <v>-3</v>
      </c>
      <c r="G287" s="12" t="s">
        <v>1240</v>
      </c>
      <c r="H287" s="12" t="n">
        <v>0</v>
      </c>
      <c r="I287" s="12" t="n">
        <v>1</v>
      </c>
      <c r="J287" s="12" t="s">
        <v>1236</v>
      </c>
      <c r="K287" s="12" t="s">
        <v>202</v>
      </c>
      <c r="L287" s="12" t="s">
        <v>202</v>
      </c>
      <c r="M287" s="12" t="s">
        <v>202</v>
      </c>
      <c r="N287" s="12" t="s">
        <v>202</v>
      </c>
      <c r="O287" s="12" t="s">
        <v>202</v>
      </c>
      <c r="P287" s="12" t="s">
        <v>1871</v>
      </c>
    </row>
    <row r="288" customFormat="false" ht="15" hidden="false" customHeight="false" outlineLevel="0" collapsed="false">
      <c r="A288" s="12" t="s">
        <v>1872</v>
      </c>
      <c r="B288" s="12" t="s">
        <v>1154</v>
      </c>
      <c r="C288" s="12" t="s">
        <v>1873</v>
      </c>
      <c r="D288" s="12" t="s">
        <v>50</v>
      </c>
      <c r="E288" s="12" t="s">
        <v>1239</v>
      </c>
      <c r="F288" s="13" t="n">
        <v>-8</v>
      </c>
      <c r="G288" s="12" t="s">
        <v>1240</v>
      </c>
      <c r="H288" s="12" t="n">
        <v>0</v>
      </c>
      <c r="I288" s="12" t="n">
        <v>1</v>
      </c>
      <c r="J288" s="12" t="s">
        <v>1236</v>
      </c>
      <c r="K288" s="12" t="s">
        <v>202</v>
      </c>
      <c r="L288" s="12" t="s">
        <v>202</v>
      </c>
      <c r="M288" s="12" t="s">
        <v>202</v>
      </c>
      <c r="N288" s="12" t="s">
        <v>202</v>
      </c>
      <c r="O288" s="12" t="s">
        <v>202</v>
      </c>
      <c r="P288" s="12" t="s">
        <v>1874</v>
      </c>
    </row>
    <row r="289" customFormat="false" ht="15" hidden="false" customHeight="false" outlineLevel="0" collapsed="false">
      <c r="A289" s="12" t="s">
        <v>1875</v>
      </c>
      <c r="B289" s="12" t="s">
        <v>1154</v>
      </c>
      <c r="C289" s="12" t="s">
        <v>351</v>
      </c>
      <c r="D289" s="12" t="s">
        <v>41</v>
      </c>
      <c r="E289" s="12" t="s">
        <v>1239</v>
      </c>
      <c r="F289" s="13" t="n">
        <v>-3</v>
      </c>
      <c r="G289" s="12" t="s">
        <v>1240</v>
      </c>
      <c r="H289" s="12" t="n">
        <v>0</v>
      </c>
      <c r="I289" s="12" t="n">
        <v>1</v>
      </c>
      <c r="J289" s="12" t="s">
        <v>1254</v>
      </c>
      <c r="K289" s="12" t="s">
        <v>202</v>
      </c>
      <c r="L289" s="12" t="s">
        <v>1245</v>
      </c>
      <c r="M289" s="12" t="s">
        <v>1876</v>
      </c>
      <c r="N289" s="12" t="n">
        <v>6</v>
      </c>
      <c r="O289" s="12" t="s">
        <v>202</v>
      </c>
      <c r="P289" s="12" t="s">
        <v>1877</v>
      </c>
    </row>
    <row r="290" customFormat="false" ht="15" hidden="false" customHeight="false" outlineLevel="0" collapsed="false">
      <c r="A290" s="12" t="s">
        <v>1878</v>
      </c>
      <c r="B290" s="12" t="s">
        <v>1154</v>
      </c>
      <c r="C290" s="12" t="s">
        <v>1879</v>
      </c>
      <c r="D290" s="12" t="s">
        <v>1314</v>
      </c>
      <c r="E290" s="12" t="s">
        <v>1315</v>
      </c>
      <c r="F290" s="13" t="n">
        <v>1</v>
      </c>
      <c r="G290" s="12" t="s">
        <v>1240</v>
      </c>
      <c r="H290" s="12" t="n">
        <v>0</v>
      </c>
      <c r="I290" s="12" t="n">
        <v>1</v>
      </c>
      <c r="J290" s="12" t="s">
        <v>1254</v>
      </c>
      <c r="K290" s="12" t="s">
        <v>202</v>
      </c>
      <c r="L290" s="12" t="s">
        <v>1245</v>
      </c>
      <c r="M290" s="12" t="s">
        <v>1876</v>
      </c>
      <c r="N290" s="12" t="n">
        <v>6</v>
      </c>
      <c r="O290" s="12" t="s">
        <v>202</v>
      </c>
      <c r="P290" s="12" t="s">
        <v>1880</v>
      </c>
    </row>
    <row r="291" customFormat="false" ht="15" hidden="false" customHeight="false" outlineLevel="0" collapsed="false">
      <c r="A291" s="12" t="s">
        <v>1881</v>
      </c>
      <c r="B291" s="12" t="s">
        <v>1162</v>
      </c>
      <c r="C291" s="12" t="s">
        <v>1882</v>
      </c>
      <c r="D291" s="12" t="s">
        <v>1314</v>
      </c>
      <c r="E291" s="12" t="s">
        <v>1315</v>
      </c>
      <c r="F291" s="13" t="n">
        <v>1</v>
      </c>
      <c r="G291" s="12" t="s">
        <v>1750</v>
      </c>
      <c r="H291" s="12" t="n">
        <v>0</v>
      </c>
      <c r="I291" s="12" t="n">
        <v>6</v>
      </c>
      <c r="J291" s="12" t="s">
        <v>1236</v>
      </c>
      <c r="K291" s="12" t="s">
        <v>202</v>
      </c>
      <c r="L291" s="12" t="s">
        <v>202</v>
      </c>
      <c r="M291" s="12" t="s">
        <v>202</v>
      </c>
      <c r="N291" s="12" t="s">
        <v>202</v>
      </c>
      <c r="O291" s="12" t="s">
        <v>202</v>
      </c>
      <c r="P291" s="12" t="s">
        <v>1883</v>
      </c>
    </row>
    <row r="292" customFormat="false" ht="15" hidden="false" customHeight="false" outlineLevel="0" collapsed="false">
      <c r="A292" s="12" t="s">
        <v>1884</v>
      </c>
      <c r="B292" s="12" t="s">
        <v>1162</v>
      </c>
      <c r="C292" s="12" t="s">
        <v>267</v>
      </c>
      <c r="D292" s="12" t="s">
        <v>41</v>
      </c>
      <c r="E292" s="12" t="s">
        <v>1239</v>
      </c>
      <c r="F292" s="13" t="n">
        <v>1</v>
      </c>
      <c r="G292" s="12" t="s">
        <v>1270</v>
      </c>
      <c r="H292" s="12" t="n">
        <v>1</v>
      </c>
      <c r="I292" s="12" t="n">
        <v>1</v>
      </c>
      <c r="J292" s="12" t="s">
        <v>1271</v>
      </c>
      <c r="K292" s="12" t="s">
        <v>202</v>
      </c>
      <c r="L292" s="12" t="s">
        <v>202</v>
      </c>
      <c r="M292" s="12" t="s">
        <v>202</v>
      </c>
      <c r="N292" s="12" t="s">
        <v>202</v>
      </c>
      <c r="O292" s="12" t="s">
        <v>202</v>
      </c>
      <c r="P292" s="12" t="s">
        <v>1885</v>
      </c>
    </row>
    <row r="293" customFormat="false" ht="15" hidden="false" customHeight="false" outlineLevel="0" collapsed="false">
      <c r="A293" s="12" t="s">
        <v>1886</v>
      </c>
      <c r="B293" s="12" t="s">
        <v>1162</v>
      </c>
      <c r="C293" s="12" t="s">
        <v>296</v>
      </c>
      <c r="D293" s="12" t="s">
        <v>41</v>
      </c>
      <c r="E293" s="12" t="s">
        <v>1239</v>
      </c>
      <c r="F293" s="13" t="n">
        <v>1</v>
      </c>
      <c r="G293" s="12" t="s">
        <v>1274</v>
      </c>
      <c r="H293" s="12" t="n">
        <v>2</v>
      </c>
      <c r="I293" s="12" t="n">
        <v>1</v>
      </c>
      <c r="J293" s="12" t="s">
        <v>1271</v>
      </c>
      <c r="K293" s="12" t="s">
        <v>202</v>
      </c>
      <c r="L293" s="12" t="s">
        <v>202</v>
      </c>
      <c r="M293" s="12" t="s">
        <v>202</v>
      </c>
      <c r="N293" s="12" t="s">
        <v>202</v>
      </c>
      <c r="O293" s="12" t="s">
        <v>202</v>
      </c>
      <c r="P293" s="12" t="s">
        <v>1887</v>
      </c>
    </row>
    <row r="294" customFormat="false" ht="15" hidden="false" customHeight="false" outlineLevel="0" collapsed="false">
      <c r="A294" s="12" t="s">
        <v>1888</v>
      </c>
      <c r="B294" s="12" t="s">
        <v>1169</v>
      </c>
      <c r="C294" s="12" t="s">
        <v>1889</v>
      </c>
      <c r="D294" s="12" t="s">
        <v>1314</v>
      </c>
      <c r="E294" s="12" t="s">
        <v>1315</v>
      </c>
      <c r="F294" s="13" t="n">
        <v>1</v>
      </c>
      <c r="G294" s="12" t="s">
        <v>1280</v>
      </c>
      <c r="H294" s="12" t="n">
        <v>0</v>
      </c>
      <c r="I294" s="12" t="n">
        <v>3</v>
      </c>
      <c r="J294" s="12" t="s">
        <v>1236</v>
      </c>
      <c r="K294" s="12" t="s">
        <v>202</v>
      </c>
      <c r="L294" s="12" t="s">
        <v>202</v>
      </c>
      <c r="M294" s="12" t="s">
        <v>202</v>
      </c>
      <c r="N294" s="12" t="s">
        <v>202</v>
      </c>
      <c r="O294" s="12" t="s">
        <v>202</v>
      </c>
      <c r="P294" s="12" t="s">
        <v>1890</v>
      </c>
    </row>
    <row r="295" customFormat="false" ht="23.85" hidden="false" customHeight="false" outlineLevel="0" collapsed="false">
      <c r="A295" s="12" t="s">
        <v>1891</v>
      </c>
      <c r="B295" s="12" t="s">
        <v>1169</v>
      </c>
      <c r="C295" s="12" t="s">
        <v>1892</v>
      </c>
      <c r="D295" s="12" t="s">
        <v>50</v>
      </c>
      <c r="E295" s="12" t="s">
        <v>1239</v>
      </c>
      <c r="F295" s="13" t="n">
        <v>2</v>
      </c>
      <c r="G295" s="12" t="s">
        <v>1240</v>
      </c>
      <c r="H295" s="12" t="n">
        <v>0</v>
      </c>
      <c r="I295" s="12" t="n">
        <v>1</v>
      </c>
      <c r="J295" s="12" t="s">
        <v>1243</v>
      </c>
      <c r="K295" s="12" t="s">
        <v>1893</v>
      </c>
      <c r="L295" s="12" t="s">
        <v>1245</v>
      </c>
      <c r="M295" s="12" t="s">
        <v>202</v>
      </c>
      <c r="N295" s="12" t="s">
        <v>202</v>
      </c>
      <c r="O295" s="12" t="s">
        <v>202</v>
      </c>
      <c r="P295" s="12" t="s">
        <v>1894</v>
      </c>
    </row>
    <row r="296" customFormat="false" ht="23.85" hidden="false" customHeight="false" outlineLevel="0" collapsed="false">
      <c r="A296" s="12" t="s">
        <v>1895</v>
      </c>
      <c r="B296" s="12" t="s">
        <v>1169</v>
      </c>
      <c r="C296" s="12" t="s">
        <v>1892</v>
      </c>
      <c r="D296" s="12" t="s">
        <v>50</v>
      </c>
      <c r="E296" s="12" t="s">
        <v>1239</v>
      </c>
      <c r="F296" s="13" t="n">
        <v>-3</v>
      </c>
      <c r="G296" s="12" t="s">
        <v>1240</v>
      </c>
      <c r="H296" s="12" t="n">
        <v>0</v>
      </c>
      <c r="I296" s="12" t="n">
        <v>1</v>
      </c>
      <c r="J296" s="12" t="s">
        <v>1254</v>
      </c>
      <c r="K296" s="12" t="s">
        <v>202</v>
      </c>
      <c r="L296" s="12" t="s">
        <v>1245</v>
      </c>
      <c r="M296" s="12" t="s">
        <v>1896</v>
      </c>
      <c r="N296" s="12" t="n">
        <v>6</v>
      </c>
      <c r="O296" s="12" t="s">
        <v>202</v>
      </c>
      <c r="P296" s="12" t="s">
        <v>1897</v>
      </c>
    </row>
    <row r="297" customFormat="false" ht="15" hidden="false" customHeight="false" outlineLevel="0" collapsed="false">
      <c r="A297" s="12" t="s">
        <v>1898</v>
      </c>
      <c r="B297" s="12" t="s">
        <v>1190</v>
      </c>
      <c r="C297" s="12" t="s">
        <v>1892</v>
      </c>
      <c r="D297" s="12" t="s">
        <v>50</v>
      </c>
      <c r="E297" s="12" t="s">
        <v>1239</v>
      </c>
      <c r="F297" s="13" t="n">
        <v>6</v>
      </c>
      <c r="G297" s="12" t="s">
        <v>1240</v>
      </c>
      <c r="H297" s="12" t="n">
        <v>0</v>
      </c>
      <c r="I297" s="12" t="n">
        <v>1</v>
      </c>
      <c r="J297" s="12" t="s">
        <v>1236</v>
      </c>
      <c r="K297" s="12" t="s">
        <v>202</v>
      </c>
      <c r="L297" s="12" t="s">
        <v>202</v>
      </c>
      <c r="M297" s="12" t="s">
        <v>202</v>
      </c>
      <c r="N297" s="12" t="s">
        <v>202</v>
      </c>
      <c r="O297" s="12" t="s">
        <v>202</v>
      </c>
      <c r="P297" s="12" t="s">
        <v>1899</v>
      </c>
    </row>
    <row r="298" customFormat="false" ht="15" hidden="false" customHeight="false" outlineLevel="0" collapsed="false">
      <c r="A298" s="12" t="s">
        <v>1900</v>
      </c>
      <c r="B298" s="12" t="s">
        <v>1190</v>
      </c>
      <c r="C298" s="12" t="s">
        <v>1901</v>
      </c>
      <c r="D298" s="12" t="s">
        <v>1314</v>
      </c>
      <c r="E298" s="12" t="s">
        <v>1315</v>
      </c>
      <c r="F298" s="13" t="n">
        <v>1</v>
      </c>
      <c r="G298" s="12" t="s">
        <v>1240</v>
      </c>
      <c r="H298" s="12" t="n">
        <v>0</v>
      </c>
      <c r="I298" s="12" t="s">
        <v>1902</v>
      </c>
      <c r="J298" s="12" t="s">
        <v>1236</v>
      </c>
      <c r="K298" s="12" t="s">
        <v>202</v>
      </c>
      <c r="L298" s="12" t="s">
        <v>202</v>
      </c>
      <c r="M298" s="12" t="s">
        <v>202</v>
      </c>
      <c r="N298" s="12" t="s">
        <v>202</v>
      </c>
      <c r="O298" s="12" t="s">
        <v>202</v>
      </c>
      <c r="P298" s="12" t="s">
        <v>1903</v>
      </c>
    </row>
    <row r="299" customFormat="false" ht="15" hidden="false" customHeight="false" outlineLevel="0" collapsed="false">
      <c r="A299" s="12" t="s">
        <v>1904</v>
      </c>
      <c r="B299" s="12" t="s">
        <v>1204</v>
      </c>
      <c r="C299" s="12" t="s">
        <v>1905</v>
      </c>
      <c r="D299" s="12" t="s">
        <v>50</v>
      </c>
      <c r="E299" s="12" t="s">
        <v>1239</v>
      </c>
      <c r="F299" s="13" t="n">
        <v>10</v>
      </c>
      <c r="G299" s="12" t="s">
        <v>1240</v>
      </c>
      <c r="H299" s="12" t="n">
        <v>0</v>
      </c>
      <c r="I299" s="12" t="n">
        <v>1</v>
      </c>
      <c r="J299" s="12" t="s">
        <v>1236</v>
      </c>
      <c r="K299" s="12" t="s">
        <v>202</v>
      </c>
      <c r="L299" s="12" t="s">
        <v>202</v>
      </c>
      <c r="M299" s="12" t="s">
        <v>202</v>
      </c>
      <c r="N299" s="12" t="s">
        <v>202</v>
      </c>
      <c r="O299" s="12" t="s">
        <v>202</v>
      </c>
      <c r="P299" s="12" t="s">
        <v>1906</v>
      </c>
    </row>
    <row r="300" customFormat="false" ht="15" hidden="false" customHeight="false" outlineLevel="0" collapsed="false">
      <c r="A300" s="12" t="s">
        <v>1907</v>
      </c>
      <c r="B300" s="12" t="s">
        <v>1204</v>
      </c>
      <c r="C300" s="12" t="s">
        <v>1856</v>
      </c>
      <c r="D300" s="12" t="s">
        <v>50</v>
      </c>
      <c r="E300" s="12" t="s">
        <v>1239</v>
      </c>
      <c r="F300" s="13" t="n">
        <v>-4</v>
      </c>
      <c r="G300" s="12" t="s">
        <v>1240</v>
      </c>
      <c r="H300" s="12" t="n">
        <v>0</v>
      </c>
      <c r="I300" s="12" t="n">
        <v>1</v>
      </c>
      <c r="J300" s="12" t="s">
        <v>1236</v>
      </c>
      <c r="K300" s="12" t="s">
        <v>202</v>
      </c>
      <c r="L300" s="12" t="s">
        <v>202</v>
      </c>
      <c r="M300" s="12" t="s">
        <v>202</v>
      </c>
      <c r="N300" s="12" t="s">
        <v>202</v>
      </c>
      <c r="O300" s="12" t="s">
        <v>202</v>
      </c>
      <c r="P300" s="12" t="s">
        <v>1908</v>
      </c>
    </row>
    <row r="301" customFormat="false" ht="15" hidden="false" customHeight="false" outlineLevel="0" collapsed="false">
      <c r="A301" s="12" t="s">
        <v>1909</v>
      </c>
      <c r="B301" s="12" t="s">
        <v>1204</v>
      </c>
      <c r="C301" s="12" t="s">
        <v>138</v>
      </c>
      <c r="D301" s="12" t="s">
        <v>408</v>
      </c>
      <c r="E301" s="12" t="s">
        <v>1239</v>
      </c>
      <c r="F301" s="13" t="n">
        <v>4</v>
      </c>
      <c r="G301" s="12" t="s">
        <v>1240</v>
      </c>
      <c r="H301" s="12" t="n">
        <v>0</v>
      </c>
      <c r="I301" s="12" t="n">
        <v>1</v>
      </c>
      <c r="J301" s="12" t="s">
        <v>1243</v>
      </c>
      <c r="K301" s="12" t="s">
        <v>1910</v>
      </c>
      <c r="L301" s="12" t="s">
        <v>1327</v>
      </c>
      <c r="M301" s="12" t="s">
        <v>202</v>
      </c>
      <c r="N301" s="12" t="s">
        <v>202</v>
      </c>
      <c r="O301" s="12" t="s">
        <v>202</v>
      </c>
      <c r="P301" s="12" t="s">
        <v>1911</v>
      </c>
    </row>
    <row r="302" customFormat="false" ht="15" hidden="false" customHeight="false" outlineLevel="0" collapsed="false">
      <c r="A302" s="12" t="s">
        <v>1912</v>
      </c>
      <c r="B302" s="12" t="s">
        <v>1213</v>
      </c>
      <c r="C302" s="12" t="s">
        <v>1913</v>
      </c>
      <c r="D302" s="12" t="s">
        <v>50</v>
      </c>
      <c r="E302" s="12" t="s">
        <v>1239</v>
      </c>
      <c r="F302" s="13" t="n">
        <v>8</v>
      </c>
      <c r="G302" s="12" t="s">
        <v>1240</v>
      </c>
      <c r="H302" s="12" t="n">
        <v>0</v>
      </c>
      <c r="I302" s="12" t="n">
        <v>1</v>
      </c>
      <c r="J302" s="12" t="s">
        <v>1236</v>
      </c>
      <c r="K302" s="12" t="s">
        <v>202</v>
      </c>
      <c r="L302" s="12" t="s">
        <v>202</v>
      </c>
      <c r="M302" s="12" t="s">
        <v>202</v>
      </c>
      <c r="N302" s="12" t="s">
        <v>202</v>
      </c>
      <c r="O302" s="12" t="s">
        <v>202</v>
      </c>
      <c r="P302" s="12" t="s">
        <v>1914</v>
      </c>
    </row>
    <row r="303" customFormat="false" ht="15" hidden="false" customHeight="false" outlineLevel="0" collapsed="false">
      <c r="A303" s="12" t="s">
        <v>1915</v>
      </c>
      <c r="B303" s="12" t="s">
        <v>1213</v>
      </c>
      <c r="C303" s="12" t="s">
        <v>305</v>
      </c>
      <c r="D303" s="12" t="s">
        <v>41</v>
      </c>
      <c r="E303" s="12" t="s">
        <v>1239</v>
      </c>
      <c r="F303" s="13" t="n">
        <v>1</v>
      </c>
      <c r="G303" s="12" t="s">
        <v>1274</v>
      </c>
      <c r="H303" s="12" t="n">
        <v>2</v>
      </c>
      <c r="I303" s="12" t="n">
        <v>1</v>
      </c>
      <c r="J303" s="12" t="s">
        <v>1271</v>
      </c>
      <c r="K303" s="12" t="s">
        <v>202</v>
      </c>
      <c r="L303" s="12" t="s">
        <v>202</v>
      </c>
      <c r="M303" s="12" t="s">
        <v>202</v>
      </c>
      <c r="N303" s="12" t="s">
        <v>202</v>
      </c>
      <c r="O303" s="12" t="s">
        <v>202</v>
      </c>
      <c r="P303" s="12" t="s">
        <v>1916</v>
      </c>
    </row>
    <row r="304" customFormat="false" ht="15" hidden="false" customHeight="false" outlineLevel="0" collapsed="false">
      <c r="A304" s="12" t="s">
        <v>1917</v>
      </c>
      <c r="B304" s="12" t="s">
        <v>1213</v>
      </c>
      <c r="C304" s="12" t="s">
        <v>138</v>
      </c>
      <c r="D304" s="12" t="s">
        <v>408</v>
      </c>
      <c r="E304" s="12" t="s">
        <v>1234</v>
      </c>
      <c r="F304" s="13" t="n">
        <v>2</v>
      </c>
      <c r="G304" s="12" t="s">
        <v>1235</v>
      </c>
      <c r="H304" s="12" t="n">
        <v>0</v>
      </c>
      <c r="I304" s="12" t="n">
        <v>2</v>
      </c>
      <c r="J304" s="12" t="s">
        <v>1236</v>
      </c>
      <c r="K304" s="12" t="s">
        <v>202</v>
      </c>
      <c r="L304" s="12" t="s">
        <v>202</v>
      </c>
      <c r="M304" s="12" t="s">
        <v>202</v>
      </c>
      <c r="N304" s="12" t="s">
        <v>202</v>
      </c>
      <c r="O304" s="12" t="s">
        <v>202</v>
      </c>
      <c r="P304" s="12" t="s">
        <v>1918</v>
      </c>
    </row>
    <row r="305" customFormat="false" ht="15" hidden="false" customHeight="false" outlineLevel="0" collapsed="false">
      <c r="A305" s="12" t="s">
        <v>1919</v>
      </c>
      <c r="B305" s="12" t="s">
        <v>1213</v>
      </c>
      <c r="C305" s="12" t="s">
        <v>351</v>
      </c>
      <c r="D305" s="12" t="s">
        <v>41</v>
      </c>
      <c r="E305" s="12" t="s">
        <v>1239</v>
      </c>
      <c r="F305" s="13" t="n">
        <v>-1</v>
      </c>
      <c r="G305" s="12" t="s">
        <v>1240</v>
      </c>
      <c r="H305" s="12" t="n">
        <v>0</v>
      </c>
      <c r="I305" s="12" t="n">
        <v>1</v>
      </c>
      <c r="J305" s="12" t="s">
        <v>1236</v>
      </c>
      <c r="K305" s="12" t="s">
        <v>202</v>
      </c>
      <c r="L305" s="12" t="s">
        <v>202</v>
      </c>
      <c r="M305" s="12" t="s">
        <v>202</v>
      </c>
      <c r="N305" s="12" t="s">
        <v>202</v>
      </c>
      <c r="O305" s="12" t="s">
        <v>202</v>
      </c>
      <c r="P305" s="12" t="s">
        <v>1920</v>
      </c>
    </row>
    <row r="306" customFormat="false" ht="15" hidden="false" customHeight="false" outlineLevel="0" collapsed="false">
      <c r="A306" s="12" t="s">
        <v>1921</v>
      </c>
      <c r="B306" s="12" t="s">
        <v>1213</v>
      </c>
      <c r="C306" s="12" t="s">
        <v>1913</v>
      </c>
      <c r="D306" s="12" t="s">
        <v>50</v>
      </c>
      <c r="E306" s="12" t="s">
        <v>1239</v>
      </c>
      <c r="F306" s="13" t="n">
        <v>-4</v>
      </c>
      <c r="G306" s="12" t="s">
        <v>1240</v>
      </c>
      <c r="H306" s="12" t="n">
        <v>0</v>
      </c>
      <c r="I306" s="12" t="n">
        <v>1</v>
      </c>
      <c r="J306" s="12" t="s">
        <v>1254</v>
      </c>
      <c r="K306" s="12" t="s">
        <v>202</v>
      </c>
      <c r="L306" s="12" t="s">
        <v>1245</v>
      </c>
      <c r="M306" s="12" t="s">
        <v>1922</v>
      </c>
      <c r="N306" s="12" t="n">
        <v>6</v>
      </c>
      <c r="O306" s="12" t="s">
        <v>202</v>
      </c>
      <c r="P306" s="12" t="s">
        <v>1923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1924</v>
      </c>
    </row>
    <row r="2" customFormat="false" ht="15" hidden="false" customHeight="false" outlineLevel="0" collapsed="false">
      <c r="A2" s="2" t="s">
        <v>1925</v>
      </c>
    </row>
    <row r="4" customFormat="false" ht="23.85" hidden="false" customHeight="false" outlineLevel="0" collapsed="false">
      <c r="A4" s="11" t="s">
        <v>429</v>
      </c>
      <c r="B4" s="11" t="s">
        <v>430</v>
      </c>
      <c r="C4" s="11" t="s">
        <v>1926</v>
      </c>
      <c r="D4" s="11" t="s">
        <v>1927</v>
      </c>
      <c r="E4" s="11" t="s">
        <v>1928</v>
      </c>
      <c r="F4" s="11" t="s">
        <v>1929</v>
      </c>
      <c r="G4" s="11" t="s">
        <v>433</v>
      </c>
    </row>
    <row r="5" customFormat="false" ht="23.85" hidden="false" customHeight="false" outlineLevel="0" collapsed="false">
      <c r="A5" s="12" t="s">
        <v>1077</v>
      </c>
      <c r="B5" s="12" t="s">
        <v>1084</v>
      </c>
      <c r="C5" s="12" t="s">
        <v>1930</v>
      </c>
      <c r="D5" s="12" t="s">
        <v>1931</v>
      </c>
      <c r="E5" s="12" t="s">
        <v>1932</v>
      </c>
      <c r="F5" s="12" t="s">
        <v>1933</v>
      </c>
      <c r="G5" s="12" t="s">
        <v>1934</v>
      </c>
    </row>
    <row r="6" customFormat="false" ht="15" hidden="false" customHeight="false" outlineLevel="0" collapsed="false">
      <c r="A6" s="12" t="s">
        <v>1077</v>
      </c>
      <c r="B6" s="12" t="s">
        <v>1091</v>
      </c>
      <c r="C6" s="12" t="s">
        <v>1930</v>
      </c>
      <c r="D6" s="12" t="s">
        <v>1017</v>
      </c>
      <c r="E6" s="12" t="s">
        <v>1932</v>
      </c>
      <c r="F6" s="12" t="s">
        <v>1933</v>
      </c>
      <c r="G6" s="12" t="s">
        <v>1935</v>
      </c>
    </row>
    <row r="7" customFormat="false" ht="15" hidden="false" customHeight="false" outlineLevel="0" collapsed="false">
      <c r="A7" s="12" t="s">
        <v>1077</v>
      </c>
      <c r="B7" s="12" t="s">
        <v>1096</v>
      </c>
      <c r="C7" s="12" t="s">
        <v>1930</v>
      </c>
      <c r="D7" s="12" t="s">
        <v>1017</v>
      </c>
      <c r="E7" s="12" t="s">
        <v>1932</v>
      </c>
      <c r="F7" s="12" t="s">
        <v>1933</v>
      </c>
      <c r="G7" s="12" t="s">
        <v>1935</v>
      </c>
    </row>
    <row r="8" customFormat="false" ht="15" hidden="false" customHeight="false" outlineLevel="0" collapsed="false">
      <c r="A8" s="12" t="s">
        <v>1077</v>
      </c>
      <c r="B8" s="12" t="s">
        <v>1100</v>
      </c>
      <c r="C8" s="12" t="s">
        <v>1930</v>
      </c>
      <c r="D8" s="12" t="s">
        <v>1017</v>
      </c>
      <c r="E8" s="12" t="s">
        <v>1932</v>
      </c>
      <c r="F8" s="12" t="s">
        <v>1933</v>
      </c>
      <c r="G8" s="12" t="s">
        <v>1935</v>
      </c>
    </row>
    <row r="9" customFormat="false" ht="15" hidden="false" customHeight="false" outlineLevel="0" collapsed="false">
      <c r="A9" s="12" t="s">
        <v>1077</v>
      </c>
      <c r="B9" s="12" t="s">
        <v>1013</v>
      </c>
      <c r="C9" s="12" t="s">
        <v>1930</v>
      </c>
      <c r="D9" s="12" t="s">
        <v>1017</v>
      </c>
      <c r="E9" s="12" t="s">
        <v>1932</v>
      </c>
      <c r="F9" s="12" t="s">
        <v>1933</v>
      </c>
      <c r="G9" s="12" t="s">
        <v>1935</v>
      </c>
    </row>
    <row r="10" customFormat="false" ht="15" hidden="false" customHeight="false" outlineLevel="0" collapsed="false">
      <c r="A10" s="12" t="s">
        <v>1077</v>
      </c>
      <c r="B10" s="12" t="s">
        <v>944</v>
      </c>
      <c r="C10" s="12" t="s">
        <v>1930</v>
      </c>
      <c r="D10" s="12" t="s">
        <v>1017</v>
      </c>
      <c r="E10" s="12" t="s">
        <v>1932</v>
      </c>
      <c r="F10" s="12" t="s">
        <v>1936</v>
      </c>
      <c r="G10" s="12" t="s">
        <v>1937</v>
      </c>
    </row>
    <row r="11" customFormat="false" ht="15" hidden="false" customHeight="false" outlineLevel="0" collapsed="false">
      <c r="A11" s="12" t="s">
        <v>1091</v>
      </c>
      <c r="B11" s="12" t="s">
        <v>944</v>
      </c>
      <c r="C11" s="12" t="s">
        <v>1930</v>
      </c>
      <c r="D11" s="12" t="s">
        <v>1938</v>
      </c>
      <c r="E11" s="12" t="s">
        <v>1939</v>
      </c>
      <c r="F11" s="12" t="s">
        <v>1940</v>
      </c>
      <c r="G11" s="12" t="s">
        <v>1941</v>
      </c>
    </row>
    <row r="12" customFormat="false" ht="15" hidden="false" customHeight="false" outlineLevel="0" collapsed="false">
      <c r="A12" s="12" t="s">
        <v>936</v>
      </c>
      <c r="B12" s="12" t="s">
        <v>944</v>
      </c>
      <c r="C12" s="12" t="s">
        <v>1930</v>
      </c>
      <c r="D12" s="12" t="s">
        <v>1539</v>
      </c>
      <c r="E12" s="12" t="s">
        <v>1939</v>
      </c>
      <c r="F12" s="12" t="s">
        <v>1942</v>
      </c>
      <c r="G12" s="12" t="s">
        <v>1943</v>
      </c>
    </row>
    <row r="13" customFormat="false" ht="15" hidden="false" customHeight="false" outlineLevel="0" collapsed="false">
      <c r="A13" s="12" t="s">
        <v>1148</v>
      </c>
      <c r="B13" s="12" t="s">
        <v>944</v>
      </c>
      <c r="C13" s="12" t="s">
        <v>1930</v>
      </c>
      <c r="D13" s="12" t="s">
        <v>1534</v>
      </c>
      <c r="E13" s="12" t="s">
        <v>1944</v>
      </c>
      <c r="F13" s="12" t="s">
        <v>1945</v>
      </c>
      <c r="G13" s="12" t="s">
        <v>1946</v>
      </c>
    </row>
    <row r="14" customFormat="false" ht="15" hidden="false" customHeight="false" outlineLevel="0" collapsed="false">
      <c r="A14" s="12" t="s">
        <v>889</v>
      </c>
      <c r="B14" s="12" t="s">
        <v>894</v>
      </c>
      <c r="C14" s="12" t="s">
        <v>1930</v>
      </c>
      <c r="D14" s="12" t="s">
        <v>1947</v>
      </c>
      <c r="E14" s="12" t="s">
        <v>1932</v>
      </c>
      <c r="F14" s="12" t="s">
        <v>1936</v>
      </c>
      <c r="G14" s="12" t="s">
        <v>1948</v>
      </c>
    </row>
    <row r="15" customFormat="false" ht="68.65" hidden="false" customHeight="false" outlineLevel="0" collapsed="false">
      <c r="A15" s="12" t="s">
        <v>202</v>
      </c>
      <c r="B15" s="12" t="s">
        <v>1949</v>
      </c>
      <c r="C15" s="12" t="s">
        <v>1950</v>
      </c>
      <c r="D15" s="12" t="s">
        <v>1951</v>
      </c>
      <c r="E15" s="12" t="s">
        <v>1952</v>
      </c>
      <c r="F15" s="12" t="s">
        <v>1936</v>
      </c>
      <c r="G15" s="12" t="s">
        <v>1953</v>
      </c>
    </row>
    <row r="16" customFormat="false" ht="23.85" hidden="false" customHeight="false" outlineLevel="0" collapsed="false">
      <c r="A16" s="12" t="s">
        <v>1154</v>
      </c>
      <c r="B16" s="12" t="s">
        <v>1954</v>
      </c>
      <c r="C16" s="12" t="s">
        <v>1955</v>
      </c>
      <c r="D16" s="12" t="s">
        <v>1956</v>
      </c>
      <c r="E16" s="12" t="s">
        <v>1957</v>
      </c>
      <c r="F16" s="12" t="s">
        <v>1958</v>
      </c>
      <c r="G16" s="12" t="s">
        <v>1959</v>
      </c>
    </row>
    <row r="17" customFormat="false" ht="23.85" hidden="false" customHeight="false" outlineLevel="0" collapsed="false">
      <c r="A17" s="12" t="s">
        <v>1960</v>
      </c>
      <c r="B17" s="12" t="s">
        <v>1954</v>
      </c>
      <c r="C17" s="12" t="s">
        <v>1961</v>
      </c>
      <c r="D17" s="12" t="s">
        <v>1962</v>
      </c>
      <c r="E17" s="12" t="s">
        <v>1944</v>
      </c>
      <c r="F17" s="12" t="s">
        <v>1963</v>
      </c>
      <c r="G17" s="12" t="s">
        <v>1964</v>
      </c>
    </row>
    <row r="18" customFormat="false" ht="15" hidden="false" customHeight="false" outlineLevel="0" collapsed="false">
      <c r="A18" s="12" t="s">
        <v>1965</v>
      </c>
      <c r="B18" s="12" t="s">
        <v>1954</v>
      </c>
      <c r="C18" s="12" t="s">
        <v>1966</v>
      </c>
      <c r="D18" s="12" t="s">
        <v>1967</v>
      </c>
      <c r="E18" s="12" t="s">
        <v>1939</v>
      </c>
      <c r="F18" s="12" t="s">
        <v>1968</v>
      </c>
      <c r="G18" s="12" t="s">
        <v>1969</v>
      </c>
    </row>
    <row r="19" customFormat="false" ht="15" hidden="false" customHeight="false" outlineLevel="0" collapsed="false">
      <c r="A19" s="12" t="s">
        <v>1138</v>
      </c>
      <c r="B19" s="12" t="s">
        <v>1126</v>
      </c>
      <c r="C19" s="12" t="s">
        <v>1930</v>
      </c>
      <c r="D19" s="12" t="s">
        <v>1130</v>
      </c>
      <c r="E19" s="12" t="s">
        <v>1932</v>
      </c>
      <c r="F19" s="12" t="s">
        <v>1936</v>
      </c>
      <c r="G19" s="12" t="s">
        <v>1970</v>
      </c>
    </row>
    <row r="20" customFormat="false" ht="15" hidden="false" customHeight="false" outlineLevel="0" collapsed="false">
      <c r="A20" s="12" t="s">
        <v>840</v>
      </c>
      <c r="B20" s="12" t="s">
        <v>846</v>
      </c>
      <c r="C20" s="12" t="s">
        <v>1930</v>
      </c>
      <c r="D20" s="12" t="s">
        <v>1971</v>
      </c>
      <c r="E20" s="12" t="s">
        <v>1932</v>
      </c>
      <c r="F20" s="12" t="s">
        <v>1936</v>
      </c>
      <c r="G20" s="12" t="s">
        <v>1972</v>
      </c>
    </row>
    <row r="21" customFormat="false" ht="15" hidden="false" customHeight="false" outlineLevel="0" collapsed="false">
      <c r="A21" s="12" t="s">
        <v>1973</v>
      </c>
      <c r="B21" s="12" t="s">
        <v>846</v>
      </c>
      <c r="C21" s="12" t="s">
        <v>41</v>
      </c>
      <c r="D21" s="12" t="s">
        <v>1974</v>
      </c>
      <c r="E21" s="12" t="s">
        <v>1932</v>
      </c>
      <c r="F21" s="12" t="s">
        <v>1936</v>
      </c>
      <c r="G21" s="12" t="s">
        <v>1975</v>
      </c>
    </row>
    <row r="22" customFormat="false" ht="15" hidden="false" customHeight="false" outlineLevel="0" collapsed="false">
      <c r="A22" s="12" t="s">
        <v>1976</v>
      </c>
      <c r="B22" s="12" t="s">
        <v>846</v>
      </c>
      <c r="C22" s="12" t="s">
        <v>41</v>
      </c>
      <c r="D22" s="12" t="s">
        <v>1977</v>
      </c>
      <c r="E22" s="12" t="s">
        <v>1939</v>
      </c>
      <c r="F22" s="12" t="s">
        <v>1978</v>
      </c>
      <c r="G22" s="12" t="s">
        <v>1979</v>
      </c>
    </row>
    <row r="23" customFormat="false" ht="15" hidden="false" customHeight="false" outlineLevel="0" collapsed="false">
      <c r="A23" s="12" t="s">
        <v>1976</v>
      </c>
      <c r="B23" s="12" t="s">
        <v>882</v>
      </c>
      <c r="C23" s="12" t="s">
        <v>41</v>
      </c>
      <c r="D23" s="12" t="s">
        <v>1980</v>
      </c>
      <c r="E23" s="12" t="s">
        <v>1932</v>
      </c>
      <c r="F23" s="12" t="s">
        <v>1936</v>
      </c>
      <c r="G23" s="12" t="s">
        <v>1981</v>
      </c>
    </row>
    <row r="24" customFormat="false" ht="15" hidden="false" customHeight="false" outlineLevel="0" collapsed="false">
      <c r="A24" s="12" t="s">
        <v>1982</v>
      </c>
      <c r="B24" s="12" t="s">
        <v>882</v>
      </c>
      <c r="C24" s="12" t="s">
        <v>1961</v>
      </c>
      <c r="D24" s="12" t="s">
        <v>1983</v>
      </c>
      <c r="E24" s="12" t="s">
        <v>1984</v>
      </c>
      <c r="F24" s="12" t="s">
        <v>1985</v>
      </c>
      <c r="G24" s="12" t="s">
        <v>1986</v>
      </c>
    </row>
    <row r="25" customFormat="false" ht="15" hidden="false" customHeight="false" outlineLevel="0" collapsed="false">
      <c r="A25" s="12" t="s">
        <v>1162</v>
      </c>
      <c r="B25" s="12" t="s">
        <v>952</v>
      </c>
      <c r="C25" s="12" t="s">
        <v>1930</v>
      </c>
      <c r="D25" s="12" t="s">
        <v>1400</v>
      </c>
      <c r="E25" s="12" t="s">
        <v>1932</v>
      </c>
      <c r="F25" s="12" t="s">
        <v>1936</v>
      </c>
      <c r="G25" s="12" t="s">
        <v>1987</v>
      </c>
    </row>
    <row r="26" customFormat="false" ht="15" hidden="false" customHeight="false" outlineLevel="0" collapsed="false">
      <c r="A26" s="12" t="s">
        <v>1162</v>
      </c>
      <c r="B26" s="12" t="s">
        <v>875</v>
      </c>
      <c r="C26" s="12" t="s">
        <v>1930</v>
      </c>
      <c r="D26" s="12" t="s">
        <v>1400</v>
      </c>
      <c r="E26" s="12" t="s">
        <v>1939</v>
      </c>
      <c r="F26" s="12" t="s">
        <v>1988</v>
      </c>
      <c r="G26" s="12" t="s">
        <v>1989</v>
      </c>
    </row>
    <row r="27" customFormat="false" ht="15" hidden="false" customHeight="false" outlineLevel="0" collapsed="false">
      <c r="A27" s="12" t="s">
        <v>1162</v>
      </c>
      <c r="B27" s="12" t="s">
        <v>936</v>
      </c>
      <c r="C27" s="12" t="s">
        <v>1930</v>
      </c>
      <c r="D27" s="12" t="s">
        <v>1400</v>
      </c>
      <c r="E27" s="12" t="s">
        <v>1939</v>
      </c>
      <c r="F27" s="12" t="s">
        <v>1990</v>
      </c>
      <c r="G27" s="12" t="s">
        <v>1885</v>
      </c>
    </row>
    <row r="28" customFormat="false" ht="23.85" hidden="false" customHeight="false" outlineLevel="0" collapsed="false">
      <c r="A28" s="12" t="s">
        <v>1991</v>
      </c>
      <c r="B28" s="12" t="s">
        <v>976</v>
      </c>
      <c r="C28" s="12" t="s">
        <v>1961</v>
      </c>
      <c r="D28" s="12" t="s">
        <v>1992</v>
      </c>
      <c r="E28" s="12" t="s">
        <v>1932</v>
      </c>
      <c r="F28" s="12" t="s">
        <v>1936</v>
      </c>
      <c r="G28" s="12" t="s">
        <v>1993</v>
      </c>
    </row>
    <row r="29" customFormat="false" ht="15" hidden="false" customHeight="false" outlineLevel="0" collapsed="false">
      <c r="A29" s="12" t="s">
        <v>1994</v>
      </c>
      <c r="B29" s="12" t="s">
        <v>968</v>
      </c>
      <c r="C29" s="12" t="s">
        <v>1995</v>
      </c>
      <c r="D29" s="12" t="s">
        <v>1592</v>
      </c>
      <c r="E29" s="12" t="s">
        <v>1939</v>
      </c>
      <c r="F29" s="12" t="s">
        <v>1996</v>
      </c>
      <c r="G29" s="12" t="s">
        <v>1997</v>
      </c>
    </row>
    <row r="30" customFormat="false" ht="15" hidden="false" customHeight="false" outlineLevel="0" collapsed="false">
      <c r="A30" s="12" t="s">
        <v>1998</v>
      </c>
      <c r="B30" s="12" t="s">
        <v>1046</v>
      </c>
      <c r="C30" s="12" t="s">
        <v>1961</v>
      </c>
      <c r="D30" s="12" t="s">
        <v>1999</v>
      </c>
      <c r="E30" s="12" t="s">
        <v>1939</v>
      </c>
      <c r="F30" s="12" t="s">
        <v>2000</v>
      </c>
      <c r="G30" s="12" t="s">
        <v>2001</v>
      </c>
    </row>
    <row r="31" customFormat="false" ht="23.85" hidden="false" customHeight="false" outlineLevel="0" collapsed="false">
      <c r="A31" s="12" t="s">
        <v>2002</v>
      </c>
      <c r="B31" s="12" t="s">
        <v>2003</v>
      </c>
      <c r="C31" s="12" t="s">
        <v>1995</v>
      </c>
      <c r="D31" s="12" t="s">
        <v>1643</v>
      </c>
      <c r="E31" s="12" t="s">
        <v>1939</v>
      </c>
      <c r="F31" s="12" t="s">
        <v>2004</v>
      </c>
      <c r="G31" s="12" t="s">
        <v>1662</v>
      </c>
    </row>
    <row r="32" customFormat="false" ht="23.85" hidden="false" customHeight="false" outlineLevel="0" collapsed="false">
      <c r="A32" s="12" t="s">
        <v>2005</v>
      </c>
      <c r="B32" s="12" t="s">
        <v>2006</v>
      </c>
      <c r="C32" s="12" t="s">
        <v>1961</v>
      </c>
      <c r="D32" s="12" t="s">
        <v>2007</v>
      </c>
      <c r="E32" s="12" t="s">
        <v>1944</v>
      </c>
      <c r="F32" s="12" t="s">
        <v>2008</v>
      </c>
      <c r="G32" s="12" t="s">
        <v>2009</v>
      </c>
    </row>
    <row r="33" customFormat="false" ht="15" hidden="false" customHeight="false" outlineLevel="0" collapsed="false">
      <c r="A33" s="12" t="s">
        <v>2010</v>
      </c>
      <c r="B33" s="12" t="s">
        <v>2011</v>
      </c>
      <c r="C33" s="12" t="s">
        <v>1961</v>
      </c>
      <c r="D33" s="12" t="s">
        <v>2012</v>
      </c>
      <c r="E33" s="12" t="s">
        <v>1944</v>
      </c>
      <c r="F33" s="12" t="s">
        <v>2013</v>
      </c>
      <c r="G33" s="12" t="s">
        <v>2014</v>
      </c>
    </row>
    <row r="34" customFormat="false" ht="15" hidden="false" customHeight="false" outlineLevel="0" collapsed="false">
      <c r="A34" s="12" t="s">
        <v>2015</v>
      </c>
      <c r="B34" s="12" t="s">
        <v>2016</v>
      </c>
      <c r="C34" s="12" t="s">
        <v>1961</v>
      </c>
      <c r="D34" s="12" t="s">
        <v>2017</v>
      </c>
      <c r="E34" s="12" t="s">
        <v>2018</v>
      </c>
      <c r="F34" s="12" t="s">
        <v>2019</v>
      </c>
      <c r="G34" s="12" t="s">
        <v>2020</v>
      </c>
    </row>
    <row r="35" customFormat="false" ht="15" hidden="false" customHeight="false" outlineLevel="0" collapsed="false">
      <c r="A35" s="12" t="s">
        <v>2021</v>
      </c>
      <c r="B35" s="12" t="s">
        <v>2022</v>
      </c>
      <c r="C35" s="12" t="s">
        <v>1930</v>
      </c>
      <c r="D35" s="12" t="s">
        <v>2023</v>
      </c>
      <c r="E35" s="12" t="s">
        <v>1932</v>
      </c>
      <c r="F35" s="12" t="s">
        <v>1936</v>
      </c>
      <c r="G35" s="12" t="s">
        <v>2024</v>
      </c>
    </row>
    <row r="36" customFormat="false" ht="15" hidden="false" customHeight="false" outlineLevel="0" collapsed="false">
      <c r="A36" s="12" t="s">
        <v>2022</v>
      </c>
      <c r="B36" s="12" t="s">
        <v>1187</v>
      </c>
      <c r="C36" s="12" t="s">
        <v>1930</v>
      </c>
      <c r="D36" s="12" t="s">
        <v>2025</v>
      </c>
      <c r="E36" s="12" t="s">
        <v>1932</v>
      </c>
      <c r="F36" s="12" t="s">
        <v>1936</v>
      </c>
      <c r="G36" s="12" t="s">
        <v>202</v>
      </c>
    </row>
    <row r="37" customFormat="false" ht="15" hidden="false" customHeight="false" outlineLevel="0" collapsed="false">
      <c r="A37" s="12" t="s">
        <v>1039</v>
      </c>
      <c r="B37" s="12" t="s">
        <v>1046</v>
      </c>
      <c r="C37" s="12" t="s">
        <v>1930</v>
      </c>
      <c r="D37" s="12" t="s">
        <v>2026</v>
      </c>
      <c r="E37" s="12" t="s">
        <v>1939</v>
      </c>
      <c r="F37" s="12" t="s">
        <v>2027</v>
      </c>
      <c r="G37" s="12" t="s">
        <v>2028</v>
      </c>
    </row>
    <row r="38" customFormat="false" ht="15" hidden="false" customHeight="false" outlineLevel="0" collapsed="false">
      <c r="A38" s="12" t="s">
        <v>1053</v>
      </c>
      <c r="B38" s="12" t="s">
        <v>1059</v>
      </c>
      <c r="C38" s="12" t="s">
        <v>41</v>
      </c>
      <c r="D38" s="12" t="s">
        <v>2029</v>
      </c>
      <c r="E38" s="12" t="s">
        <v>1939</v>
      </c>
      <c r="F38" s="12" t="s">
        <v>2030</v>
      </c>
      <c r="G38" s="12" t="s">
        <v>2031</v>
      </c>
    </row>
    <row r="39" customFormat="false" ht="15" hidden="false" customHeight="false" outlineLevel="0" collapsed="false">
      <c r="A39" s="12" t="s">
        <v>2032</v>
      </c>
      <c r="B39" s="12" t="s">
        <v>1091</v>
      </c>
      <c r="C39" s="12" t="s">
        <v>2033</v>
      </c>
      <c r="D39" s="12" t="s">
        <v>2034</v>
      </c>
      <c r="E39" s="12" t="s">
        <v>1939</v>
      </c>
      <c r="F39" s="12" t="s">
        <v>2035</v>
      </c>
      <c r="G39" s="12" t="s">
        <v>2036</v>
      </c>
    </row>
    <row r="40" customFormat="false" ht="23.85" hidden="false" customHeight="false" outlineLevel="0" collapsed="false">
      <c r="A40" s="12" t="s">
        <v>2037</v>
      </c>
      <c r="B40" s="12" t="s">
        <v>875</v>
      </c>
      <c r="C40" s="12" t="s">
        <v>2033</v>
      </c>
      <c r="D40" s="12" t="s">
        <v>2034</v>
      </c>
      <c r="E40" s="12" t="s">
        <v>2038</v>
      </c>
      <c r="F40" s="12" t="s">
        <v>2039</v>
      </c>
      <c r="G40" s="12" t="s">
        <v>2040</v>
      </c>
    </row>
    <row r="41" customFormat="false" ht="15" hidden="false" customHeight="false" outlineLevel="0" collapsed="false">
      <c r="A41" s="12" t="s">
        <v>383</v>
      </c>
      <c r="B41" s="12" t="s">
        <v>1003</v>
      </c>
      <c r="C41" s="12" t="s">
        <v>2041</v>
      </c>
      <c r="D41" s="12" t="s">
        <v>2042</v>
      </c>
      <c r="E41" s="12" t="s">
        <v>1932</v>
      </c>
      <c r="F41" s="12" t="s">
        <v>1936</v>
      </c>
      <c r="G41" s="12" t="s">
        <v>2043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56"/>
  </cols>
  <sheetData>
    <row r="1" customFormat="false" ht="17.35" hidden="false" customHeight="false" outlineLevel="0" collapsed="false">
      <c r="A1" s="1" t="s">
        <v>2044</v>
      </c>
    </row>
    <row r="2" customFormat="false" ht="15" hidden="false" customHeight="false" outlineLevel="0" collapsed="false">
      <c r="A2" s="2" t="s">
        <v>2045</v>
      </c>
    </row>
    <row r="4" customFormat="false" ht="15" hidden="false" customHeight="false" outlineLevel="0" collapsed="false">
      <c r="A4" s="11" t="s">
        <v>511</v>
      </c>
      <c r="B4" s="11" t="s">
        <v>431</v>
      </c>
      <c r="C4" s="11" t="s">
        <v>2046</v>
      </c>
      <c r="D4" s="11" t="s">
        <v>2047</v>
      </c>
      <c r="E4" s="11" t="s">
        <v>231</v>
      </c>
      <c r="F4" s="11" t="s">
        <v>433</v>
      </c>
    </row>
    <row r="5" customFormat="false" ht="15" hidden="false" customHeight="false" outlineLevel="0" collapsed="false">
      <c r="A5" s="12" t="s">
        <v>527</v>
      </c>
      <c r="B5" s="12" t="s">
        <v>2048</v>
      </c>
      <c r="C5" s="12" t="s">
        <v>267</v>
      </c>
      <c r="D5" s="12" t="s">
        <v>2049</v>
      </c>
      <c r="E5" s="12" t="s">
        <v>2050</v>
      </c>
      <c r="F5" s="12" t="s">
        <v>2051</v>
      </c>
    </row>
    <row r="6" customFormat="false" ht="15" hidden="false" customHeight="false" outlineLevel="0" collapsed="false">
      <c r="A6" s="12" t="s">
        <v>527</v>
      </c>
      <c r="B6" s="12" t="s">
        <v>2052</v>
      </c>
      <c r="C6" s="12" t="s">
        <v>296</v>
      </c>
      <c r="D6" s="12" t="s">
        <v>2053</v>
      </c>
      <c r="E6" s="12" t="s">
        <v>2050</v>
      </c>
      <c r="F6" s="12" t="s">
        <v>2054</v>
      </c>
    </row>
    <row r="7" customFormat="false" ht="15" hidden="false" customHeight="false" outlineLevel="0" collapsed="false">
      <c r="A7" s="12" t="s">
        <v>527</v>
      </c>
      <c r="B7" s="12" t="s">
        <v>2055</v>
      </c>
      <c r="C7" s="12" t="s">
        <v>267</v>
      </c>
      <c r="D7" s="12" t="s">
        <v>2056</v>
      </c>
      <c r="E7" s="12" t="s">
        <v>2050</v>
      </c>
      <c r="F7" s="12" t="s">
        <v>2057</v>
      </c>
    </row>
    <row r="8" customFormat="false" ht="15" hidden="false" customHeight="false" outlineLevel="0" collapsed="false">
      <c r="A8" s="12" t="s">
        <v>527</v>
      </c>
      <c r="B8" s="12" t="s">
        <v>1995</v>
      </c>
      <c r="C8" s="12" t="s">
        <v>267</v>
      </c>
      <c r="D8" s="12" t="s">
        <v>2058</v>
      </c>
      <c r="E8" s="12" t="s">
        <v>1995</v>
      </c>
      <c r="F8" s="12" t="s">
        <v>2059</v>
      </c>
    </row>
    <row r="9" customFormat="false" ht="15" hidden="false" customHeight="false" outlineLevel="0" collapsed="false">
      <c r="A9" s="12" t="s">
        <v>538</v>
      </c>
      <c r="B9" s="12" t="s">
        <v>2060</v>
      </c>
      <c r="C9" s="12" t="s">
        <v>296</v>
      </c>
      <c r="D9" s="12" t="s">
        <v>2061</v>
      </c>
      <c r="E9" s="12" t="s">
        <v>2050</v>
      </c>
      <c r="F9" s="12" t="s">
        <v>2062</v>
      </c>
    </row>
    <row r="10" customFormat="false" ht="23.85" hidden="false" customHeight="false" outlineLevel="0" collapsed="false">
      <c r="A10" s="12" t="s">
        <v>538</v>
      </c>
      <c r="B10" s="12" t="s">
        <v>2063</v>
      </c>
      <c r="C10" s="12" t="s">
        <v>2064</v>
      </c>
      <c r="D10" s="12" t="s">
        <v>2065</v>
      </c>
      <c r="E10" s="12" t="s">
        <v>2066</v>
      </c>
      <c r="F10" s="12" t="s">
        <v>2067</v>
      </c>
    </row>
    <row r="11" customFormat="false" ht="15" hidden="false" customHeight="false" outlineLevel="0" collapsed="false">
      <c r="A11" s="12" t="s">
        <v>538</v>
      </c>
      <c r="B11" s="12" t="s">
        <v>2055</v>
      </c>
      <c r="C11" s="12" t="s">
        <v>296</v>
      </c>
      <c r="D11" s="12" t="s">
        <v>2068</v>
      </c>
      <c r="E11" s="12" t="s">
        <v>2050</v>
      </c>
      <c r="F11" s="12" t="s">
        <v>2069</v>
      </c>
    </row>
    <row r="12" customFormat="false" ht="15" hidden="false" customHeight="false" outlineLevel="0" collapsed="false">
      <c r="A12" s="12" t="s">
        <v>538</v>
      </c>
      <c r="B12" s="12" t="s">
        <v>1995</v>
      </c>
      <c r="C12" s="12" t="s">
        <v>296</v>
      </c>
      <c r="D12" s="12" t="s">
        <v>2070</v>
      </c>
      <c r="E12" s="12" t="s">
        <v>1995</v>
      </c>
      <c r="F12" s="12" t="s">
        <v>2071</v>
      </c>
    </row>
    <row r="13" customFormat="false" ht="15" hidden="false" customHeight="false" outlineLevel="0" collapsed="false">
      <c r="A13" s="12" t="s">
        <v>547</v>
      </c>
      <c r="B13" s="12" t="s">
        <v>2060</v>
      </c>
      <c r="C13" s="12" t="s">
        <v>2072</v>
      </c>
      <c r="D13" s="12" t="s">
        <v>2073</v>
      </c>
      <c r="E13" s="12" t="s">
        <v>2074</v>
      </c>
      <c r="F13" s="12" t="s">
        <v>2075</v>
      </c>
    </row>
    <row r="14" customFormat="false" ht="15" hidden="false" customHeight="false" outlineLevel="0" collapsed="false">
      <c r="A14" s="12" t="s">
        <v>547</v>
      </c>
      <c r="B14" s="12" t="s">
        <v>2052</v>
      </c>
      <c r="C14" s="12" t="s">
        <v>2076</v>
      </c>
      <c r="D14" s="12" t="s">
        <v>2077</v>
      </c>
      <c r="E14" s="12" t="s">
        <v>2078</v>
      </c>
      <c r="F14" s="12" t="s">
        <v>2079</v>
      </c>
    </row>
    <row r="15" customFormat="false" ht="15" hidden="false" customHeight="false" outlineLevel="0" collapsed="false">
      <c r="A15" s="12" t="s">
        <v>547</v>
      </c>
      <c r="B15" s="12" t="s">
        <v>2055</v>
      </c>
      <c r="C15" s="12" t="s">
        <v>2080</v>
      </c>
      <c r="D15" s="12" t="s">
        <v>2081</v>
      </c>
      <c r="E15" s="12" t="s">
        <v>2074</v>
      </c>
      <c r="F15" s="12" t="s">
        <v>2082</v>
      </c>
    </row>
    <row r="16" customFormat="false" ht="15" hidden="false" customHeight="false" outlineLevel="0" collapsed="false">
      <c r="A16" s="12" t="s">
        <v>556</v>
      </c>
      <c r="B16" s="12" t="s">
        <v>2060</v>
      </c>
      <c r="C16" s="12" t="s">
        <v>370</v>
      </c>
      <c r="D16" s="12" t="s">
        <v>2083</v>
      </c>
      <c r="E16" s="12" t="s">
        <v>2084</v>
      </c>
      <c r="F16" s="12" t="s">
        <v>2085</v>
      </c>
    </row>
    <row r="17" customFormat="false" ht="23.85" hidden="false" customHeight="false" outlineLevel="0" collapsed="false">
      <c r="A17" s="12" t="s">
        <v>556</v>
      </c>
      <c r="B17" s="12" t="s">
        <v>2063</v>
      </c>
      <c r="C17" s="12" t="s">
        <v>2086</v>
      </c>
      <c r="D17" s="12" t="s">
        <v>2087</v>
      </c>
      <c r="E17" s="12" t="s">
        <v>2088</v>
      </c>
      <c r="F17" s="12" t="s">
        <v>2089</v>
      </c>
    </row>
    <row r="18" customFormat="false" ht="15" hidden="false" customHeight="false" outlineLevel="0" collapsed="false">
      <c r="A18" s="12" t="s">
        <v>556</v>
      </c>
      <c r="B18" s="12" t="s">
        <v>2090</v>
      </c>
      <c r="C18" s="12" t="s">
        <v>2091</v>
      </c>
      <c r="D18" s="12" t="s">
        <v>2092</v>
      </c>
      <c r="E18" s="12" t="s">
        <v>2093</v>
      </c>
      <c r="F18" s="12" t="s">
        <v>2094</v>
      </c>
    </row>
    <row r="19" customFormat="false" ht="15" hidden="false" customHeight="false" outlineLevel="0" collapsed="false">
      <c r="A19" s="12" t="s">
        <v>556</v>
      </c>
      <c r="B19" s="12" t="s">
        <v>1995</v>
      </c>
      <c r="C19" s="12" t="s">
        <v>370</v>
      </c>
      <c r="D19" s="12" t="s">
        <v>2095</v>
      </c>
      <c r="E19" s="12" t="s">
        <v>1995</v>
      </c>
      <c r="F19" s="12" t="s">
        <v>202</v>
      </c>
    </row>
    <row r="20" customFormat="false" ht="15" hidden="false" customHeight="false" outlineLevel="0" collapsed="false">
      <c r="A20" s="12" t="s">
        <v>566</v>
      </c>
      <c r="B20" s="12" t="s">
        <v>2096</v>
      </c>
      <c r="C20" s="12" t="s">
        <v>248</v>
      </c>
      <c r="D20" s="12" t="s">
        <v>2053</v>
      </c>
      <c r="E20" s="12" t="s">
        <v>2050</v>
      </c>
      <c r="F20" s="12" t="s">
        <v>2097</v>
      </c>
    </row>
    <row r="21" customFormat="false" ht="15" hidden="false" customHeight="false" outlineLevel="0" collapsed="false">
      <c r="A21" s="12" t="s">
        <v>566</v>
      </c>
      <c r="B21" s="12" t="s">
        <v>2055</v>
      </c>
      <c r="C21" s="12" t="s">
        <v>248</v>
      </c>
      <c r="D21" s="12" t="s">
        <v>2098</v>
      </c>
      <c r="E21" s="12" t="s">
        <v>2050</v>
      </c>
      <c r="F21" s="12" t="s">
        <v>2099</v>
      </c>
    </row>
    <row r="22" customFormat="false" ht="15" hidden="false" customHeight="false" outlineLevel="0" collapsed="false">
      <c r="A22" s="12" t="s">
        <v>574</v>
      </c>
      <c r="B22" s="12" t="s">
        <v>2052</v>
      </c>
      <c r="C22" s="12" t="s">
        <v>2100</v>
      </c>
      <c r="D22" s="12" t="s">
        <v>2101</v>
      </c>
      <c r="E22" s="12" t="s">
        <v>2078</v>
      </c>
      <c r="F22" s="12" t="s">
        <v>2102</v>
      </c>
    </row>
    <row r="23" customFormat="false" ht="15" hidden="false" customHeight="false" outlineLevel="0" collapsed="false">
      <c r="A23" s="12" t="s">
        <v>574</v>
      </c>
      <c r="B23" s="12" t="s">
        <v>2103</v>
      </c>
      <c r="C23" s="12" t="s">
        <v>296</v>
      </c>
      <c r="D23" s="12" t="s">
        <v>2053</v>
      </c>
      <c r="E23" s="12" t="s">
        <v>2050</v>
      </c>
      <c r="F23" s="12" t="s">
        <v>2104</v>
      </c>
    </row>
    <row r="24" customFormat="false" ht="15" hidden="false" customHeight="false" outlineLevel="0" collapsed="false">
      <c r="A24" s="12" t="s">
        <v>574</v>
      </c>
      <c r="B24" s="12" t="s">
        <v>436</v>
      </c>
      <c r="C24" s="12" t="s">
        <v>132</v>
      </c>
      <c r="D24" s="12" t="s">
        <v>2105</v>
      </c>
      <c r="E24" s="12" t="s">
        <v>2106</v>
      </c>
      <c r="F24" s="12" t="s">
        <v>2107</v>
      </c>
    </row>
    <row r="25" customFormat="false" ht="15" hidden="false" customHeight="false" outlineLevel="0" collapsed="false">
      <c r="A25" s="12" t="s">
        <v>585</v>
      </c>
      <c r="B25" s="12" t="s">
        <v>2108</v>
      </c>
      <c r="C25" s="12" t="s">
        <v>2109</v>
      </c>
      <c r="D25" s="12" t="s">
        <v>2110</v>
      </c>
      <c r="E25" s="12" t="s">
        <v>2033</v>
      </c>
      <c r="F25" s="12" t="s">
        <v>2111</v>
      </c>
    </row>
    <row r="26" customFormat="false" ht="15" hidden="false" customHeight="false" outlineLevel="0" collapsed="false">
      <c r="A26" s="12" t="s">
        <v>585</v>
      </c>
      <c r="B26" s="12" t="s">
        <v>436</v>
      </c>
      <c r="C26" s="12" t="s">
        <v>132</v>
      </c>
      <c r="D26" s="12" t="s">
        <v>2105</v>
      </c>
      <c r="E26" s="12" t="s">
        <v>2106</v>
      </c>
      <c r="F26" s="12" t="s">
        <v>2112</v>
      </c>
    </row>
    <row r="27" customFormat="false" ht="15" hidden="false" customHeight="false" outlineLevel="0" collapsed="false">
      <c r="A27" s="12" t="s">
        <v>592</v>
      </c>
      <c r="B27" s="12" t="s">
        <v>2060</v>
      </c>
      <c r="C27" s="12" t="s">
        <v>370</v>
      </c>
      <c r="D27" s="12" t="s">
        <v>2068</v>
      </c>
      <c r="E27" s="12" t="s">
        <v>2084</v>
      </c>
      <c r="F27" s="12" t="s">
        <v>2113</v>
      </c>
    </row>
    <row r="28" customFormat="false" ht="23.85" hidden="false" customHeight="false" outlineLevel="0" collapsed="false">
      <c r="A28" s="12" t="s">
        <v>592</v>
      </c>
      <c r="B28" s="12" t="s">
        <v>2052</v>
      </c>
      <c r="C28" s="12" t="s">
        <v>2114</v>
      </c>
      <c r="D28" s="12" t="s">
        <v>2115</v>
      </c>
      <c r="E28" s="12" t="s">
        <v>2116</v>
      </c>
      <c r="F28" s="12" t="s">
        <v>2117</v>
      </c>
    </row>
    <row r="29" customFormat="false" ht="15" hidden="false" customHeight="false" outlineLevel="0" collapsed="false">
      <c r="A29" s="12" t="s">
        <v>600</v>
      </c>
      <c r="B29" s="12" t="s">
        <v>2060</v>
      </c>
      <c r="C29" s="12" t="s">
        <v>2118</v>
      </c>
      <c r="D29" s="12" t="s">
        <v>2119</v>
      </c>
      <c r="E29" s="12" t="s">
        <v>2084</v>
      </c>
      <c r="F29" s="12" t="s">
        <v>2120</v>
      </c>
    </row>
    <row r="30" customFormat="false" ht="15" hidden="false" customHeight="false" outlineLevel="0" collapsed="false">
      <c r="A30" s="12" t="s">
        <v>600</v>
      </c>
      <c r="B30" s="12" t="s">
        <v>2052</v>
      </c>
      <c r="C30" s="12" t="s">
        <v>2118</v>
      </c>
      <c r="D30" s="12" t="s">
        <v>2121</v>
      </c>
      <c r="E30" s="12" t="s">
        <v>2033</v>
      </c>
      <c r="F30" s="12" t="s">
        <v>2122</v>
      </c>
    </row>
    <row r="31" customFormat="false" ht="15" hidden="false" customHeight="false" outlineLevel="0" collapsed="false">
      <c r="A31" s="12" t="s">
        <v>600</v>
      </c>
      <c r="B31" s="12" t="s">
        <v>2055</v>
      </c>
      <c r="C31" s="12" t="s">
        <v>2123</v>
      </c>
      <c r="D31" s="12" t="s">
        <v>2124</v>
      </c>
      <c r="E31" s="12" t="s">
        <v>2093</v>
      </c>
      <c r="F31" s="12" t="s">
        <v>2125</v>
      </c>
    </row>
    <row r="32" customFormat="false" ht="15" hidden="false" customHeight="false" outlineLevel="0" collapsed="false">
      <c r="A32" s="12" t="s">
        <v>608</v>
      </c>
      <c r="B32" s="12" t="s">
        <v>2060</v>
      </c>
      <c r="C32" s="12" t="s">
        <v>341</v>
      </c>
      <c r="D32" s="12" t="s">
        <v>2126</v>
      </c>
      <c r="E32" s="12" t="s">
        <v>2050</v>
      </c>
      <c r="F32" s="12" t="s">
        <v>2127</v>
      </c>
    </row>
    <row r="33" customFormat="false" ht="15" hidden="false" customHeight="false" outlineLevel="0" collapsed="false">
      <c r="A33" s="12" t="s">
        <v>608</v>
      </c>
      <c r="B33" s="12" t="s">
        <v>2055</v>
      </c>
      <c r="C33" s="12" t="s">
        <v>2128</v>
      </c>
      <c r="D33" s="12" t="s">
        <v>2124</v>
      </c>
      <c r="E33" s="12" t="s">
        <v>2093</v>
      </c>
      <c r="F33" s="12" t="s">
        <v>202</v>
      </c>
    </row>
    <row r="34" customFormat="false" ht="15" hidden="false" customHeight="false" outlineLevel="0" collapsed="false">
      <c r="A34" s="12" t="s">
        <v>616</v>
      </c>
      <c r="B34" s="12" t="s">
        <v>2060</v>
      </c>
      <c r="C34" s="12" t="s">
        <v>370</v>
      </c>
      <c r="D34" s="12" t="s">
        <v>2129</v>
      </c>
      <c r="E34" s="12" t="s">
        <v>2084</v>
      </c>
      <c r="F34" s="12" t="s">
        <v>2130</v>
      </c>
    </row>
    <row r="35" customFormat="false" ht="15" hidden="false" customHeight="false" outlineLevel="0" collapsed="false">
      <c r="A35" s="12" t="s">
        <v>616</v>
      </c>
      <c r="B35" s="12" t="s">
        <v>2052</v>
      </c>
      <c r="C35" s="12" t="s">
        <v>2131</v>
      </c>
      <c r="D35" s="12" t="s">
        <v>2132</v>
      </c>
      <c r="E35" s="12" t="s">
        <v>2088</v>
      </c>
      <c r="F35" s="12" t="s">
        <v>202</v>
      </c>
    </row>
    <row r="36" customFormat="false" ht="15" hidden="false" customHeight="false" outlineLevel="0" collapsed="false">
      <c r="A36" s="12" t="s">
        <v>616</v>
      </c>
      <c r="B36" s="12" t="s">
        <v>2133</v>
      </c>
      <c r="C36" s="12" t="s">
        <v>2134</v>
      </c>
      <c r="D36" s="12" t="s">
        <v>2135</v>
      </c>
      <c r="E36" s="12" t="s">
        <v>2136</v>
      </c>
      <c r="F36" s="12" t="s">
        <v>2137</v>
      </c>
    </row>
    <row r="37" customFormat="false" ht="15" hidden="false" customHeight="false" outlineLevel="0" collapsed="false">
      <c r="A37" s="12" t="s">
        <v>626</v>
      </c>
      <c r="B37" s="12" t="s">
        <v>2060</v>
      </c>
      <c r="C37" s="12" t="s">
        <v>2138</v>
      </c>
      <c r="D37" s="12" t="s">
        <v>2139</v>
      </c>
      <c r="E37" s="12" t="s">
        <v>2140</v>
      </c>
      <c r="F37" s="12" t="s">
        <v>2020</v>
      </c>
    </row>
    <row r="38" customFormat="false" ht="15" hidden="false" customHeight="false" outlineLevel="0" collapsed="false">
      <c r="A38" s="12" t="s">
        <v>626</v>
      </c>
      <c r="B38" s="12" t="s">
        <v>2060</v>
      </c>
      <c r="C38" s="12" t="s">
        <v>2141</v>
      </c>
      <c r="D38" s="12" t="s">
        <v>2115</v>
      </c>
      <c r="E38" s="12" t="s">
        <v>2116</v>
      </c>
      <c r="F38" s="12" t="s">
        <v>2142</v>
      </c>
    </row>
    <row r="39" customFormat="false" ht="15" hidden="false" customHeight="false" outlineLevel="0" collapsed="false">
      <c r="A39" s="12" t="s">
        <v>626</v>
      </c>
      <c r="B39" s="12" t="s">
        <v>2055</v>
      </c>
      <c r="C39" s="12" t="s">
        <v>2143</v>
      </c>
      <c r="D39" s="12" t="s">
        <v>2144</v>
      </c>
      <c r="E39" s="12" t="s">
        <v>2140</v>
      </c>
      <c r="F39" s="12" t="s">
        <v>2145</v>
      </c>
    </row>
    <row r="40" customFormat="false" ht="15" hidden="false" customHeight="false" outlineLevel="0" collapsed="false">
      <c r="A40" s="12" t="s">
        <v>635</v>
      </c>
      <c r="B40" s="12" t="s">
        <v>2060</v>
      </c>
      <c r="C40" s="12" t="s">
        <v>2146</v>
      </c>
      <c r="D40" s="12" t="s">
        <v>2147</v>
      </c>
      <c r="E40" s="12" t="s">
        <v>2148</v>
      </c>
      <c r="F40" s="12" t="s">
        <v>2149</v>
      </c>
    </row>
    <row r="41" customFormat="false" ht="15" hidden="false" customHeight="false" outlineLevel="0" collapsed="false">
      <c r="A41" s="12" t="s">
        <v>635</v>
      </c>
      <c r="B41" s="12" t="s">
        <v>2052</v>
      </c>
      <c r="C41" s="12" t="s">
        <v>2146</v>
      </c>
      <c r="D41" s="12" t="s">
        <v>2150</v>
      </c>
      <c r="E41" s="12" t="s">
        <v>2033</v>
      </c>
      <c r="F41" s="12" t="s">
        <v>2151</v>
      </c>
    </row>
    <row r="42" customFormat="false" ht="15" hidden="false" customHeight="false" outlineLevel="0" collapsed="false">
      <c r="A42" s="12" t="s">
        <v>635</v>
      </c>
      <c r="B42" s="12" t="s">
        <v>2055</v>
      </c>
      <c r="C42" s="12" t="s">
        <v>2146</v>
      </c>
      <c r="D42" s="12" t="s">
        <v>2152</v>
      </c>
      <c r="E42" s="12" t="s">
        <v>2148</v>
      </c>
      <c r="F42" s="12" t="s">
        <v>2153</v>
      </c>
    </row>
    <row r="43" customFormat="false" ht="15" hidden="false" customHeight="false" outlineLevel="0" collapsed="false">
      <c r="A43" s="12" t="s">
        <v>643</v>
      </c>
      <c r="B43" s="12" t="s">
        <v>2048</v>
      </c>
      <c r="C43" s="12" t="s">
        <v>138</v>
      </c>
      <c r="D43" s="12" t="s">
        <v>2154</v>
      </c>
      <c r="E43" s="12" t="s">
        <v>2155</v>
      </c>
      <c r="F43" s="12" t="s">
        <v>2156</v>
      </c>
    </row>
    <row r="44" customFormat="false" ht="15" hidden="false" customHeight="false" outlineLevel="0" collapsed="false">
      <c r="A44" s="12" t="s">
        <v>643</v>
      </c>
      <c r="B44" s="12" t="s">
        <v>2052</v>
      </c>
      <c r="C44" s="12" t="s">
        <v>138</v>
      </c>
      <c r="D44" s="12" t="s">
        <v>2157</v>
      </c>
      <c r="E44" s="12" t="s">
        <v>2033</v>
      </c>
      <c r="F44" s="12" t="s">
        <v>2158</v>
      </c>
    </row>
    <row r="45" customFormat="false" ht="23.85" hidden="false" customHeight="false" outlineLevel="0" collapsed="false">
      <c r="A45" s="12" t="s">
        <v>643</v>
      </c>
      <c r="B45" s="12" t="s">
        <v>2055</v>
      </c>
      <c r="C45" s="12" t="s">
        <v>2159</v>
      </c>
      <c r="D45" s="12" t="s">
        <v>2160</v>
      </c>
      <c r="E45" s="12" t="s">
        <v>2161</v>
      </c>
      <c r="F45" s="12" t="s">
        <v>2162</v>
      </c>
    </row>
    <row r="46" customFormat="false" ht="15" hidden="false" customHeight="false" outlineLevel="0" collapsed="false">
      <c r="A46" s="12" t="s">
        <v>653</v>
      </c>
      <c r="B46" s="12" t="s">
        <v>2163</v>
      </c>
      <c r="C46" s="12" t="s">
        <v>138</v>
      </c>
      <c r="D46" s="12" t="s">
        <v>2154</v>
      </c>
      <c r="E46" s="12" t="s">
        <v>2155</v>
      </c>
      <c r="F46" s="12" t="s">
        <v>202</v>
      </c>
    </row>
    <row r="47" customFormat="false" ht="15" hidden="false" customHeight="false" outlineLevel="0" collapsed="false">
      <c r="A47" s="12" t="s">
        <v>653</v>
      </c>
      <c r="B47" s="12" t="s">
        <v>2164</v>
      </c>
      <c r="C47" s="12" t="s">
        <v>138</v>
      </c>
      <c r="D47" s="12" t="s">
        <v>2165</v>
      </c>
      <c r="E47" s="12" t="s">
        <v>2033</v>
      </c>
      <c r="F47" s="12" t="s">
        <v>2166</v>
      </c>
    </row>
    <row r="48" customFormat="false" ht="15" hidden="false" customHeight="false" outlineLevel="0" collapsed="false">
      <c r="A48" s="12" t="s">
        <v>653</v>
      </c>
      <c r="B48" s="12" t="s">
        <v>2167</v>
      </c>
      <c r="C48" s="12" t="s">
        <v>138</v>
      </c>
      <c r="D48" s="12" t="s">
        <v>2168</v>
      </c>
      <c r="E48" s="12" t="s">
        <v>2155</v>
      </c>
      <c r="F48" s="12" t="s">
        <v>202</v>
      </c>
    </row>
    <row r="49" customFormat="false" ht="15" hidden="false" customHeight="false" outlineLevel="0" collapsed="false">
      <c r="A49" s="12" t="s">
        <v>661</v>
      </c>
      <c r="B49" s="12" t="s">
        <v>2169</v>
      </c>
      <c r="C49" s="12" t="s">
        <v>2170</v>
      </c>
      <c r="D49" s="12" t="s">
        <v>2171</v>
      </c>
      <c r="E49" s="12" t="s">
        <v>2172</v>
      </c>
      <c r="F49" s="12" t="s">
        <v>2173</v>
      </c>
    </row>
    <row r="50" customFormat="false" ht="15" hidden="false" customHeight="false" outlineLevel="0" collapsed="false">
      <c r="A50" s="12" t="s">
        <v>661</v>
      </c>
      <c r="B50" s="12" t="s">
        <v>2174</v>
      </c>
      <c r="C50" s="12" t="s">
        <v>203</v>
      </c>
      <c r="D50" s="12" t="s">
        <v>2175</v>
      </c>
      <c r="E50" s="12" t="s">
        <v>2172</v>
      </c>
      <c r="F50" s="12" t="s">
        <v>2176</v>
      </c>
    </row>
    <row r="51" customFormat="false" ht="15" hidden="false" customHeight="false" outlineLevel="0" collapsed="false">
      <c r="A51" s="12" t="s">
        <v>661</v>
      </c>
      <c r="B51" s="12" t="s">
        <v>2177</v>
      </c>
      <c r="C51" s="12" t="s">
        <v>2178</v>
      </c>
      <c r="D51" s="12" t="s">
        <v>2179</v>
      </c>
      <c r="E51" s="12" t="s">
        <v>2172</v>
      </c>
      <c r="F51" s="12" t="s">
        <v>2180</v>
      </c>
    </row>
    <row r="52" customFormat="false" ht="23.85" hidden="false" customHeight="false" outlineLevel="0" collapsed="false">
      <c r="A52" s="12" t="s">
        <v>671</v>
      </c>
      <c r="B52" s="12" t="s">
        <v>2181</v>
      </c>
      <c r="C52" s="12" t="s">
        <v>2182</v>
      </c>
      <c r="D52" s="12" t="s">
        <v>2183</v>
      </c>
      <c r="E52" s="12" t="s">
        <v>2184</v>
      </c>
      <c r="F52" s="12" t="s">
        <v>202</v>
      </c>
    </row>
    <row r="53" customFormat="false" ht="23.85" hidden="false" customHeight="false" outlineLevel="0" collapsed="false">
      <c r="A53" s="12" t="s">
        <v>671</v>
      </c>
      <c r="B53" s="12" t="s">
        <v>2185</v>
      </c>
      <c r="C53" s="12" t="s">
        <v>2182</v>
      </c>
      <c r="D53" s="12" t="s">
        <v>2186</v>
      </c>
      <c r="E53" s="12" t="s">
        <v>2184</v>
      </c>
      <c r="F53" s="12" t="s">
        <v>202</v>
      </c>
    </row>
    <row r="54" customFormat="false" ht="23.85" hidden="false" customHeight="false" outlineLevel="0" collapsed="false">
      <c r="A54" s="12" t="s">
        <v>2187</v>
      </c>
      <c r="B54" s="12" t="s">
        <v>436</v>
      </c>
      <c r="C54" s="12" t="s">
        <v>140</v>
      </c>
      <c r="D54" s="12" t="s">
        <v>2188</v>
      </c>
      <c r="E54" s="12" t="s">
        <v>411</v>
      </c>
      <c r="F54" s="12" t="s">
        <v>2189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2190</v>
      </c>
    </row>
    <row r="2" customFormat="false" ht="15" hidden="false" customHeight="false" outlineLevel="0" collapsed="false">
      <c r="A2" s="2" t="s">
        <v>2191</v>
      </c>
    </row>
    <row r="4" customFormat="false" ht="15" hidden="false" customHeight="false" outlineLevel="0" collapsed="false">
      <c r="A4" s="3" t="s">
        <v>2192</v>
      </c>
      <c r="B4" s="4"/>
    </row>
    <row r="5" customFormat="false" ht="46.25" hidden="false" customHeight="false" outlineLevel="0" collapsed="false">
      <c r="A5" s="5" t="s">
        <v>2193</v>
      </c>
      <c r="B5" s="6" t="s">
        <v>2194</v>
      </c>
    </row>
    <row r="6" customFormat="false" ht="23.85" hidden="false" customHeight="false" outlineLevel="0" collapsed="false">
      <c r="A6" s="5" t="s">
        <v>2195</v>
      </c>
      <c r="B6" s="6" t="s">
        <v>2196</v>
      </c>
    </row>
    <row r="7" customFormat="false" ht="35.05" hidden="false" customHeight="false" outlineLevel="0" collapsed="false">
      <c r="A7" s="5" t="s">
        <v>50</v>
      </c>
      <c r="B7" s="6" t="s">
        <v>2197</v>
      </c>
    </row>
    <row r="8" customFormat="false" ht="35.05" hidden="false" customHeight="false" outlineLevel="0" collapsed="false">
      <c r="A8" s="5" t="s">
        <v>2198</v>
      </c>
      <c r="B8" s="6" t="s">
        <v>2199</v>
      </c>
    </row>
    <row r="9" customFormat="false" ht="23.85" hidden="false" customHeight="false" outlineLevel="0" collapsed="false">
      <c r="A9" s="5" t="s">
        <v>2200</v>
      </c>
      <c r="B9" s="6" t="s">
        <v>2201</v>
      </c>
    </row>
    <row r="10" customFormat="false" ht="35.05" hidden="false" customHeight="false" outlineLevel="0" collapsed="false">
      <c r="A10" s="5" t="s">
        <v>2202</v>
      </c>
      <c r="B10" s="6" t="s">
        <v>2203</v>
      </c>
    </row>
    <row r="12" customFormat="false" ht="15" hidden="false" customHeight="false" outlineLevel="0" collapsed="false">
      <c r="A12" s="11" t="s">
        <v>511</v>
      </c>
      <c r="B12" s="11" t="s">
        <v>2204</v>
      </c>
      <c r="C12" s="11" t="s">
        <v>2205</v>
      </c>
      <c r="D12" s="11" t="s">
        <v>2206</v>
      </c>
      <c r="E12" s="11" t="s">
        <v>2207</v>
      </c>
      <c r="F12" s="11" t="s">
        <v>2208</v>
      </c>
      <c r="G12" s="11" t="s">
        <v>2209</v>
      </c>
    </row>
    <row r="13" customFormat="false" ht="23.85" hidden="false" customHeight="false" outlineLevel="0" collapsed="false">
      <c r="A13" s="12" t="s">
        <v>527</v>
      </c>
      <c r="B13" s="12" t="s">
        <v>2210</v>
      </c>
      <c r="C13" s="12" t="s">
        <v>2211</v>
      </c>
      <c r="D13" s="12" t="s">
        <v>2212</v>
      </c>
      <c r="E13" s="12" t="s">
        <v>2213</v>
      </c>
      <c r="F13" s="12" t="s">
        <v>2214</v>
      </c>
      <c r="G13" s="12" t="s">
        <v>2215</v>
      </c>
    </row>
    <row r="14" customFormat="false" ht="23.85" hidden="false" customHeight="false" outlineLevel="0" collapsed="false">
      <c r="A14" s="12" t="s">
        <v>538</v>
      </c>
      <c r="B14" s="12" t="s">
        <v>2216</v>
      </c>
      <c r="C14" s="12" t="s">
        <v>2217</v>
      </c>
      <c r="D14" s="12" t="s">
        <v>2218</v>
      </c>
      <c r="E14" s="12" t="s">
        <v>2219</v>
      </c>
      <c r="F14" s="12" t="s">
        <v>2220</v>
      </c>
      <c r="G14" s="12" t="s">
        <v>2221</v>
      </c>
    </row>
    <row r="15" customFormat="false" ht="23.85" hidden="false" customHeight="false" outlineLevel="0" collapsed="false">
      <c r="A15" s="12" t="s">
        <v>547</v>
      </c>
      <c r="B15" s="12" t="s">
        <v>2222</v>
      </c>
      <c r="C15" s="12" t="s">
        <v>2223</v>
      </c>
      <c r="D15" s="12" t="s">
        <v>2224</v>
      </c>
      <c r="E15" s="12" t="s">
        <v>2225</v>
      </c>
      <c r="F15" s="12" t="s">
        <v>2226</v>
      </c>
      <c r="G15" s="12" t="s">
        <v>2227</v>
      </c>
    </row>
    <row r="16" customFormat="false" ht="23.85" hidden="false" customHeight="false" outlineLevel="0" collapsed="false">
      <c r="A16" s="12" t="s">
        <v>556</v>
      </c>
      <c r="B16" s="12" t="s">
        <v>2228</v>
      </c>
      <c r="C16" s="12" t="s">
        <v>2229</v>
      </c>
      <c r="D16" s="12" t="s">
        <v>2230</v>
      </c>
      <c r="E16" s="12" t="s">
        <v>2231</v>
      </c>
      <c r="F16" s="12" t="s">
        <v>2232</v>
      </c>
      <c r="G16" s="12" t="s">
        <v>2233</v>
      </c>
    </row>
    <row r="17" customFormat="false" ht="23.85" hidden="false" customHeight="false" outlineLevel="0" collapsed="false">
      <c r="A17" s="12" t="s">
        <v>566</v>
      </c>
      <c r="B17" s="12" t="s">
        <v>2234</v>
      </c>
      <c r="C17" s="12" t="s">
        <v>2235</v>
      </c>
      <c r="D17" s="12" t="s">
        <v>2236</v>
      </c>
      <c r="E17" s="12" t="s">
        <v>2237</v>
      </c>
      <c r="F17" s="12" t="s">
        <v>202</v>
      </c>
      <c r="G17" s="12" t="s">
        <v>2238</v>
      </c>
    </row>
    <row r="18" customFormat="false" ht="23.85" hidden="false" customHeight="false" outlineLevel="0" collapsed="false">
      <c r="A18" s="12" t="s">
        <v>574</v>
      </c>
      <c r="B18" s="12" t="s">
        <v>2239</v>
      </c>
      <c r="C18" s="12" t="s">
        <v>202</v>
      </c>
      <c r="D18" s="12" t="s">
        <v>202</v>
      </c>
      <c r="E18" s="12" t="s">
        <v>202</v>
      </c>
      <c r="F18" s="12" t="s">
        <v>202</v>
      </c>
      <c r="G18" s="12" t="s">
        <v>2240</v>
      </c>
    </row>
    <row r="19" customFormat="false" ht="23.85" hidden="false" customHeight="false" outlineLevel="0" collapsed="false">
      <c r="A19" s="12" t="s">
        <v>585</v>
      </c>
      <c r="B19" s="12" t="s">
        <v>2239</v>
      </c>
      <c r="C19" s="12" t="s">
        <v>202</v>
      </c>
      <c r="D19" s="12" t="s">
        <v>202</v>
      </c>
      <c r="E19" s="12" t="s">
        <v>202</v>
      </c>
      <c r="F19" s="12" t="s">
        <v>202</v>
      </c>
      <c r="G19" s="12" t="s">
        <v>2241</v>
      </c>
    </row>
    <row r="20" customFormat="false" ht="23.85" hidden="false" customHeight="false" outlineLevel="0" collapsed="false">
      <c r="A20" s="12" t="s">
        <v>592</v>
      </c>
      <c r="B20" s="12" t="s">
        <v>2242</v>
      </c>
      <c r="C20" s="12" t="s">
        <v>2243</v>
      </c>
      <c r="D20" s="12" t="s">
        <v>2244</v>
      </c>
      <c r="E20" s="12" t="s">
        <v>2245</v>
      </c>
      <c r="F20" s="12" t="s">
        <v>202</v>
      </c>
      <c r="G20" s="12" t="s">
        <v>2246</v>
      </c>
    </row>
    <row r="21" customFormat="false" ht="23.85" hidden="false" customHeight="false" outlineLevel="0" collapsed="false">
      <c r="A21" s="12" t="s">
        <v>600</v>
      </c>
      <c r="B21" s="12" t="s">
        <v>2247</v>
      </c>
      <c r="C21" s="12" t="s">
        <v>2248</v>
      </c>
      <c r="D21" s="12" t="s">
        <v>2249</v>
      </c>
      <c r="E21" s="12" t="s">
        <v>2250</v>
      </c>
      <c r="F21" s="12" t="s">
        <v>202</v>
      </c>
      <c r="G21" s="12" t="s">
        <v>2251</v>
      </c>
    </row>
    <row r="22" customFormat="false" ht="15" hidden="false" customHeight="false" outlineLevel="0" collapsed="false">
      <c r="A22" s="12" t="s">
        <v>608</v>
      </c>
      <c r="B22" s="12" t="s">
        <v>2252</v>
      </c>
      <c r="C22" s="12" t="s">
        <v>2253</v>
      </c>
      <c r="D22" s="12" t="s">
        <v>2254</v>
      </c>
      <c r="E22" s="12" t="s">
        <v>2255</v>
      </c>
      <c r="F22" s="12" t="s">
        <v>202</v>
      </c>
      <c r="G22" s="12" t="s">
        <v>2256</v>
      </c>
    </row>
    <row r="23" customFormat="false" ht="23.85" hidden="false" customHeight="false" outlineLevel="0" collapsed="false">
      <c r="A23" s="12" t="s">
        <v>616</v>
      </c>
      <c r="B23" s="12" t="s">
        <v>2257</v>
      </c>
      <c r="C23" s="12" t="s">
        <v>2258</v>
      </c>
      <c r="D23" s="12" t="s">
        <v>2259</v>
      </c>
      <c r="E23" s="12" t="s">
        <v>2260</v>
      </c>
      <c r="F23" s="12" t="s">
        <v>2261</v>
      </c>
      <c r="G23" s="12" t="s">
        <v>2262</v>
      </c>
    </row>
    <row r="24" customFormat="false" ht="23.85" hidden="false" customHeight="false" outlineLevel="0" collapsed="false">
      <c r="A24" s="12" t="s">
        <v>626</v>
      </c>
      <c r="B24" s="12" t="s">
        <v>2263</v>
      </c>
      <c r="C24" s="12" t="s">
        <v>2264</v>
      </c>
      <c r="D24" s="12" t="s">
        <v>2265</v>
      </c>
      <c r="E24" s="12" t="s">
        <v>2266</v>
      </c>
      <c r="F24" s="12" t="s">
        <v>202</v>
      </c>
      <c r="G24" s="12" t="s">
        <v>2267</v>
      </c>
    </row>
    <row r="25" customFormat="false" ht="23.85" hidden="false" customHeight="false" outlineLevel="0" collapsed="false">
      <c r="A25" s="12" t="s">
        <v>635</v>
      </c>
      <c r="B25" s="12" t="s">
        <v>2268</v>
      </c>
      <c r="C25" s="12" t="s">
        <v>2269</v>
      </c>
      <c r="D25" s="12" t="s">
        <v>2270</v>
      </c>
      <c r="E25" s="12" t="s">
        <v>2271</v>
      </c>
      <c r="F25" s="12" t="s">
        <v>202</v>
      </c>
      <c r="G25" s="12" t="s">
        <v>2272</v>
      </c>
    </row>
    <row r="26" customFormat="false" ht="15" hidden="false" customHeight="false" outlineLevel="0" collapsed="false">
      <c r="A26" s="12" t="s">
        <v>643</v>
      </c>
      <c r="B26" s="12" t="s">
        <v>2273</v>
      </c>
      <c r="C26" s="12" t="s">
        <v>2274</v>
      </c>
      <c r="D26" s="12" t="s">
        <v>2275</v>
      </c>
      <c r="E26" s="12" t="s">
        <v>2276</v>
      </c>
      <c r="F26" s="12" t="s">
        <v>202</v>
      </c>
      <c r="G26" s="12" t="s">
        <v>2277</v>
      </c>
    </row>
    <row r="27" customFormat="false" ht="15" hidden="false" customHeight="false" outlineLevel="0" collapsed="false">
      <c r="A27" s="12" t="s">
        <v>653</v>
      </c>
      <c r="B27" s="12" t="s">
        <v>2278</v>
      </c>
      <c r="C27" s="12" t="s">
        <v>2279</v>
      </c>
      <c r="D27" s="12" t="s">
        <v>2280</v>
      </c>
      <c r="E27" s="12" t="s">
        <v>1204</v>
      </c>
      <c r="F27" s="12" t="s">
        <v>202</v>
      </c>
      <c r="G27" s="12" t="s">
        <v>2281</v>
      </c>
    </row>
    <row r="28" customFormat="false" ht="23.85" hidden="false" customHeight="false" outlineLevel="0" collapsed="false">
      <c r="A28" s="12" t="s">
        <v>661</v>
      </c>
      <c r="B28" s="12" t="s">
        <v>2282</v>
      </c>
      <c r="C28" s="12" t="s">
        <v>351</v>
      </c>
      <c r="D28" s="12" t="s">
        <v>2283</v>
      </c>
      <c r="E28" s="12" t="s">
        <v>2284</v>
      </c>
      <c r="F28" s="12" t="s">
        <v>2285</v>
      </c>
      <c r="G28" s="12" t="s">
        <v>2286</v>
      </c>
    </row>
    <row r="29" customFormat="false" ht="23.85" hidden="false" customHeight="false" outlineLevel="0" collapsed="false">
      <c r="A29" s="12" t="s">
        <v>671</v>
      </c>
      <c r="B29" s="12" t="s">
        <v>2287</v>
      </c>
      <c r="C29" s="12" t="s">
        <v>2288</v>
      </c>
      <c r="D29" s="12" t="s">
        <v>2289</v>
      </c>
      <c r="E29" s="12" t="s">
        <v>2290</v>
      </c>
      <c r="F29" s="12" t="s">
        <v>202</v>
      </c>
      <c r="G29" s="12" t="s">
        <v>2291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2292</v>
      </c>
    </row>
    <row r="2" customFormat="false" ht="15" hidden="false" customHeight="false" outlineLevel="0" collapsed="false">
      <c r="A2" s="2" t="s">
        <v>2293</v>
      </c>
    </row>
    <row r="4" customFormat="false" ht="15" hidden="false" customHeight="false" outlineLevel="0" collapsed="false">
      <c r="A4" s="11" t="s">
        <v>2294</v>
      </c>
      <c r="B4" s="11" t="s">
        <v>2295</v>
      </c>
      <c r="C4" s="11" t="s">
        <v>2296</v>
      </c>
      <c r="D4" s="11" t="s">
        <v>2297</v>
      </c>
      <c r="E4" s="11" t="s">
        <v>2298</v>
      </c>
      <c r="F4" s="11" t="s">
        <v>2299</v>
      </c>
    </row>
    <row r="5" customFormat="false" ht="23.85" hidden="false" customHeight="false" outlineLevel="0" collapsed="false">
      <c r="A5" s="12" t="s">
        <v>817</v>
      </c>
      <c r="B5" s="12" t="s">
        <v>2300</v>
      </c>
      <c r="C5" s="12" t="s">
        <v>2301</v>
      </c>
      <c r="D5" s="18" t="s">
        <v>821</v>
      </c>
      <c r="E5" s="12" t="s">
        <v>817</v>
      </c>
      <c r="F5" s="12" t="s">
        <v>2302</v>
      </c>
    </row>
    <row r="6" customFormat="false" ht="15" hidden="false" customHeight="false" outlineLevel="0" collapsed="false">
      <c r="A6" s="12" t="s">
        <v>889</v>
      </c>
      <c r="B6" s="12" t="s">
        <v>2303</v>
      </c>
      <c r="C6" s="12" t="s">
        <v>2301</v>
      </c>
      <c r="D6" s="18" t="s">
        <v>821</v>
      </c>
      <c r="E6" s="12" t="s">
        <v>889</v>
      </c>
      <c r="F6" s="12" t="s">
        <v>2304</v>
      </c>
    </row>
    <row r="7" customFormat="false" ht="23.85" hidden="false" customHeight="false" outlineLevel="0" collapsed="false">
      <c r="A7" s="12" t="s">
        <v>923</v>
      </c>
      <c r="B7" s="12" t="s">
        <v>2305</v>
      </c>
      <c r="C7" s="12" t="s">
        <v>2301</v>
      </c>
      <c r="D7" s="18" t="s">
        <v>2306</v>
      </c>
      <c r="E7" s="12" t="s">
        <v>919</v>
      </c>
      <c r="F7" s="12" t="s">
        <v>2307</v>
      </c>
    </row>
    <row r="8" customFormat="false" ht="15" hidden="false" customHeight="false" outlineLevel="0" collapsed="false">
      <c r="A8" s="12" t="s">
        <v>899</v>
      </c>
      <c r="B8" s="12" t="s">
        <v>2308</v>
      </c>
      <c r="C8" s="12" t="s">
        <v>2301</v>
      </c>
      <c r="D8" s="20" t="s">
        <v>898</v>
      </c>
      <c r="E8" s="12" t="s">
        <v>2309</v>
      </c>
      <c r="F8" s="12" t="s">
        <v>2310</v>
      </c>
    </row>
    <row r="9" customFormat="false" ht="15" hidden="false" customHeight="false" outlineLevel="0" collapsed="false">
      <c r="A9" s="12" t="s">
        <v>932</v>
      </c>
      <c r="B9" s="12" t="s">
        <v>2311</v>
      </c>
      <c r="C9" s="12" t="s">
        <v>2301</v>
      </c>
      <c r="D9" s="18" t="s">
        <v>821</v>
      </c>
      <c r="E9" s="12" t="s">
        <v>932</v>
      </c>
      <c r="F9" s="12" t="s">
        <v>2312</v>
      </c>
    </row>
    <row r="10" customFormat="false" ht="15" hidden="false" customHeight="false" outlineLevel="0" collapsed="false">
      <c r="A10" s="12" t="s">
        <v>855</v>
      </c>
      <c r="B10" s="12" t="s">
        <v>2313</v>
      </c>
      <c r="C10" s="12" t="s">
        <v>2301</v>
      </c>
      <c r="D10" s="18" t="s">
        <v>821</v>
      </c>
      <c r="E10" s="12" t="s">
        <v>855</v>
      </c>
      <c r="F10" s="12" t="s">
        <v>2314</v>
      </c>
    </row>
    <row r="11" customFormat="false" ht="15" hidden="false" customHeight="false" outlineLevel="0" collapsed="false">
      <c r="A11" s="12" t="s">
        <v>929</v>
      </c>
      <c r="B11" s="12" t="s">
        <v>2315</v>
      </c>
      <c r="C11" s="12" t="s">
        <v>2301</v>
      </c>
      <c r="D11" s="21" t="s">
        <v>1067</v>
      </c>
      <c r="E11" s="12" t="s">
        <v>926</v>
      </c>
      <c r="F11" s="12" t="s">
        <v>2316</v>
      </c>
    </row>
    <row r="12" customFormat="false" ht="15" hidden="false" customHeight="false" outlineLevel="0" collapsed="false">
      <c r="A12" s="12" t="s">
        <v>958</v>
      </c>
      <c r="B12" s="12" t="s">
        <v>2317</v>
      </c>
      <c r="C12" s="12" t="s">
        <v>2301</v>
      </c>
      <c r="D12" s="18" t="s">
        <v>821</v>
      </c>
      <c r="E12" s="12" t="s">
        <v>958</v>
      </c>
      <c r="F12" s="12" t="s">
        <v>2318</v>
      </c>
    </row>
    <row r="13" customFormat="false" ht="15" hidden="false" customHeight="false" outlineLevel="0" collapsed="false">
      <c r="A13" s="12" t="s">
        <v>861</v>
      </c>
      <c r="B13" s="12" t="s">
        <v>2319</v>
      </c>
      <c r="C13" s="12" t="s">
        <v>2301</v>
      </c>
      <c r="D13" s="18" t="s">
        <v>821</v>
      </c>
      <c r="E13" s="12" t="s">
        <v>861</v>
      </c>
      <c r="F13" s="12" t="s">
        <v>2320</v>
      </c>
    </row>
    <row r="14" customFormat="false" ht="15" hidden="false" customHeight="false" outlineLevel="0" collapsed="false">
      <c r="A14" s="12" t="s">
        <v>875</v>
      </c>
      <c r="B14" s="12" t="s">
        <v>2321</v>
      </c>
      <c r="C14" s="12" t="s">
        <v>2301</v>
      </c>
      <c r="D14" s="18" t="s">
        <v>821</v>
      </c>
      <c r="E14" s="12" t="s">
        <v>875</v>
      </c>
      <c r="F14" s="12" t="s">
        <v>2322</v>
      </c>
    </row>
    <row r="15" customFormat="false" ht="15" hidden="false" customHeight="false" outlineLevel="0" collapsed="false">
      <c r="A15" s="12" t="s">
        <v>882</v>
      </c>
      <c r="B15" s="12" t="s">
        <v>2323</v>
      </c>
      <c r="C15" s="12" t="s">
        <v>2301</v>
      </c>
      <c r="D15" s="18" t="s">
        <v>821</v>
      </c>
      <c r="E15" s="12" t="s">
        <v>882</v>
      </c>
      <c r="F15" s="12" t="s">
        <v>2324</v>
      </c>
    </row>
    <row r="16" customFormat="false" ht="15" hidden="false" customHeight="false" outlineLevel="0" collapsed="false">
      <c r="A16" s="12" t="s">
        <v>939</v>
      </c>
      <c r="B16" s="12" t="s">
        <v>2325</v>
      </c>
      <c r="C16" s="12" t="s">
        <v>2301</v>
      </c>
      <c r="D16" s="20" t="s">
        <v>2326</v>
      </c>
      <c r="E16" s="12" t="s">
        <v>936</v>
      </c>
      <c r="F16" s="12" t="s">
        <v>2327</v>
      </c>
    </row>
    <row r="17" customFormat="false" ht="15" hidden="false" customHeight="false" outlineLevel="0" collapsed="false">
      <c r="A17" s="12" t="s">
        <v>1003</v>
      </c>
      <c r="B17" s="12" t="s">
        <v>2328</v>
      </c>
      <c r="C17" s="12" t="s">
        <v>2329</v>
      </c>
      <c r="D17" s="18" t="s">
        <v>821</v>
      </c>
      <c r="E17" s="12" t="s">
        <v>1003</v>
      </c>
      <c r="F17" s="12" t="s">
        <v>2330</v>
      </c>
    </row>
    <row r="18" customFormat="false" ht="15" hidden="false" customHeight="false" outlineLevel="0" collapsed="false">
      <c r="A18" s="12" t="s">
        <v>2331</v>
      </c>
      <c r="B18" s="12" t="s">
        <v>2332</v>
      </c>
      <c r="C18" s="12" t="s">
        <v>2329</v>
      </c>
      <c r="D18" s="21" t="s">
        <v>1067</v>
      </c>
      <c r="E18" s="12" t="s">
        <v>1039</v>
      </c>
      <c r="F18" s="12" t="s">
        <v>2333</v>
      </c>
    </row>
    <row r="19" customFormat="false" ht="15" hidden="false" customHeight="false" outlineLevel="0" collapsed="false">
      <c r="A19" s="12" t="s">
        <v>1009</v>
      </c>
      <c r="B19" s="12" t="s">
        <v>2334</v>
      </c>
      <c r="C19" s="12" t="s">
        <v>2329</v>
      </c>
      <c r="D19" s="18" t="s">
        <v>821</v>
      </c>
      <c r="E19" s="12" t="s">
        <v>1009</v>
      </c>
      <c r="F19" s="12" t="s">
        <v>2335</v>
      </c>
    </row>
    <row r="20" customFormat="false" ht="15" hidden="false" customHeight="false" outlineLevel="0" collapsed="false">
      <c r="A20" s="12" t="s">
        <v>1018</v>
      </c>
      <c r="B20" s="12" t="s">
        <v>2336</v>
      </c>
      <c r="C20" s="12" t="s">
        <v>2329</v>
      </c>
      <c r="D20" s="18" t="s">
        <v>821</v>
      </c>
      <c r="E20" s="12" t="s">
        <v>1018</v>
      </c>
      <c r="F20" s="12" t="s">
        <v>2337</v>
      </c>
    </row>
    <row r="21" customFormat="false" ht="15" hidden="false" customHeight="false" outlineLevel="0" collapsed="false">
      <c r="A21" s="12" t="s">
        <v>985</v>
      </c>
      <c r="B21" s="12" t="s">
        <v>2338</v>
      </c>
      <c r="C21" s="12" t="s">
        <v>2329</v>
      </c>
      <c r="D21" s="18" t="s">
        <v>821</v>
      </c>
      <c r="E21" s="12" t="s">
        <v>985</v>
      </c>
      <c r="F21" s="12" t="s">
        <v>2339</v>
      </c>
    </row>
    <row r="22" customFormat="false" ht="15" hidden="false" customHeight="false" outlineLevel="0" collapsed="false">
      <c r="A22" s="12" t="s">
        <v>2340</v>
      </c>
      <c r="B22" s="12" t="s">
        <v>2341</v>
      </c>
      <c r="C22" s="12" t="s">
        <v>2329</v>
      </c>
      <c r="D22" s="21" t="s">
        <v>1067</v>
      </c>
      <c r="E22" s="12" t="s">
        <v>1039</v>
      </c>
      <c r="F22" s="12" t="s">
        <v>2342</v>
      </c>
    </row>
    <row r="23" customFormat="false" ht="15" hidden="false" customHeight="false" outlineLevel="0" collapsed="false">
      <c r="A23" s="12" t="s">
        <v>2343</v>
      </c>
      <c r="B23" s="12" t="s">
        <v>2344</v>
      </c>
      <c r="C23" s="12" t="s">
        <v>2329</v>
      </c>
      <c r="D23" s="21" t="s">
        <v>1067</v>
      </c>
      <c r="E23" s="12" t="s">
        <v>1105</v>
      </c>
      <c r="F23" s="12" t="s">
        <v>2345</v>
      </c>
    </row>
    <row r="24" customFormat="false" ht="23.85" hidden="false" customHeight="false" outlineLevel="0" collapsed="false">
      <c r="A24" s="12" t="s">
        <v>994</v>
      </c>
      <c r="B24" s="12" t="s">
        <v>2346</v>
      </c>
      <c r="C24" s="12" t="s">
        <v>2329</v>
      </c>
      <c r="D24" s="18" t="s">
        <v>2306</v>
      </c>
      <c r="E24" s="12" t="s">
        <v>991</v>
      </c>
      <c r="F24" s="12" t="s">
        <v>2347</v>
      </c>
    </row>
    <row r="25" customFormat="false" ht="23.85" hidden="false" customHeight="false" outlineLevel="0" collapsed="false">
      <c r="A25" s="12" t="s">
        <v>1001</v>
      </c>
      <c r="B25" s="12" t="s">
        <v>2348</v>
      </c>
      <c r="C25" s="12" t="s">
        <v>2329</v>
      </c>
      <c r="D25" s="18" t="s">
        <v>2306</v>
      </c>
      <c r="E25" s="12" t="s">
        <v>998</v>
      </c>
      <c r="F25" s="12" t="s">
        <v>2349</v>
      </c>
    </row>
    <row r="26" customFormat="false" ht="15" hidden="false" customHeight="false" outlineLevel="0" collapsed="false">
      <c r="A26" s="12" t="s">
        <v>1025</v>
      </c>
      <c r="B26" s="12" t="s">
        <v>2350</v>
      </c>
      <c r="C26" s="12" t="s">
        <v>2329</v>
      </c>
      <c r="D26" s="18" t="s">
        <v>821</v>
      </c>
      <c r="E26" s="12" t="s">
        <v>1022</v>
      </c>
      <c r="F26" s="12" t="s">
        <v>2351</v>
      </c>
    </row>
    <row r="27" customFormat="false" ht="15" hidden="false" customHeight="false" outlineLevel="0" collapsed="false">
      <c r="A27" s="12" t="s">
        <v>2352</v>
      </c>
      <c r="B27" s="12" t="s">
        <v>2353</v>
      </c>
      <c r="C27" s="12" t="s">
        <v>2354</v>
      </c>
      <c r="D27" s="21" t="s">
        <v>1067</v>
      </c>
      <c r="E27" s="12" t="s">
        <v>1084</v>
      </c>
      <c r="F27" s="12" t="s">
        <v>2355</v>
      </c>
    </row>
    <row r="28" customFormat="false" ht="15" hidden="false" customHeight="false" outlineLevel="0" collapsed="false">
      <c r="A28" s="12" t="s">
        <v>1096</v>
      </c>
      <c r="B28" s="12" t="s">
        <v>2356</v>
      </c>
      <c r="C28" s="12" t="s">
        <v>2354</v>
      </c>
      <c r="D28" s="18" t="s">
        <v>821</v>
      </c>
      <c r="E28" s="12" t="s">
        <v>1096</v>
      </c>
      <c r="F28" s="12" t="s">
        <v>2357</v>
      </c>
    </row>
    <row r="29" customFormat="false" ht="15" hidden="false" customHeight="false" outlineLevel="0" collapsed="false">
      <c r="A29" s="12" t="s">
        <v>1013</v>
      </c>
      <c r="B29" s="12" t="s">
        <v>2358</v>
      </c>
      <c r="C29" s="12" t="s">
        <v>2354</v>
      </c>
      <c r="D29" s="18" t="s">
        <v>821</v>
      </c>
      <c r="E29" s="12" t="s">
        <v>1013</v>
      </c>
      <c r="F29" s="12" t="s">
        <v>2359</v>
      </c>
    </row>
    <row r="30" customFormat="false" ht="15" hidden="false" customHeight="false" outlineLevel="0" collapsed="false">
      <c r="A30" s="12" t="s">
        <v>2360</v>
      </c>
      <c r="B30" s="12" t="s">
        <v>2361</v>
      </c>
      <c r="C30" s="12" t="s">
        <v>2354</v>
      </c>
      <c r="D30" s="21" t="s">
        <v>1067</v>
      </c>
      <c r="E30" s="12" t="s">
        <v>1003</v>
      </c>
      <c r="F30" s="12" t="s">
        <v>2362</v>
      </c>
    </row>
    <row r="31" customFormat="false" ht="15" hidden="false" customHeight="false" outlineLevel="0" collapsed="false">
      <c r="A31" s="12" t="s">
        <v>2363</v>
      </c>
      <c r="B31" s="12" t="s">
        <v>2364</v>
      </c>
      <c r="C31" s="12" t="s">
        <v>2354</v>
      </c>
      <c r="D31" s="23" t="s">
        <v>2365</v>
      </c>
      <c r="E31" s="12" t="s">
        <v>202</v>
      </c>
      <c r="F31" s="12" t="s">
        <v>2366</v>
      </c>
    </row>
    <row r="32" customFormat="false" ht="15" hidden="false" customHeight="false" outlineLevel="0" collapsed="false">
      <c r="A32" s="12" t="s">
        <v>2367</v>
      </c>
      <c r="B32" s="12" t="s">
        <v>2368</v>
      </c>
      <c r="C32" s="12" t="s">
        <v>2354</v>
      </c>
      <c r="D32" s="21" t="s">
        <v>1067</v>
      </c>
      <c r="E32" s="12" t="s">
        <v>1105</v>
      </c>
      <c r="F32" s="12" t="s">
        <v>2369</v>
      </c>
    </row>
    <row r="33" customFormat="false" ht="15" hidden="false" customHeight="false" outlineLevel="0" collapsed="false">
      <c r="A33" s="12" t="s">
        <v>2370</v>
      </c>
      <c r="B33" s="12" t="s">
        <v>2371</v>
      </c>
      <c r="C33" s="12" t="s">
        <v>2354</v>
      </c>
      <c r="D33" s="21" t="s">
        <v>1067</v>
      </c>
      <c r="E33" s="12" t="s">
        <v>1148</v>
      </c>
      <c r="F33" s="12" t="s">
        <v>2372</v>
      </c>
    </row>
    <row r="34" customFormat="false" ht="15" hidden="false" customHeight="false" outlineLevel="0" collapsed="false">
      <c r="A34" s="12" t="s">
        <v>1084</v>
      </c>
      <c r="B34" s="12" t="s">
        <v>2373</v>
      </c>
      <c r="C34" s="12" t="s">
        <v>2354</v>
      </c>
      <c r="D34" s="18" t="s">
        <v>821</v>
      </c>
      <c r="E34" s="12" t="s">
        <v>1084</v>
      </c>
      <c r="F34" s="12" t="s">
        <v>2374</v>
      </c>
    </row>
    <row r="35" customFormat="false" ht="15" hidden="false" customHeight="false" outlineLevel="0" collapsed="false">
      <c r="A35" s="12" t="s">
        <v>2375</v>
      </c>
      <c r="B35" s="12" t="s">
        <v>2376</v>
      </c>
      <c r="C35" s="12" t="s">
        <v>2354</v>
      </c>
      <c r="D35" s="21" t="s">
        <v>1067</v>
      </c>
      <c r="E35" s="12" t="s">
        <v>1100</v>
      </c>
      <c r="F35" s="12" t="s">
        <v>2377</v>
      </c>
    </row>
    <row r="36" customFormat="false" ht="23.85" hidden="false" customHeight="false" outlineLevel="0" collapsed="false">
      <c r="A36" s="12" t="s">
        <v>1094</v>
      </c>
      <c r="B36" s="12" t="s">
        <v>2378</v>
      </c>
      <c r="C36" s="12" t="s">
        <v>2354</v>
      </c>
      <c r="D36" s="18" t="s">
        <v>2306</v>
      </c>
      <c r="E36" s="12" t="s">
        <v>1091</v>
      </c>
      <c r="F36" s="12" t="s">
        <v>2379</v>
      </c>
    </row>
    <row r="37" customFormat="false" ht="15" hidden="false" customHeight="false" outlineLevel="0" collapsed="false">
      <c r="A37" s="12" t="s">
        <v>1077</v>
      </c>
      <c r="B37" s="12" t="s">
        <v>1078</v>
      </c>
      <c r="C37" s="12" t="s">
        <v>2354</v>
      </c>
      <c r="D37" s="22" t="s">
        <v>1080</v>
      </c>
      <c r="E37" s="12" t="s">
        <v>1077</v>
      </c>
      <c r="F37" s="12" t="s">
        <v>2380</v>
      </c>
    </row>
    <row r="38" customFormat="false" ht="15" hidden="false" customHeight="false" outlineLevel="0" collapsed="false">
      <c r="A38" s="12" t="s">
        <v>2381</v>
      </c>
      <c r="B38" s="12" t="s">
        <v>2382</v>
      </c>
      <c r="C38" s="12" t="s">
        <v>2354</v>
      </c>
      <c r="D38" s="21" t="s">
        <v>1067</v>
      </c>
      <c r="E38" s="12" t="s">
        <v>1100</v>
      </c>
      <c r="F38" s="12" t="s">
        <v>2383</v>
      </c>
    </row>
    <row r="39" customFormat="false" ht="23.85" hidden="false" customHeight="false" outlineLevel="0" collapsed="false">
      <c r="A39" s="12" t="s">
        <v>1113</v>
      </c>
      <c r="B39" s="12" t="s">
        <v>2384</v>
      </c>
      <c r="C39" s="12" t="s">
        <v>2354</v>
      </c>
      <c r="D39" s="18" t="s">
        <v>2306</v>
      </c>
      <c r="E39" s="12" t="s">
        <v>1110</v>
      </c>
      <c r="F39" s="12" t="s">
        <v>2385</v>
      </c>
    </row>
    <row r="40" customFormat="false" ht="23.85" hidden="false" customHeight="false" outlineLevel="0" collapsed="false">
      <c r="A40" s="12" t="s">
        <v>1105</v>
      </c>
      <c r="B40" s="12" t="s">
        <v>2386</v>
      </c>
      <c r="C40" s="12" t="s">
        <v>2354</v>
      </c>
      <c r="D40" s="22" t="s">
        <v>2387</v>
      </c>
      <c r="E40" s="12" t="s">
        <v>1105</v>
      </c>
      <c r="F40" s="12" t="s">
        <v>2388</v>
      </c>
    </row>
    <row r="41" customFormat="false" ht="23.85" hidden="false" customHeight="false" outlineLevel="0" collapsed="false">
      <c r="A41" s="12" t="s">
        <v>979</v>
      </c>
      <c r="B41" s="12" t="s">
        <v>2389</v>
      </c>
      <c r="C41" s="12" t="s">
        <v>2390</v>
      </c>
      <c r="D41" s="20" t="s">
        <v>2326</v>
      </c>
      <c r="E41" s="12" t="s">
        <v>2391</v>
      </c>
      <c r="F41" s="12" t="s">
        <v>2392</v>
      </c>
    </row>
    <row r="42" customFormat="false" ht="15" hidden="false" customHeight="false" outlineLevel="0" collapsed="false">
      <c r="A42" s="12" t="s">
        <v>1207</v>
      </c>
      <c r="B42" s="12" t="s">
        <v>2393</v>
      </c>
      <c r="C42" s="12" t="s">
        <v>2390</v>
      </c>
      <c r="D42" s="18" t="s">
        <v>821</v>
      </c>
      <c r="E42" s="12" t="s">
        <v>1204</v>
      </c>
      <c r="F42" s="12" t="s">
        <v>2394</v>
      </c>
    </row>
    <row r="43" customFormat="false" ht="15" hidden="false" customHeight="false" outlineLevel="0" collapsed="false">
      <c r="A43" s="12" t="s">
        <v>952</v>
      </c>
      <c r="B43" s="12" t="s">
        <v>2395</v>
      </c>
      <c r="C43" s="12" t="s">
        <v>2390</v>
      </c>
      <c r="D43" s="18" t="s">
        <v>821</v>
      </c>
      <c r="E43" s="12" t="s">
        <v>952</v>
      </c>
      <c r="F43" s="12" t="s">
        <v>2396</v>
      </c>
    </row>
    <row r="44" customFormat="false" ht="15" hidden="false" customHeight="false" outlineLevel="0" collapsed="false">
      <c r="A44" s="12" t="s">
        <v>2397</v>
      </c>
      <c r="B44" s="12" t="s">
        <v>2398</v>
      </c>
      <c r="C44" s="12" t="s">
        <v>2390</v>
      </c>
      <c r="D44" s="21" t="s">
        <v>1067</v>
      </c>
      <c r="E44" s="12" t="s">
        <v>1162</v>
      </c>
      <c r="F44" s="12" t="s">
        <v>2399</v>
      </c>
    </row>
    <row r="45" customFormat="false" ht="15" hidden="false" customHeight="false" outlineLevel="0" collapsed="false">
      <c r="A45" s="12" t="s">
        <v>2400</v>
      </c>
      <c r="B45" s="12" t="s">
        <v>2401</v>
      </c>
      <c r="C45" s="12" t="s">
        <v>2390</v>
      </c>
      <c r="D45" s="21" t="s">
        <v>1067</v>
      </c>
      <c r="E45" s="12" t="s">
        <v>1148</v>
      </c>
      <c r="F45" s="12" t="s">
        <v>202</v>
      </c>
    </row>
    <row r="46" customFormat="false" ht="15" hidden="false" customHeight="false" outlineLevel="0" collapsed="false">
      <c r="A46" s="12" t="s">
        <v>2402</v>
      </c>
      <c r="B46" s="12" t="s">
        <v>2403</v>
      </c>
      <c r="C46" s="12" t="s">
        <v>2390</v>
      </c>
      <c r="D46" s="21" t="s">
        <v>1067</v>
      </c>
      <c r="E46" s="12" t="s">
        <v>1162</v>
      </c>
      <c r="F46" s="12" t="s">
        <v>202</v>
      </c>
    </row>
    <row r="47" customFormat="false" ht="15" hidden="false" customHeight="false" outlineLevel="0" collapsed="false">
      <c r="A47" s="12" t="s">
        <v>2404</v>
      </c>
      <c r="B47" s="12" t="s">
        <v>2405</v>
      </c>
      <c r="C47" s="12" t="s">
        <v>2390</v>
      </c>
      <c r="D47" s="23" t="s">
        <v>2406</v>
      </c>
      <c r="E47" s="12" t="s">
        <v>1162</v>
      </c>
      <c r="F47" s="12" t="s">
        <v>2407</v>
      </c>
    </row>
    <row r="48" customFormat="false" ht="15" hidden="false" customHeight="false" outlineLevel="0" collapsed="false">
      <c r="A48" s="12" t="s">
        <v>1115</v>
      </c>
      <c r="B48" s="12" t="s">
        <v>2408</v>
      </c>
      <c r="C48" s="12" t="s">
        <v>2409</v>
      </c>
      <c r="D48" s="18" t="s">
        <v>821</v>
      </c>
      <c r="E48" s="12" t="s">
        <v>1115</v>
      </c>
      <c r="F48" s="12" t="s">
        <v>2410</v>
      </c>
    </row>
    <row r="49" customFormat="false" ht="15" hidden="false" customHeight="false" outlineLevel="0" collapsed="false">
      <c r="A49" s="12" t="s">
        <v>1126</v>
      </c>
      <c r="B49" s="12" t="s">
        <v>2411</v>
      </c>
      <c r="C49" s="12" t="s">
        <v>2409</v>
      </c>
      <c r="D49" s="18" t="s">
        <v>821</v>
      </c>
      <c r="E49" s="12" t="s">
        <v>1126</v>
      </c>
      <c r="F49" s="12" t="s">
        <v>2412</v>
      </c>
    </row>
    <row r="50" customFormat="false" ht="15" hidden="false" customHeight="false" outlineLevel="0" collapsed="false">
      <c r="A50" s="12" t="s">
        <v>2413</v>
      </c>
      <c r="B50" s="12" t="s">
        <v>2414</v>
      </c>
      <c r="C50" s="12" t="s">
        <v>2409</v>
      </c>
      <c r="D50" s="21" t="s">
        <v>1067</v>
      </c>
      <c r="E50" s="12" t="s">
        <v>1121</v>
      </c>
      <c r="F50" s="12" t="s">
        <v>202</v>
      </c>
    </row>
    <row r="51" customFormat="false" ht="15" hidden="false" customHeight="false" outlineLevel="0" collapsed="false">
      <c r="A51" s="12" t="s">
        <v>1138</v>
      </c>
      <c r="B51" s="12" t="s">
        <v>2415</v>
      </c>
      <c r="C51" s="12" t="s">
        <v>2409</v>
      </c>
      <c r="D51" s="18" t="s">
        <v>821</v>
      </c>
      <c r="E51" s="12" t="s">
        <v>1138</v>
      </c>
      <c r="F51" s="12" t="s">
        <v>2416</v>
      </c>
    </row>
    <row r="52" customFormat="false" ht="15" hidden="false" customHeight="false" outlineLevel="0" collapsed="false">
      <c r="A52" s="12" t="s">
        <v>2417</v>
      </c>
      <c r="B52" s="12" t="s">
        <v>2418</v>
      </c>
      <c r="C52" s="12" t="s">
        <v>2409</v>
      </c>
      <c r="D52" s="21" t="s">
        <v>1067</v>
      </c>
      <c r="E52" s="12" t="s">
        <v>1115</v>
      </c>
      <c r="F52" s="12" t="s">
        <v>202</v>
      </c>
    </row>
    <row r="53" customFormat="false" ht="15" hidden="false" customHeight="false" outlineLevel="0" collapsed="false">
      <c r="A53" s="12" t="s">
        <v>2419</v>
      </c>
      <c r="B53" s="12" t="s">
        <v>2420</v>
      </c>
      <c r="C53" s="12" t="s">
        <v>2409</v>
      </c>
      <c r="D53" s="21" t="s">
        <v>1067</v>
      </c>
      <c r="E53" s="12" t="s">
        <v>1121</v>
      </c>
      <c r="F53" s="12" t="s">
        <v>202</v>
      </c>
    </row>
    <row r="54" customFormat="false" ht="15" hidden="false" customHeight="false" outlineLevel="0" collapsed="false">
      <c r="A54" s="12" t="s">
        <v>2421</v>
      </c>
      <c r="B54" s="12" t="s">
        <v>2422</v>
      </c>
      <c r="C54" s="12" t="s">
        <v>2409</v>
      </c>
      <c r="D54" s="21" t="s">
        <v>1067</v>
      </c>
      <c r="E54" s="12" t="s">
        <v>1121</v>
      </c>
      <c r="F54" s="12" t="s">
        <v>202</v>
      </c>
    </row>
    <row r="55" customFormat="false" ht="15" hidden="false" customHeight="false" outlineLevel="0" collapsed="false">
      <c r="A55" s="12" t="s">
        <v>2423</v>
      </c>
      <c r="B55" s="12" t="s">
        <v>2424</v>
      </c>
      <c r="C55" s="12" t="s">
        <v>2425</v>
      </c>
      <c r="D55" s="21" t="s">
        <v>1067</v>
      </c>
      <c r="E55" s="12" t="s">
        <v>1064</v>
      </c>
      <c r="F55" s="12" t="s">
        <v>2426</v>
      </c>
    </row>
    <row r="56" customFormat="false" ht="15" hidden="false" customHeight="false" outlineLevel="0" collapsed="false">
      <c r="A56" s="12" t="s">
        <v>2427</v>
      </c>
      <c r="B56" s="12" t="s">
        <v>2428</v>
      </c>
      <c r="C56" s="12" t="s">
        <v>2425</v>
      </c>
      <c r="D56" s="21" t="s">
        <v>1067</v>
      </c>
      <c r="E56" s="12" t="s">
        <v>1064</v>
      </c>
      <c r="F56" s="12" t="s">
        <v>202</v>
      </c>
    </row>
    <row r="57" customFormat="false" ht="15" hidden="false" customHeight="false" outlineLevel="0" collapsed="false">
      <c r="A57" s="12" t="s">
        <v>2429</v>
      </c>
      <c r="B57" s="12" t="s">
        <v>2430</v>
      </c>
      <c r="C57" s="12" t="s">
        <v>2425</v>
      </c>
      <c r="D57" s="21" t="s">
        <v>1067</v>
      </c>
      <c r="E57" s="12" t="s">
        <v>1071</v>
      </c>
      <c r="F57" s="12" t="s">
        <v>202</v>
      </c>
    </row>
    <row r="58" customFormat="false" ht="15" hidden="false" customHeight="false" outlineLevel="0" collapsed="false">
      <c r="A58" s="12" t="s">
        <v>2431</v>
      </c>
      <c r="B58" s="12" t="s">
        <v>2432</v>
      </c>
      <c r="C58" s="12" t="s">
        <v>2425</v>
      </c>
      <c r="D58" s="21" t="s">
        <v>1067</v>
      </c>
      <c r="E58" s="12" t="s">
        <v>1039</v>
      </c>
      <c r="F58" s="12" t="s">
        <v>202</v>
      </c>
    </row>
    <row r="59" customFormat="false" ht="15" hidden="false" customHeight="false" outlineLevel="0" collapsed="false">
      <c r="A59" s="12" t="s">
        <v>2433</v>
      </c>
      <c r="B59" s="12" t="s">
        <v>2434</v>
      </c>
      <c r="C59" s="12" t="s">
        <v>2425</v>
      </c>
      <c r="D59" s="21" t="s">
        <v>1067</v>
      </c>
      <c r="E59" s="12" t="s">
        <v>1064</v>
      </c>
      <c r="F59" s="12" t="s">
        <v>202</v>
      </c>
    </row>
    <row r="60" customFormat="false" ht="15" hidden="false" customHeight="false" outlineLevel="0" collapsed="false">
      <c r="A60" s="12" t="s">
        <v>2435</v>
      </c>
      <c r="B60" s="12" t="s">
        <v>2436</v>
      </c>
      <c r="C60" s="12" t="s">
        <v>2425</v>
      </c>
      <c r="D60" s="23" t="s">
        <v>2365</v>
      </c>
      <c r="E60" s="12" t="s">
        <v>202</v>
      </c>
      <c r="F60" s="12" t="s">
        <v>2437</v>
      </c>
    </row>
    <row r="61" customFormat="false" ht="15" hidden="false" customHeight="false" outlineLevel="0" collapsed="false">
      <c r="A61" s="12" t="s">
        <v>2438</v>
      </c>
      <c r="B61" s="12" t="s">
        <v>2439</v>
      </c>
      <c r="C61" s="12" t="s">
        <v>2425</v>
      </c>
      <c r="D61" s="23" t="s">
        <v>2365</v>
      </c>
      <c r="E61" s="12" t="s">
        <v>202</v>
      </c>
      <c r="F61" s="12" t="s">
        <v>2437</v>
      </c>
    </row>
    <row r="62" customFormat="false" ht="15" hidden="false" customHeight="false" outlineLevel="0" collapsed="false">
      <c r="A62" s="12" t="s">
        <v>2440</v>
      </c>
      <c r="B62" s="12" t="s">
        <v>2441</v>
      </c>
      <c r="C62" s="12" t="s">
        <v>2425</v>
      </c>
      <c r="D62" s="21" t="s">
        <v>1067</v>
      </c>
      <c r="E62" s="12" t="s">
        <v>1064</v>
      </c>
      <c r="F62" s="12" t="s">
        <v>202</v>
      </c>
    </row>
    <row r="63" customFormat="false" ht="15" hidden="false" customHeight="false" outlineLevel="0" collapsed="false">
      <c r="A63" s="12" t="s">
        <v>1049</v>
      </c>
      <c r="B63" s="12" t="s">
        <v>2442</v>
      </c>
      <c r="C63" s="12" t="s">
        <v>2443</v>
      </c>
      <c r="D63" s="20" t="s">
        <v>2326</v>
      </c>
      <c r="E63" s="12" t="s">
        <v>1046</v>
      </c>
      <c r="F63" s="12" t="s">
        <v>2444</v>
      </c>
    </row>
    <row r="64" customFormat="false" ht="15" hidden="false" customHeight="false" outlineLevel="0" collapsed="false">
      <c r="A64" s="12" t="s">
        <v>2445</v>
      </c>
      <c r="B64" s="12" t="s">
        <v>2446</v>
      </c>
      <c r="C64" s="12" t="s">
        <v>2447</v>
      </c>
      <c r="D64" s="21" t="s">
        <v>1067</v>
      </c>
      <c r="E64" s="12" t="s">
        <v>1071</v>
      </c>
      <c r="F64" s="12" t="s">
        <v>202</v>
      </c>
    </row>
    <row r="65" customFormat="false" ht="23.85" hidden="false" customHeight="false" outlineLevel="0" collapsed="false">
      <c r="A65" s="12" t="s">
        <v>1056</v>
      </c>
      <c r="B65" s="12" t="s">
        <v>2448</v>
      </c>
      <c r="C65" s="12" t="s">
        <v>2449</v>
      </c>
      <c r="D65" s="20" t="s">
        <v>898</v>
      </c>
      <c r="E65" s="12" t="s">
        <v>2450</v>
      </c>
      <c r="F65" s="12" t="s">
        <v>2451</v>
      </c>
    </row>
    <row r="67" customFormat="false" ht="15" hidden="false" customHeight="false" outlineLevel="0" collapsed="false">
      <c r="A67" s="14" t="s">
        <v>2452</v>
      </c>
    </row>
    <row r="68" customFormat="false" ht="15" hidden="false" customHeight="false" outlineLevel="0" collapsed="false">
      <c r="A68" s="10" t="s">
        <v>821</v>
      </c>
      <c r="B68" s="10" t="n">
        <f aca="false">COUNTIF($D$5:$D$65,"MODIFICAR*")</f>
        <v>26</v>
      </c>
    </row>
    <row r="69" customFormat="false" ht="15" hidden="false" customHeight="false" outlineLevel="0" collapsed="false">
      <c r="A69" s="10" t="s">
        <v>1067</v>
      </c>
      <c r="B69" s="10" t="n">
        <f aca="false">COUNTIF($D$5:$D$65,"FUSIONAR*")</f>
        <v>24</v>
      </c>
    </row>
    <row r="70" customFormat="false" ht="15" hidden="false" customHeight="false" outlineLevel="0" collapsed="false">
      <c r="A70" s="10" t="s">
        <v>2365</v>
      </c>
      <c r="B70" s="10" t="n">
        <f aca="false">COUNTIF($D$5:$D$65,"ELIMINAR*")</f>
        <v>4</v>
      </c>
    </row>
    <row r="71" customFormat="false" ht="15" hidden="false" customHeight="false" outlineLevel="0" collapsed="false">
      <c r="A71" s="10" t="s">
        <v>2326</v>
      </c>
      <c r="B71" s="10" t="n">
        <f aca="false">COUNTIF($D$5:$D$65,"REEMPLAZAR*")</f>
        <v>3</v>
      </c>
    </row>
    <row r="72" customFormat="false" ht="15" hidden="false" customHeight="false" outlineLevel="0" collapsed="false">
      <c r="A72" s="10" t="s">
        <v>898</v>
      </c>
      <c r="B72" s="10" t="n">
        <f aca="false">COUNTIF($D$5:$D$65,"DIVIDIR*")</f>
        <v>2</v>
      </c>
    </row>
    <row r="73" customFormat="false" ht="15" hidden="false" customHeight="false" outlineLevel="0" collapsed="false">
      <c r="A73" s="10" t="s">
        <v>1080</v>
      </c>
      <c r="B73" s="10" t="n">
        <f aca="false">COUNTIF($D$5:$D$65,"CONSERVAR*")</f>
        <v>2</v>
      </c>
    </row>
    <row r="74" customFormat="false" ht="15" hidden="false" customHeight="false" outlineLevel="0" collapsed="false">
      <c r="A74" s="24" t="s">
        <v>2453</v>
      </c>
      <c r="B74" s="24" t="n">
        <f aca="false">SUM(B68:B73)</f>
        <v>61</v>
      </c>
    </row>
    <row r="76" customFormat="false" ht="15" hidden="false" customHeight="false" outlineLevel="0" collapsed="false">
      <c r="A76" s="14" t="s">
        <v>2454</v>
      </c>
    </row>
    <row r="77" customFormat="false" ht="15" hidden="false" customHeight="false" outlineLevel="0" collapsed="false">
      <c r="A77" s="7" t="s">
        <v>2296</v>
      </c>
      <c r="B77" s="7" t="s">
        <v>2455</v>
      </c>
      <c r="D77" s="7" t="s">
        <v>2456</v>
      </c>
      <c r="E77" s="7" t="s">
        <v>2457</v>
      </c>
    </row>
    <row r="78" customFormat="false" ht="15" hidden="false" customHeight="false" outlineLevel="0" collapsed="false">
      <c r="A78" s="10" t="s">
        <v>2301</v>
      </c>
      <c r="B78" s="10" t="n">
        <f aca="false">COUNTIF($C$5:$C$65,A78)</f>
        <v>12</v>
      </c>
      <c r="D78" s="10" t="s">
        <v>820</v>
      </c>
      <c r="E78" s="10" t="n">
        <f aca="false">COUNTIF(04_ACCIONES!$D$5:$D$67,D78)</f>
        <v>10</v>
      </c>
    </row>
    <row r="79" customFormat="false" ht="15" hidden="false" customHeight="false" outlineLevel="0" collapsed="false">
      <c r="A79" s="10" t="s">
        <v>2329</v>
      </c>
      <c r="B79" s="10" t="n">
        <f aca="false">COUNTIF($C$5:$C$65,A79)</f>
        <v>10</v>
      </c>
      <c r="D79" s="10" t="s">
        <v>1042</v>
      </c>
      <c r="E79" s="10" t="n">
        <f aca="false">COUNTIF(04_ACCIONES!$D$5:$D$67,D79)</f>
        <v>5</v>
      </c>
    </row>
    <row r="80" customFormat="false" ht="15" hidden="false" customHeight="false" outlineLevel="0" collapsed="false">
      <c r="A80" s="10" t="s">
        <v>2354</v>
      </c>
      <c r="B80" s="10" t="n">
        <f aca="false">COUNTIF($C$5:$C$65,A80)</f>
        <v>14</v>
      </c>
      <c r="D80" s="10" t="s">
        <v>1074</v>
      </c>
      <c r="E80" s="10" t="n">
        <f aca="false">COUNTIF(04_ACCIONES!$D$5:$D$67,D80)</f>
        <v>2</v>
      </c>
    </row>
    <row r="81" customFormat="false" ht="15" hidden="false" customHeight="false" outlineLevel="0" collapsed="false">
      <c r="A81" s="10" t="s">
        <v>2390</v>
      </c>
      <c r="B81" s="10" t="n">
        <f aca="false">COUNTIF($C$5:$C$65,A81)</f>
        <v>7</v>
      </c>
      <c r="D81" s="10" t="s">
        <v>892</v>
      </c>
      <c r="E81" s="10" t="n">
        <f aca="false">COUNTIF(04_ACCIONES!$D$5:$D$67,D81)</f>
        <v>5</v>
      </c>
    </row>
    <row r="82" customFormat="false" ht="15" hidden="false" customHeight="false" outlineLevel="0" collapsed="false">
      <c r="A82" s="10" t="s">
        <v>2409</v>
      </c>
      <c r="B82" s="10" t="n">
        <f aca="false">COUNTIF($C$5:$C$65,A82)</f>
        <v>7</v>
      </c>
      <c r="D82" s="10" t="s">
        <v>306</v>
      </c>
      <c r="E82" s="10" t="n">
        <f aca="false">COUNTIF(04_ACCIONES!$D$5:$D$67,D82)</f>
        <v>7</v>
      </c>
    </row>
    <row r="83" customFormat="false" ht="15" hidden="false" customHeight="false" outlineLevel="0" collapsed="false">
      <c r="A83" s="10" t="s">
        <v>2425</v>
      </c>
      <c r="B83" s="10" t="n">
        <f aca="false">COUNTIF($C$5:$C$65,A83)</f>
        <v>8</v>
      </c>
      <c r="D83" s="10" t="s">
        <v>1145</v>
      </c>
      <c r="E83" s="10" t="n">
        <f aca="false">COUNTIF(04_ACCIONES!$D$5:$D$67,D83)</f>
        <v>3</v>
      </c>
    </row>
    <row r="84" customFormat="false" ht="15" hidden="false" customHeight="false" outlineLevel="0" collapsed="false">
      <c r="A84" s="10" t="s">
        <v>2443</v>
      </c>
      <c r="B84" s="10" t="n">
        <f aca="false">COUNTIF($C$5:$C$65,A84)</f>
        <v>1</v>
      </c>
      <c r="D84" s="10" t="s">
        <v>1172</v>
      </c>
      <c r="E84" s="10" t="n">
        <f aca="false">COUNTIF(04_ACCIONES!$D$5:$D$67,D84)</f>
        <v>6</v>
      </c>
    </row>
    <row r="85" customFormat="false" ht="15" hidden="false" customHeight="false" outlineLevel="0" collapsed="false">
      <c r="A85" s="10" t="s">
        <v>2447</v>
      </c>
      <c r="B85" s="10" t="n">
        <f aca="false">COUNTIF($C$5:$C$65,A85)</f>
        <v>1</v>
      </c>
      <c r="D85" s="10" t="s">
        <v>922</v>
      </c>
      <c r="E85" s="10" t="n">
        <f aca="false">COUNTIF(04_ACCIONES!$D$5:$D$67,D85)</f>
        <v>10</v>
      </c>
    </row>
    <row r="86" customFormat="false" ht="15" hidden="false" customHeight="false" outlineLevel="0" collapsed="false">
      <c r="A86" s="10" t="s">
        <v>2449</v>
      </c>
      <c r="B86" s="10" t="n">
        <f aca="false">COUNTIF($C$5:$C$65,A86)</f>
        <v>1</v>
      </c>
      <c r="D86" s="10" t="s">
        <v>1118</v>
      </c>
      <c r="E86" s="10" t="n">
        <f aca="false">COUNTIF(04_ACCIONES!$D$5:$D$67,D86)</f>
        <v>5</v>
      </c>
    </row>
    <row r="87" customFormat="false" ht="15" hidden="false" customHeight="false" outlineLevel="0" collapsed="false">
      <c r="D87" s="10" t="s">
        <v>988</v>
      </c>
      <c r="E87" s="10" t="n">
        <f aca="false">COUNTIF(04_ACCIONES!$D$5:$D$67,D87)</f>
        <v>10</v>
      </c>
    </row>
    <row r="89" customFormat="false" ht="15" hidden="false" customHeight="false" outlineLevel="0" collapsed="false">
      <c r="A89" s="14" t="s">
        <v>2458</v>
      </c>
    </row>
    <row r="90" customFormat="false" ht="15" hidden="false" customHeight="false" outlineLevel="0" collapsed="false">
      <c r="A90" s="11" t="s">
        <v>2459</v>
      </c>
      <c r="B90" s="11" t="s">
        <v>2460</v>
      </c>
    </row>
    <row r="91" customFormat="false" ht="46.25" hidden="false" customHeight="false" outlineLevel="0" collapsed="false">
      <c r="A91" s="12" t="s">
        <v>2461</v>
      </c>
      <c r="B91" s="12" t="s">
        <v>2462</v>
      </c>
    </row>
    <row r="92" customFormat="false" ht="68.65" hidden="false" customHeight="false" outlineLevel="0" collapsed="false">
      <c r="A92" s="12" t="s">
        <v>2463</v>
      </c>
      <c r="B92" s="12" t="s">
        <v>2464</v>
      </c>
    </row>
    <row r="93" customFormat="false" ht="57.45" hidden="false" customHeight="false" outlineLevel="0" collapsed="false">
      <c r="A93" s="12" t="s">
        <v>2465</v>
      </c>
      <c r="B93" s="12" t="s">
        <v>2466</v>
      </c>
    </row>
    <row r="94" customFormat="false" ht="35.05" hidden="false" customHeight="false" outlineLevel="0" collapsed="false">
      <c r="A94" s="12" t="s">
        <v>2467</v>
      </c>
      <c r="B94" s="12" t="s">
        <v>2468</v>
      </c>
    </row>
    <row r="95" customFormat="false" ht="46.25" hidden="false" customHeight="false" outlineLevel="0" collapsed="false">
      <c r="A95" s="12" t="s">
        <v>2469</v>
      </c>
      <c r="B95" s="12" t="s">
        <v>2470</v>
      </c>
    </row>
    <row r="96" customFormat="false" ht="23.85" hidden="false" customHeight="false" outlineLevel="0" collapsed="false">
      <c r="A96" s="12" t="s">
        <v>2471</v>
      </c>
      <c r="B96" s="12" t="s">
        <v>2472</v>
      </c>
    </row>
    <row r="97" customFormat="false" ht="46.25" hidden="false" customHeight="false" outlineLevel="0" collapsed="false">
      <c r="A97" s="12" t="s">
        <v>2473</v>
      </c>
      <c r="B97" s="12" t="s">
        <v>2474</v>
      </c>
    </row>
    <row r="98" customFormat="false" ht="91" hidden="false" customHeight="false" outlineLevel="0" collapsed="false">
      <c r="A98" s="12" t="s">
        <v>2475</v>
      </c>
      <c r="B98" s="12" t="s">
        <v>2476</v>
      </c>
    </row>
    <row r="99" customFormat="false" ht="57.45" hidden="false" customHeight="false" outlineLevel="0" collapsed="false">
      <c r="A99" s="12" t="s">
        <v>2477</v>
      </c>
      <c r="B99" s="12" t="s">
        <v>2478</v>
      </c>
    </row>
    <row r="100" customFormat="false" ht="79.85" hidden="false" customHeight="false" outlineLevel="0" collapsed="false">
      <c r="A100" s="12" t="s">
        <v>2479</v>
      </c>
      <c r="B100" s="12" t="s">
        <v>2480</v>
      </c>
    </row>
    <row r="102" customFormat="false" ht="15" hidden="false" customHeight="false" outlineLevel="0" collapsed="false">
      <c r="A102" s="14" t="s">
        <v>2481</v>
      </c>
    </row>
    <row r="103" customFormat="false" ht="15" hidden="false" customHeight="false" outlineLevel="0" collapsed="false">
      <c r="A103" s="11" t="s">
        <v>2482</v>
      </c>
      <c r="B103" s="11" t="s">
        <v>2297</v>
      </c>
      <c r="C103" s="11" t="s">
        <v>2483</v>
      </c>
    </row>
    <row r="104" customFormat="false" ht="91" hidden="false" customHeight="false" outlineLevel="0" collapsed="false">
      <c r="A104" s="12" t="s">
        <v>2484</v>
      </c>
      <c r="B104" s="12" t="s">
        <v>2326</v>
      </c>
      <c r="C104" s="12" t="s">
        <v>2485</v>
      </c>
    </row>
    <row r="105" customFormat="false" ht="57.45" hidden="false" customHeight="false" outlineLevel="0" collapsed="false">
      <c r="A105" s="12" t="s">
        <v>2486</v>
      </c>
      <c r="B105" s="12" t="s">
        <v>1080</v>
      </c>
      <c r="C105" s="12" t="s">
        <v>2487</v>
      </c>
    </row>
    <row r="106" customFormat="false" ht="91" hidden="false" customHeight="false" outlineLevel="0" collapsed="false">
      <c r="A106" s="12" t="s">
        <v>2488</v>
      </c>
      <c r="B106" s="12" t="s">
        <v>2326</v>
      </c>
      <c r="C106" s="12" t="s">
        <v>2489</v>
      </c>
    </row>
    <row r="107" customFormat="false" ht="46.25" hidden="false" customHeight="false" outlineLevel="0" collapsed="false">
      <c r="A107" s="12" t="s">
        <v>2490</v>
      </c>
      <c r="B107" s="12" t="s">
        <v>2326</v>
      </c>
      <c r="C107" s="12" t="s">
        <v>2491</v>
      </c>
    </row>
    <row r="108" customFormat="false" ht="35.05" hidden="false" customHeight="false" outlineLevel="0" collapsed="false">
      <c r="A108" s="12" t="s">
        <v>2492</v>
      </c>
      <c r="B108" s="12" t="s">
        <v>2326</v>
      </c>
      <c r="C108" s="12" t="s">
        <v>2493</v>
      </c>
    </row>
    <row r="109" customFormat="false" ht="35.05" hidden="false" customHeight="false" outlineLevel="0" collapsed="false">
      <c r="A109" s="12" t="s">
        <v>2494</v>
      </c>
      <c r="B109" s="12" t="s">
        <v>2326</v>
      </c>
      <c r="C109" s="12" t="s">
        <v>2495</v>
      </c>
    </row>
    <row r="110" customFormat="false" ht="46.25" hidden="false" customHeight="false" outlineLevel="0" collapsed="false">
      <c r="A110" s="12" t="s">
        <v>2496</v>
      </c>
      <c r="B110" s="12" t="s">
        <v>2365</v>
      </c>
      <c r="C110" s="12" t="s">
        <v>2497</v>
      </c>
    </row>
    <row r="111" customFormat="false" ht="23.85" hidden="false" customHeight="false" outlineLevel="0" collapsed="false">
      <c r="A111" s="12" t="s">
        <v>2498</v>
      </c>
      <c r="B111" s="12" t="s">
        <v>1080</v>
      </c>
      <c r="C111" s="12" t="s">
        <v>2499</v>
      </c>
    </row>
    <row r="112" customFormat="false" ht="35.05" hidden="false" customHeight="false" outlineLevel="0" collapsed="false">
      <c r="A112" s="12" t="s">
        <v>2500</v>
      </c>
      <c r="B112" s="12" t="s">
        <v>2501</v>
      </c>
      <c r="C112" s="12" t="s">
        <v>2502</v>
      </c>
    </row>
    <row r="113" customFormat="false" ht="113.4" hidden="false" customHeight="false" outlineLevel="0" collapsed="false">
      <c r="A113" s="12" t="s">
        <v>2503</v>
      </c>
      <c r="B113" s="12" t="s">
        <v>2365</v>
      </c>
      <c r="C113" s="12" t="s">
        <v>2504</v>
      </c>
    </row>
    <row r="114" customFormat="false" ht="102.2" hidden="false" customHeight="false" outlineLevel="0" collapsed="false">
      <c r="A114" s="12" t="s">
        <v>2505</v>
      </c>
      <c r="B114" s="12" t="s">
        <v>2365</v>
      </c>
      <c r="C114" s="12" t="s">
        <v>2506</v>
      </c>
    </row>
    <row r="115" customFormat="false" ht="46.25" hidden="false" customHeight="false" outlineLevel="0" collapsed="false">
      <c r="A115" s="12" t="s">
        <v>2507</v>
      </c>
      <c r="B115" s="12" t="s">
        <v>2326</v>
      </c>
      <c r="C115" s="12" t="s">
        <v>2508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2509</v>
      </c>
    </row>
    <row r="2" customFormat="false" ht="15" hidden="false" customHeight="false" outlineLevel="0" collapsed="false">
      <c r="A2" s="2" t="s">
        <v>2510</v>
      </c>
    </row>
    <row r="4" customFormat="false" ht="15" hidden="false" customHeight="false" outlineLevel="0" collapsed="false">
      <c r="A4" s="11" t="s">
        <v>801</v>
      </c>
      <c r="B4" s="11" t="s">
        <v>2511</v>
      </c>
      <c r="C4" s="11" t="s">
        <v>2512</v>
      </c>
      <c r="D4" s="11" t="s">
        <v>2513</v>
      </c>
    </row>
    <row r="5" customFormat="false" ht="23.85" hidden="false" customHeight="false" outlineLevel="0" collapsed="false">
      <c r="A5" s="12" t="s">
        <v>826</v>
      </c>
      <c r="B5" s="12" t="s">
        <v>2514</v>
      </c>
      <c r="C5" s="12" t="s">
        <v>2515</v>
      </c>
      <c r="D5" s="12" t="s">
        <v>2516</v>
      </c>
    </row>
    <row r="6" customFormat="false" ht="15" hidden="false" customHeight="false" outlineLevel="0" collapsed="false">
      <c r="A6" s="12" t="s">
        <v>833</v>
      </c>
      <c r="B6" s="12" t="s">
        <v>2517</v>
      </c>
      <c r="C6" s="12" t="s">
        <v>2518</v>
      </c>
      <c r="D6" s="12" t="s">
        <v>2516</v>
      </c>
    </row>
    <row r="7" customFormat="false" ht="15" hidden="false" customHeight="false" outlineLevel="0" collapsed="false">
      <c r="A7" s="12" t="s">
        <v>840</v>
      </c>
      <c r="B7" s="12" t="s">
        <v>2519</v>
      </c>
      <c r="C7" s="12" t="s">
        <v>2520</v>
      </c>
      <c r="D7" s="12" t="s">
        <v>273</v>
      </c>
    </row>
    <row r="8" customFormat="false" ht="15" hidden="false" customHeight="false" outlineLevel="0" collapsed="false">
      <c r="A8" s="12" t="s">
        <v>846</v>
      </c>
      <c r="B8" s="12" t="s">
        <v>2521</v>
      </c>
      <c r="C8" s="12" t="s">
        <v>2522</v>
      </c>
      <c r="D8" s="12" t="s">
        <v>273</v>
      </c>
    </row>
    <row r="9" customFormat="false" ht="15" hidden="false" customHeight="false" outlineLevel="0" collapsed="false">
      <c r="A9" s="12" t="s">
        <v>908</v>
      </c>
      <c r="B9" s="12" t="s">
        <v>2523</v>
      </c>
      <c r="C9" s="12" t="s">
        <v>2524</v>
      </c>
      <c r="D9" s="12" t="s">
        <v>2516</v>
      </c>
    </row>
    <row r="10" customFormat="false" ht="15" hidden="false" customHeight="false" outlineLevel="0" collapsed="false">
      <c r="A10" s="12" t="s">
        <v>915</v>
      </c>
      <c r="B10" s="12" t="s">
        <v>2525</v>
      </c>
      <c r="C10" s="12" t="s">
        <v>2526</v>
      </c>
      <c r="D10" s="12" t="s">
        <v>2516</v>
      </c>
    </row>
    <row r="11" customFormat="false" ht="15" hidden="false" customHeight="false" outlineLevel="0" collapsed="false">
      <c r="A11" s="12" t="s">
        <v>903</v>
      </c>
      <c r="B11" s="12" t="s">
        <v>2527</v>
      </c>
      <c r="C11" s="12" t="s">
        <v>2528</v>
      </c>
      <c r="D11" s="12" t="s">
        <v>2516</v>
      </c>
    </row>
    <row r="12" customFormat="false" ht="15" hidden="false" customHeight="false" outlineLevel="0" collapsed="false">
      <c r="A12" s="12" t="s">
        <v>926</v>
      </c>
      <c r="B12" s="12" t="s">
        <v>2529</v>
      </c>
      <c r="C12" s="12" t="s">
        <v>2530</v>
      </c>
      <c r="D12" s="12" t="s">
        <v>273</v>
      </c>
    </row>
    <row r="13" customFormat="false" ht="15" hidden="false" customHeight="false" outlineLevel="0" collapsed="false">
      <c r="A13" s="12" t="s">
        <v>944</v>
      </c>
      <c r="B13" s="12" t="s">
        <v>2531</v>
      </c>
      <c r="C13" s="12" t="s">
        <v>2532</v>
      </c>
      <c r="D13" s="12" t="s">
        <v>273</v>
      </c>
    </row>
    <row r="14" customFormat="false" ht="15" hidden="false" customHeight="false" outlineLevel="0" collapsed="false">
      <c r="A14" s="12" t="s">
        <v>963</v>
      </c>
      <c r="B14" s="12" t="s">
        <v>2533</v>
      </c>
      <c r="C14" s="12" t="s">
        <v>2534</v>
      </c>
      <c r="D14" s="12" t="s">
        <v>273</v>
      </c>
    </row>
    <row r="15" customFormat="false" ht="15" hidden="false" customHeight="false" outlineLevel="0" collapsed="false">
      <c r="A15" s="12" t="s">
        <v>968</v>
      </c>
      <c r="B15" s="12" t="s">
        <v>2535</v>
      </c>
      <c r="C15" s="12" t="s">
        <v>2536</v>
      </c>
      <c r="D15" s="12" t="s">
        <v>273</v>
      </c>
    </row>
    <row r="16" customFormat="false" ht="23.85" hidden="false" customHeight="false" outlineLevel="0" collapsed="false">
      <c r="A16" s="12" t="s">
        <v>976</v>
      </c>
      <c r="B16" s="12" t="s">
        <v>2537</v>
      </c>
      <c r="C16" s="12" t="s">
        <v>2538</v>
      </c>
      <c r="D16" s="12" t="s">
        <v>2539</v>
      </c>
    </row>
    <row r="17" customFormat="false" ht="15" hidden="false" customHeight="false" outlineLevel="0" collapsed="false">
      <c r="A17" s="12" t="s">
        <v>867</v>
      </c>
      <c r="B17" s="12" t="s">
        <v>2540</v>
      </c>
      <c r="C17" s="12" t="s">
        <v>2541</v>
      </c>
      <c r="D17" s="12" t="s">
        <v>321</v>
      </c>
    </row>
    <row r="18" customFormat="false" ht="15" hidden="false" customHeight="false" outlineLevel="0" collapsed="false">
      <c r="A18" s="12" t="s">
        <v>1028</v>
      </c>
      <c r="B18" s="12" t="s">
        <v>2542</v>
      </c>
      <c r="C18" s="12" t="s">
        <v>2543</v>
      </c>
      <c r="D18" s="12" t="s">
        <v>2516</v>
      </c>
    </row>
    <row r="19" customFormat="false" ht="15" hidden="false" customHeight="false" outlineLevel="0" collapsed="false">
      <c r="A19" s="12" t="s">
        <v>1034</v>
      </c>
      <c r="B19" s="12" t="s">
        <v>2525</v>
      </c>
      <c r="C19" s="12" t="s">
        <v>2544</v>
      </c>
      <c r="D19" s="12" t="s">
        <v>2516</v>
      </c>
    </row>
    <row r="20" customFormat="false" ht="23.85" hidden="false" customHeight="false" outlineLevel="0" collapsed="false">
      <c r="A20" s="12" t="s">
        <v>2450</v>
      </c>
      <c r="B20" s="12" t="s">
        <v>2545</v>
      </c>
      <c r="C20" s="12" t="s">
        <v>2546</v>
      </c>
      <c r="D20" s="12" t="s">
        <v>273</v>
      </c>
    </row>
    <row r="21" customFormat="false" ht="15" hidden="false" customHeight="false" outlineLevel="0" collapsed="false">
      <c r="A21" s="12" t="s">
        <v>1132</v>
      </c>
      <c r="B21" s="12" t="s">
        <v>2547</v>
      </c>
      <c r="C21" s="12" t="s">
        <v>2548</v>
      </c>
      <c r="D21" s="12" t="s">
        <v>273</v>
      </c>
    </row>
    <row r="22" customFormat="false" ht="15" hidden="false" customHeight="false" outlineLevel="0" collapsed="false">
      <c r="A22" s="12" t="s">
        <v>1142</v>
      </c>
      <c r="B22" s="12" t="s">
        <v>2549</v>
      </c>
      <c r="C22" s="12" t="s">
        <v>2550</v>
      </c>
      <c r="D22" s="12" t="s">
        <v>321</v>
      </c>
    </row>
    <row r="23" customFormat="false" ht="15" hidden="false" customHeight="false" outlineLevel="0" collapsed="false">
      <c r="A23" s="12" t="s">
        <v>1154</v>
      </c>
      <c r="B23" s="12" t="s">
        <v>2551</v>
      </c>
      <c r="C23" s="12" t="s">
        <v>2552</v>
      </c>
      <c r="D23" s="12" t="s">
        <v>2516</v>
      </c>
    </row>
    <row r="24" customFormat="false" ht="15" hidden="false" customHeight="false" outlineLevel="0" collapsed="false">
      <c r="A24" s="12" t="s">
        <v>1213</v>
      </c>
      <c r="B24" s="12" t="s">
        <v>2553</v>
      </c>
      <c r="C24" s="12" t="s">
        <v>2554</v>
      </c>
      <c r="D24" s="12" t="s">
        <v>273</v>
      </c>
    </row>
    <row r="25" customFormat="false" ht="15" hidden="false" customHeight="false" outlineLevel="0" collapsed="false">
      <c r="A25" s="12" t="s">
        <v>1200</v>
      </c>
      <c r="B25" s="12" t="s">
        <v>2555</v>
      </c>
      <c r="C25" s="12" t="s">
        <v>2556</v>
      </c>
      <c r="D25" s="12" t="s">
        <v>273</v>
      </c>
    </row>
    <row r="26" customFormat="false" ht="15" hidden="false" customHeight="false" outlineLevel="0" collapsed="false">
      <c r="A26" s="12" t="s">
        <v>2557</v>
      </c>
      <c r="B26" s="12" t="s">
        <v>2558</v>
      </c>
      <c r="C26" s="12" t="s">
        <v>202</v>
      </c>
      <c r="D26" s="12" t="s">
        <v>2516</v>
      </c>
    </row>
    <row r="28" customFormat="false" ht="15" hidden="false" customHeight="false" outlineLevel="0" collapsed="false">
      <c r="A28" s="14" t="s">
        <v>2559</v>
      </c>
    </row>
    <row r="29" customFormat="false" ht="15" hidden="false" customHeight="false" outlineLevel="0" collapsed="false">
      <c r="A29" s="11" t="s">
        <v>2560</v>
      </c>
      <c r="B29" s="11" t="s">
        <v>2561</v>
      </c>
    </row>
    <row r="30" customFormat="false" ht="23.85" hidden="false" customHeight="false" outlineLevel="0" collapsed="false">
      <c r="A30" s="12" t="s">
        <v>2562</v>
      </c>
      <c r="B30" s="12" t="s">
        <v>2563</v>
      </c>
    </row>
    <row r="31" customFormat="false" ht="23.85" hidden="false" customHeight="false" outlineLevel="0" collapsed="false">
      <c r="A31" s="12" t="s">
        <v>2564</v>
      </c>
      <c r="B31" s="12" t="s">
        <v>2565</v>
      </c>
    </row>
    <row r="32" customFormat="false" ht="23.85" hidden="false" customHeight="false" outlineLevel="0" collapsed="false">
      <c r="A32" s="12" t="s">
        <v>2566</v>
      </c>
      <c r="B32" s="12" t="s">
        <v>2567</v>
      </c>
    </row>
    <row r="33" customFormat="false" ht="15" hidden="false" customHeight="false" outlineLevel="0" collapsed="false">
      <c r="A33" s="12" t="s">
        <v>2568</v>
      </c>
      <c r="B33" s="12" t="s">
        <v>2569</v>
      </c>
    </row>
    <row r="34" customFormat="false" ht="15" hidden="false" customHeight="false" outlineLevel="0" collapsed="false">
      <c r="A34" s="12" t="s">
        <v>2570</v>
      </c>
      <c r="B34" s="12" t="s">
        <v>2571</v>
      </c>
    </row>
    <row r="35" customFormat="false" ht="15" hidden="false" customHeight="false" outlineLevel="0" collapsed="false">
      <c r="A35" s="12" t="s">
        <v>2572</v>
      </c>
      <c r="B35" s="12" t="s">
        <v>2573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5" min="4" style="0" width="40"/>
    <col collapsed="false" customWidth="true" hidden="false" outlineLevel="0" max="6" min="6" style="0" width="22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2574</v>
      </c>
    </row>
    <row r="2" customFormat="false" ht="15" hidden="false" customHeight="false" outlineLevel="0" collapsed="false">
      <c r="A2" s="2" t="s">
        <v>2575</v>
      </c>
    </row>
    <row r="4" customFormat="false" ht="15" hidden="false" customHeight="false" outlineLevel="0" collapsed="false">
      <c r="A4" s="3" t="s">
        <v>2576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25" t="s">
        <v>2577</v>
      </c>
    </row>
    <row r="6" customFormat="false" ht="15" hidden="false" customHeight="false" outlineLevel="0" collapsed="false">
      <c r="A6" s="26" t="s">
        <v>1966</v>
      </c>
      <c r="B6" s="26" t="s">
        <v>2578</v>
      </c>
      <c r="C6" s="26" t="s">
        <v>2579</v>
      </c>
      <c r="D6" s="26" t="s">
        <v>2580</v>
      </c>
      <c r="E6" s="26" t="s">
        <v>2581</v>
      </c>
      <c r="F6" s="26" t="s">
        <v>2582</v>
      </c>
      <c r="G6" s="26" t="s">
        <v>2583</v>
      </c>
    </row>
    <row r="7" customFormat="false" ht="35.05" hidden="false" customHeight="false" outlineLevel="0" collapsed="false">
      <c r="A7" s="12" t="n">
        <v>0</v>
      </c>
      <c r="B7" s="12" t="s">
        <v>2584</v>
      </c>
      <c r="C7" s="12" t="s">
        <v>202</v>
      </c>
      <c r="D7" s="12" t="s">
        <v>2585</v>
      </c>
      <c r="E7" s="12" t="s">
        <v>2586</v>
      </c>
      <c r="F7" s="12" t="s">
        <v>2587</v>
      </c>
      <c r="G7" s="12"/>
    </row>
    <row r="8" customFormat="false" ht="35.05" hidden="false" customHeight="false" outlineLevel="0" collapsed="false">
      <c r="A8" s="12" t="n">
        <v>1</v>
      </c>
      <c r="B8" s="12" t="s">
        <v>817</v>
      </c>
      <c r="C8" s="12" t="s">
        <v>202</v>
      </c>
      <c r="D8" s="12" t="s">
        <v>2588</v>
      </c>
      <c r="E8" s="12" t="s">
        <v>2589</v>
      </c>
      <c r="F8" s="12" t="s">
        <v>2590</v>
      </c>
      <c r="G8" s="27" t="s">
        <v>2591</v>
      </c>
    </row>
    <row r="9" customFormat="false" ht="35.05" hidden="false" customHeight="false" outlineLevel="0" collapsed="false">
      <c r="A9" s="12" t="n">
        <v>2</v>
      </c>
      <c r="B9" s="12" t="s">
        <v>817</v>
      </c>
      <c r="C9" s="12" t="s">
        <v>202</v>
      </c>
      <c r="D9" s="12" t="s">
        <v>2592</v>
      </c>
      <c r="E9" s="12" t="s">
        <v>2593</v>
      </c>
      <c r="F9" s="12" t="s">
        <v>2594</v>
      </c>
      <c r="G9" s="27" t="s">
        <v>2595</v>
      </c>
    </row>
    <row r="10" customFormat="false" ht="46.25" hidden="false" customHeight="false" outlineLevel="0" collapsed="false">
      <c r="A10" s="12" t="n">
        <v>3</v>
      </c>
      <c r="B10" s="12" t="s">
        <v>817</v>
      </c>
      <c r="C10" s="12" t="s">
        <v>2596</v>
      </c>
      <c r="D10" s="12" t="s">
        <v>2597</v>
      </c>
      <c r="E10" s="12" t="s">
        <v>2598</v>
      </c>
      <c r="F10" s="12" t="s">
        <v>2599</v>
      </c>
      <c r="G10" s="27" t="s">
        <v>2600</v>
      </c>
    </row>
    <row r="11" customFormat="false" ht="124.6" hidden="false" customHeight="false" outlineLevel="0" collapsed="false">
      <c r="A11" s="12" t="n">
        <v>4</v>
      </c>
      <c r="B11" s="12" t="s">
        <v>817</v>
      </c>
      <c r="C11" s="12" t="s">
        <v>2601</v>
      </c>
      <c r="D11" s="12" t="s">
        <v>2602</v>
      </c>
      <c r="E11" s="12" t="s">
        <v>2603</v>
      </c>
      <c r="F11" s="12" t="s">
        <v>2604</v>
      </c>
      <c r="G11" s="27" t="s">
        <v>2605</v>
      </c>
    </row>
    <row r="12" customFormat="false" ht="158.2" hidden="false" customHeight="false" outlineLevel="0" collapsed="false">
      <c r="A12" s="12" t="n">
        <v>5</v>
      </c>
      <c r="B12" s="12" t="s">
        <v>817</v>
      </c>
      <c r="C12" s="12" t="s">
        <v>2606</v>
      </c>
      <c r="D12" s="12" t="s">
        <v>2607</v>
      </c>
      <c r="E12" s="12" t="s">
        <v>2608</v>
      </c>
      <c r="F12" s="12" t="s">
        <v>2609</v>
      </c>
      <c r="G12" s="27" t="s">
        <v>2610</v>
      </c>
    </row>
    <row r="13" customFormat="false" ht="79.85" hidden="false" customHeight="false" outlineLevel="0" collapsed="false">
      <c r="A13" s="12" t="n">
        <v>6</v>
      </c>
      <c r="B13" s="12" t="s">
        <v>202</v>
      </c>
      <c r="C13" s="12" t="s">
        <v>2611</v>
      </c>
      <c r="D13" s="12" t="s">
        <v>2612</v>
      </c>
      <c r="E13" s="12" t="s">
        <v>2613</v>
      </c>
      <c r="F13" s="12" t="s">
        <v>2614</v>
      </c>
      <c r="G13" s="27" t="s">
        <v>2615</v>
      </c>
    </row>
    <row r="14" customFormat="false" ht="102.2" hidden="false" customHeight="false" outlineLevel="0" collapsed="false">
      <c r="A14" s="12" t="n">
        <v>7</v>
      </c>
      <c r="B14" s="12" t="s">
        <v>202</v>
      </c>
      <c r="C14" s="12" t="s">
        <v>2616</v>
      </c>
      <c r="D14" s="12" t="s">
        <v>2617</v>
      </c>
      <c r="E14" s="12" t="s">
        <v>2618</v>
      </c>
      <c r="F14" s="12" t="s">
        <v>2619</v>
      </c>
      <c r="G14" s="12"/>
    </row>
    <row r="15" customFormat="false" ht="113.4" hidden="false" customHeight="false" outlineLevel="0" collapsed="false">
      <c r="A15" s="12" t="n">
        <v>8</v>
      </c>
      <c r="B15" s="12" t="s">
        <v>202</v>
      </c>
      <c r="C15" s="12" t="s">
        <v>2620</v>
      </c>
      <c r="D15" s="12" t="s">
        <v>2621</v>
      </c>
      <c r="E15" s="12" t="s">
        <v>2622</v>
      </c>
      <c r="F15" s="12" t="s">
        <v>2623</v>
      </c>
      <c r="G15" s="27" t="s">
        <v>2624</v>
      </c>
    </row>
    <row r="18" customFormat="false" ht="15" hidden="false" customHeight="false" outlineLevel="0" collapsed="false">
      <c r="A18" s="3" t="s">
        <v>2625</v>
      </c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25" t="s">
        <v>2626</v>
      </c>
    </row>
    <row r="20" customFormat="false" ht="15" hidden="false" customHeight="false" outlineLevel="0" collapsed="false">
      <c r="A20" s="26" t="s">
        <v>1966</v>
      </c>
      <c r="B20" s="26" t="s">
        <v>2578</v>
      </c>
      <c r="C20" s="26" t="s">
        <v>2579</v>
      </c>
      <c r="D20" s="26" t="s">
        <v>2580</v>
      </c>
      <c r="E20" s="26" t="s">
        <v>2581</v>
      </c>
      <c r="F20" s="26" t="s">
        <v>2582</v>
      </c>
      <c r="G20" s="26" t="s">
        <v>2583</v>
      </c>
    </row>
    <row r="21" customFormat="false" ht="23.85" hidden="false" customHeight="false" outlineLevel="0" collapsed="false">
      <c r="A21" s="12" t="n">
        <v>0</v>
      </c>
      <c r="B21" s="12" t="s">
        <v>2584</v>
      </c>
      <c r="C21" s="12" t="s">
        <v>202</v>
      </c>
      <c r="D21" s="12" t="s">
        <v>2627</v>
      </c>
      <c r="E21" s="12" t="s">
        <v>2628</v>
      </c>
      <c r="F21" s="12" t="s">
        <v>2587</v>
      </c>
      <c r="G21" s="12"/>
    </row>
    <row r="22" customFormat="false" ht="23.85" hidden="false" customHeight="false" outlineLevel="0" collapsed="false">
      <c r="A22" s="12" t="n">
        <v>1</v>
      </c>
      <c r="B22" s="12" t="s">
        <v>817</v>
      </c>
      <c r="C22" s="12" t="s">
        <v>202</v>
      </c>
      <c r="D22" s="12" t="s">
        <v>2629</v>
      </c>
      <c r="E22" s="12" t="s">
        <v>2630</v>
      </c>
      <c r="F22" s="12" t="s">
        <v>2590</v>
      </c>
      <c r="G22" s="12"/>
    </row>
    <row r="23" customFormat="false" ht="23.85" hidden="false" customHeight="false" outlineLevel="0" collapsed="false">
      <c r="A23" s="12" t="n">
        <v>2</v>
      </c>
      <c r="B23" s="12" t="s">
        <v>202</v>
      </c>
      <c r="C23" s="12" t="s">
        <v>202</v>
      </c>
      <c r="D23" s="12" t="s">
        <v>2631</v>
      </c>
      <c r="E23" s="12" t="s">
        <v>2632</v>
      </c>
      <c r="F23" s="12" t="s">
        <v>2633</v>
      </c>
      <c r="G23" s="12"/>
    </row>
    <row r="24" customFormat="false" ht="23.85" hidden="false" customHeight="false" outlineLevel="0" collapsed="false">
      <c r="A24" s="12" t="n">
        <v>3</v>
      </c>
      <c r="B24" s="12" t="s">
        <v>817</v>
      </c>
      <c r="C24" s="12" t="s">
        <v>202</v>
      </c>
      <c r="D24" s="12" t="s">
        <v>2634</v>
      </c>
      <c r="E24" s="12" t="s">
        <v>2635</v>
      </c>
      <c r="F24" s="12" t="s">
        <v>2636</v>
      </c>
      <c r="G24" s="12"/>
    </row>
    <row r="25" customFormat="false" ht="23.85" hidden="false" customHeight="false" outlineLevel="0" collapsed="false">
      <c r="A25" s="12" t="n">
        <v>4</v>
      </c>
      <c r="B25" s="12" t="s">
        <v>202</v>
      </c>
      <c r="C25" s="12" t="s">
        <v>202</v>
      </c>
      <c r="D25" s="12" t="s">
        <v>2637</v>
      </c>
      <c r="E25" s="12" t="s">
        <v>2638</v>
      </c>
      <c r="F25" s="12" t="s">
        <v>2639</v>
      </c>
      <c r="G25" s="12"/>
    </row>
    <row r="26" customFormat="false" ht="46.25" hidden="false" customHeight="false" outlineLevel="0" collapsed="false">
      <c r="A26" s="12" t="n">
        <v>5</v>
      </c>
      <c r="B26" s="12" t="s">
        <v>817</v>
      </c>
      <c r="C26" s="12" t="s">
        <v>2596</v>
      </c>
      <c r="D26" s="12" t="s">
        <v>2640</v>
      </c>
      <c r="E26" s="12" t="s">
        <v>2641</v>
      </c>
      <c r="F26" s="12" t="s">
        <v>2642</v>
      </c>
      <c r="G26" s="27" t="s">
        <v>2643</v>
      </c>
    </row>
    <row r="27" customFormat="false" ht="23.85" hidden="false" customHeight="false" outlineLevel="0" collapsed="false">
      <c r="A27" s="12" t="n">
        <v>6</v>
      </c>
      <c r="B27" s="12" t="s">
        <v>202</v>
      </c>
      <c r="C27" s="12" t="s">
        <v>2644</v>
      </c>
      <c r="D27" s="12" t="s">
        <v>2645</v>
      </c>
      <c r="E27" s="12" t="s">
        <v>2646</v>
      </c>
      <c r="F27" s="12" t="s">
        <v>2647</v>
      </c>
      <c r="G27" s="12"/>
    </row>
    <row r="28" customFormat="false" ht="79.85" hidden="false" customHeight="false" outlineLevel="0" collapsed="false">
      <c r="A28" s="12" t="n">
        <v>7</v>
      </c>
      <c r="B28" s="12" t="s">
        <v>817</v>
      </c>
      <c r="C28" s="12" t="s">
        <v>2648</v>
      </c>
      <c r="D28" s="12" t="s">
        <v>2649</v>
      </c>
      <c r="E28" s="12" t="s">
        <v>2650</v>
      </c>
      <c r="F28" s="12" t="s">
        <v>2651</v>
      </c>
      <c r="G28" s="12"/>
    </row>
    <row r="29" customFormat="false" ht="68.65" hidden="false" customHeight="false" outlineLevel="0" collapsed="false">
      <c r="A29" s="12" t="n">
        <v>8</v>
      </c>
      <c r="B29" s="12" t="s">
        <v>202</v>
      </c>
      <c r="C29" s="12" t="s">
        <v>2652</v>
      </c>
      <c r="D29" s="12" t="s">
        <v>2653</v>
      </c>
      <c r="E29" s="12" t="s">
        <v>2654</v>
      </c>
      <c r="F29" s="12" t="s">
        <v>2655</v>
      </c>
      <c r="G29" s="27" t="s">
        <v>2656</v>
      </c>
    </row>
    <row r="32" customFormat="false" ht="15" hidden="false" customHeight="false" outlineLevel="0" collapsed="false">
      <c r="A32" s="3" t="s">
        <v>2657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25" t="s">
        <v>2658</v>
      </c>
    </row>
    <row r="34" customFormat="false" ht="15" hidden="false" customHeight="false" outlineLevel="0" collapsed="false">
      <c r="A34" s="26" t="s">
        <v>1966</v>
      </c>
      <c r="B34" s="26" t="s">
        <v>2578</v>
      </c>
      <c r="C34" s="26" t="s">
        <v>2579</v>
      </c>
      <c r="D34" s="26" t="s">
        <v>2580</v>
      </c>
      <c r="E34" s="26" t="s">
        <v>2581</v>
      </c>
      <c r="F34" s="26" t="s">
        <v>2582</v>
      </c>
      <c r="G34" s="26" t="s">
        <v>2583</v>
      </c>
    </row>
    <row r="35" customFormat="false" ht="23.85" hidden="false" customHeight="false" outlineLevel="0" collapsed="false">
      <c r="A35" s="12" t="n">
        <v>0</v>
      </c>
      <c r="B35" s="12" t="s">
        <v>2584</v>
      </c>
      <c r="C35" s="12" t="s">
        <v>202</v>
      </c>
      <c r="D35" s="12" t="s">
        <v>2659</v>
      </c>
      <c r="E35" s="12" t="s">
        <v>2660</v>
      </c>
      <c r="F35" s="12" t="s">
        <v>2587</v>
      </c>
      <c r="G35" s="12"/>
    </row>
    <row r="36" customFormat="false" ht="23.85" hidden="false" customHeight="false" outlineLevel="0" collapsed="false">
      <c r="A36" s="12" t="n">
        <v>1</v>
      </c>
      <c r="B36" s="12" t="s">
        <v>1077</v>
      </c>
      <c r="C36" s="12" t="s">
        <v>202</v>
      </c>
      <c r="D36" s="12" t="s">
        <v>2661</v>
      </c>
      <c r="E36" s="12" t="s">
        <v>2662</v>
      </c>
      <c r="F36" s="12" t="s">
        <v>2663</v>
      </c>
      <c r="G36" s="27" t="s">
        <v>2664</v>
      </c>
    </row>
    <row r="37" customFormat="false" ht="23.85" hidden="false" customHeight="false" outlineLevel="0" collapsed="false">
      <c r="A37" s="12" t="n">
        <v>2</v>
      </c>
      <c r="B37" s="12" t="s">
        <v>1084</v>
      </c>
      <c r="C37" s="12" t="s">
        <v>202</v>
      </c>
      <c r="D37" s="12" t="s">
        <v>2665</v>
      </c>
      <c r="E37" s="12" t="s">
        <v>2666</v>
      </c>
      <c r="F37" s="12" t="s">
        <v>2667</v>
      </c>
      <c r="G37" s="27" t="s">
        <v>2668</v>
      </c>
    </row>
    <row r="38" customFormat="false" ht="23.85" hidden="false" customHeight="false" outlineLevel="0" collapsed="false">
      <c r="A38" s="12" t="n">
        <v>3</v>
      </c>
      <c r="B38" s="12" t="s">
        <v>202</v>
      </c>
      <c r="C38" s="12" t="s">
        <v>202</v>
      </c>
      <c r="D38" s="12" t="s">
        <v>2669</v>
      </c>
      <c r="E38" s="12" t="s">
        <v>2670</v>
      </c>
      <c r="F38" s="12" t="s">
        <v>2671</v>
      </c>
      <c r="G38" s="27" t="s">
        <v>2672</v>
      </c>
    </row>
    <row r="39" customFormat="false" ht="23.85" hidden="false" customHeight="false" outlineLevel="0" collapsed="false">
      <c r="A39" s="12" t="n">
        <v>4</v>
      </c>
      <c r="B39" s="12" t="s">
        <v>202</v>
      </c>
      <c r="C39" s="12" t="s">
        <v>202</v>
      </c>
      <c r="D39" s="12" t="s">
        <v>2673</v>
      </c>
      <c r="E39" s="12" t="s">
        <v>2674</v>
      </c>
      <c r="F39" s="12" t="s">
        <v>2675</v>
      </c>
      <c r="G39" s="27" t="s">
        <v>2676</v>
      </c>
    </row>
    <row r="40" customFormat="false" ht="35.05" hidden="false" customHeight="false" outlineLevel="0" collapsed="false">
      <c r="A40" s="12" t="n">
        <v>5</v>
      </c>
      <c r="B40" s="12" t="s">
        <v>202</v>
      </c>
      <c r="C40" s="12" t="s">
        <v>202</v>
      </c>
      <c r="D40" s="12" t="s">
        <v>2677</v>
      </c>
      <c r="E40" s="12" t="s">
        <v>2678</v>
      </c>
      <c r="F40" s="12" t="s">
        <v>2679</v>
      </c>
      <c r="G40" s="27" t="s">
        <v>2680</v>
      </c>
    </row>
    <row r="41" customFormat="false" ht="35.05" hidden="false" customHeight="false" outlineLevel="0" collapsed="false">
      <c r="A41" s="12" t="n">
        <v>6</v>
      </c>
      <c r="B41" s="12" t="s">
        <v>202</v>
      </c>
      <c r="C41" s="12" t="s">
        <v>202</v>
      </c>
      <c r="D41" s="12" t="s">
        <v>2681</v>
      </c>
      <c r="E41" s="12" t="s">
        <v>2682</v>
      </c>
      <c r="F41" s="12" t="s">
        <v>2683</v>
      </c>
      <c r="G41" s="27" t="s">
        <v>2684</v>
      </c>
    </row>
    <row r="42" customFormat="false" ht="35.05" hidden="false" customHeight="false" outlineLevel="0" collapsed="false">
      <c r="A42" s="12" t="n">
        <v>7</v>
      </c>
      <c r="B42" s="12" t="s">
        <v>202</v>
      </c>
      <c r="C42" s="12" t="s">
        <v>2644</v>
      </c>
      <c r="D42" s="12" t="s">
        <v>2685</v>
      </c>
      <c r="E42" s="12" t="s">
        <v>2686</v>
      </c>
      <c r="F42" s="12" t="s">
        <v>2687</v>
      </c>
      <c r="G42" s="12"/>
    </row>
    <row r="43" customFormat="false" ht="35.05" hidden="false" customHeight="false" outlineLevel="0" collapsed="false">
      <c r="A43" s="12" t="n">
        <v>8</v>
      </c>
      <c r="B43" s="12" t="s">
        <v>202</v>
      </c>
      <c r="C43" s="12" t="s">
        <v>2644</v>
      </c>
      <c r="D43" s="12" t="s">
        <v>2688</v>
      </c>
      <c r="E43" s="12" t="s">
        <v>2689</v>
      </c>
      <c r="F43" s="12" t="s">
        <v>2690</v>
      </c>
      <c r="G43" s="27" t="s">
        <v>2691</v>
      </c>
    </row>
    <row r="46" customFormat="false" ht="15" hidden="false" customHeight="false" outlineLevel="0" collapsed="false">
      <c r="A46" s="3" t="s">
        <v>2692</v>
      </c>
      <c r="B46" s="4"/>
      <c r="C46" s="4"/>
      <c r="D46" s="4"/>
      <c r="E46" s="4"/>
      <c r="F46" s="4"/>
      <c r="G46" s="4"/>
    </row>
    <row r="47" customFormat="false" ht="15" hidden="false" customHeight="false" outlineLevel="0" collapsed="false">
      <c r="A47" s="25" t="s">
        <v>2693</v>
      </c>
    </row>
    <row r="48" customFormat="false" ht="15" hidden="false" customHeight="false" outlineLevel="0" collapsed="false">
      <c r="A48" s="26" t="s">
        <v>1966</v>
      </c>
      <c r="B48" s="26" t="s">
        <v>2578</v>
      </c>
      <c r="C48" s="26" t="s">
        <v>2579</v>
      </c>
      <c r="D48" s="26" t="s">
        <v>2580</v>
      </c>
      <c r="E48" s="26" t="s">
        <v>2581</v>
      </c>
      <c r="F48" s="26" t="s">
        <v>2582</v>
      </c>
      <c r="G48" s="26" t="s">
        <v>2583</v>
      </c>
    </row>
    <row r="49" customFormat="false" ht="23.85" hidden="false" customHeight="false" outlineLevel="0" collapsed="false">
      <c r="A49" s="12" t="n">
        <v>0</v>
      </c>
      <c r="B49" s="12" t="s">
        <v>2584</v>
      </c>
      <c r="C49" s="12" t="s">
        <v>202</v>
      </c>
      <c r="D49" s="12" t="s">
        <v>2694</v>
      </c>
      <c r="E49" s="12" t="s">
        <v>2695</v>
      </c>
      <c r="F49" s="12" t="s">
        <v>2587</v>
      </c>
      <c r="G49" s="12"/>
    </row>
    <row r="50" customFormat="false" ht="35.05" hidden="false" customHeight="false" outlineLevel="0" collapsed="false">
      <c r="A50" s="12" t="n">
        <v>1</v>
      </c>
      <c r="B50" s="12" t="s">
        <v>958</v>
      </c>
      <c r="C50" s="12" t="s">
        <v>202</v>
      </c>
      <c r="D50" s="12" t="s">
        <v>2696</v>
      </c>
      <c r="E50" s="12" t="s">
        <v>2697</v>
      </c>
      <c r="F50" s="12" t="s">
        <v>2698</v>
      </c>
      <c r="G50" s="27" t="s">
        <v>2699</v>
      </c>
    </row>
    <row r="51" customFormat="false" ht="35.05" hidden="false" customHeight="false" outlineLevel="0" collapsed="false">
      <c r="A51" s="12" t="n">
        <v>2</v>
      </c>
      <c r="B51" s="12" t="s">
        <v>958</v>
      </c>
      <c r="C51" s="12" t="s">
        <v>202</v>
      </c>
      <c r="D51" s="12" t="s">
        <v>2700</v>
      </c>
      <c r="E51" s="12" t="s">
        <v>2701</v>
      </c>
      <c r="F51" s="12" t="s">
        <v>2702</v>
      </c>
      <c r="G51" s="12"/>
    </row>
    <row r="52" customFormat="false" ht="35.05" hidden="false" customHeight="false" outlineLevel="0" collapsed="false">
      <c r="A52" s="12" t="n">
        <v>3</v>
      </c>
      <c r="B52" s="12" t="s">
        <v>202</v>
      </c>
      <c r="C52" s="12" t="s">
        <v>202</v>
      </c>
      <c r="D52" s="12" t="s">
        <v>2703</v>
      </c>
      <c r="E52" s="12" t="s">
        <v>2704</v>
      </c>
      <c r="F52" s="12" t="s">
        <v>2705</v>
      </c>
      <c r="G52" s="27" t="s">
        <v>2706</v>
      </c>
    </row>
    <row r="53" customFormat="false" ht="35.05" hidden="false" customHeight="false" outlineLevel="0" collapsed="false">
      <c r="A53" s="12" t="n">
        <v>4</v>
      </c>
      <c r="B53" s="12" t="s">
        <v>202</v>
      </c>
      <c r="C53" s="12" t="s">
        <v>202</v>
      </c>
      <c r="D53" s="12" t="s">
        <v>2707</v>
      </c>
      <c r="E53" s="12" t="s">
        <v>2708</v>
      </c>
      <c r="F53" s="12" t="s">
        <v>2709</v>
      </c>
      <c r="G53" s="12"/>
    </row>
    <row r="54" customFormat="false" ht="35.05" hidden="false" customHeight="false" outlineLevel="0" collapsed="false">
      <c r="A54" s="12" t="n">
        <v>5</v>
      </c>
      <c r="B54" s="12" t="s">
        <v>202</v>
      </c>
      <c r="C54" s="12" t="s">
        <v>202</v>
      </c>
      <c r="D54" s="12" t="s">
        <v>2710</v>
      </c>
      <c r="E54" s="12" t="s">
        <v>2711</v>
      </c>
      <c r="F54" s="12" t="s">
        <v>2712</v>
      </c>
      <c r="G54" s="27" t="s">
        <v>2713</v>
      </c>
    </row>
    <row r="55" customFormat="false" ht="35.05" hidden="false" customHeight="false" outlineLevel="0" collapsed="false">
      <c r="A55" s="12" t="n">
        <v>6</v>
      </c>
      <c r="B55" s="12" t="s">
        <v>202</v>
      </c>
      <c r="C55" s="12" t="s">
        <v>202</v>
      </c>
      <c r="D55" s="12" t="s">
        <v>2714</v>
      </c>
      <c r="E55" s="12" t="s">
        <v>2715</v>
      </c>
      <c r="F55" s="12" t="s">
        <v>2716</v>
      </c>
      <c r="G55" s="12"/>
    </row>
    <row r="56" customFormat="false" ht="35.05" hidden="false" customHeight="false" outlineLevel="0" collapsed="false">
      <c r="A56" s="12" t="n">
        <v>7</v>
      </c>
      <c r="B56" s="12" t="s">
        <v>202</v>
      </c>
      <c r="C56" s="12" t="s">
        <v>202</v>
      </c>
      <c r="D56" s="12" t="s">
        <v>2717</v>
      </c>
      <c r="E56" s="12" t="s">
        <v>2718</v>
      </c>
      <c r="F56" s="12" t="s">
        <v>2719</v>
      </c>
      <c r="G56" s="27" t="s">
        <v>2720</v>
      </c>
    </row>
    <row r="57" customFormat="false" ht="35.05" hidden="false" customHeight="false" outlineLevel="0" collapsed="false">
      <c r="A57" s="12" t="n">
        <v>8</v>
      </c>
      <c r="B57" s="12" t="s">
        <v>817</v>
      </c>
      <c r="C57" s="12" t="s">
        <v>2721</v>
      </c>
      <c r="D57" s="12" t="s">
        <v>2722</v>
      </c>
      <c r="E57" s="12" t="s">
        <v>2723</v>
      </c>
      <c r="F57" s="12" t="s">
        <v>2724</v>
      </c>
      <c r="G57" s="27" t="s">
        <v>2725</v>
      </c>
    </row>
    <row r="60" customFormat="false" ht="15" hidden="false" customHeight="false" outlineLevel="0" collapsed="false">
      <c r="A60" s="3" t="s">
        <v>2726</v>
      </c>
      <c r="B60" s="4"/>
      <c r="C60" s="4"/>
      <c r="D60" s="4"/>
      <c r="E60" s="4"/>
      <c r="F60" s="4"/>
      <c r="G60" s="4"/>
    </row>
    <row r="61" customFormat="false" ht="15" hidden="false" customHeight="false" outlineLevel="0" collapsed="false">
      <c r="A61" s="25" t="s">
        <v>2727</v>
      </c>
    </row>
    <row r="62" customFormat="false" ht="15" hidden="false" customHeight="false" outlineLevel="0" collapsed="false">
      <c r="A62" s="26" t="s">
        <v>1966</v>
      </c>
      <c r="B62" s="26" t="s">
        <v>2578</v>
      </c>
      <c r="C62" s="26" t="s">
        <v>2579</v>
      </c>
      <c r="D62" s="26" t="s">
        <v>2580</v>
      </c>
      <c r="E62" s="26" t="s">
        <v>2581</v>
      </c>
      <c r="F62" s="26" t="s">
        <v>2582</v>
      </c>
      <c r="G62" s="26" t="s">
        <v>2583</v>
      </c>
    </row>
    <row r="63" customFormat="false" ht="23.85" hidden="false" customHeight="false" outlineLevel="0" collapsed="false">
      <c r="A63" s="12" t="n">
        <v>0</v>
      </c>
      <c r="B63" s="12" t="s">
        <v>2584</v>
      </c>
      <c r="C63" s="12" t="s">
        <v>202</v>
      </c>
      <c r="D63" s="12" t="s">
        <v>2728</v>
      </c>
      <c r="E63" s="12" t="s">
        <v>2729</v>
      </c>
      <c r="F63" s="12" t="s">
        <v>2587</v>
      </c>
      <c r="G63" s="12"/>
    </row>
    <row r="64" customFormat="false" ht="23.85" hidden="false" customHeight="false" outlineLevel="0" collapsed="false">
      <c r="A64" s="12" t="n">
        <v>1</v>
      </c>
      <c r="B64" s="12" t="s">
        <v>875</v>
      </c>
      <c r="C64" s="12" t="s">
        <v>202</v>
      </c>
      <c r="D64" s="12" t="s">
        <v>2730</v>
      </c>
      <c r="E64" s="12" t="s">
        <v>2731</v>
      </c>
      <c r="F64" s="12" t="s">
        <v>2732</v>
      </c>
      <c r="G64" s="27" t="s">
        <v>2733</v>
      </c>
    </row>
    <row r="65" customFormat="false" ht="23.85" hidden="false" customHeight="false" outlineLevel="0" collapsed="false">
      <c r="A65" s="12" t="n">
        <v>2</v>
      </c>
      <c r="B65" s="12" t="s">
        <v>2734</v>
      </c>
      <c r="C65" s="12" t="s">
        <v>202</v>
      </c>
      <c r="D65" s="12" t="s">
        <v>2735</v>
      </c>
      <c r="E65" s="12" t="s">
        <v>2736</v>
      </c>
      <c r="F65" s="12" t="s">
        <v>2737</v>
      </c>
      <c r="G65" s="12"/>
    </row>
    <row r="66" customFormat="false" ht="23.85" hidden="false" customHeight="false" outlineLevel="0" collapsed="false">
      <c r="A66" s="12" t="n">
        <v>3</v>
      </c>
      <c r="B66" s="12" t="s">
        <v>2738</v>
      </c>
      <c r="C66" s="12" t="s">
        <v>202</v>
      </c>
      <c r="D66" s="12" t="s">
        <v>2739</v>
      </c>
      <c r="E66" s="12" t="s">
        <v>2740</v>
      </c>
      <c r="F66" s="12" t="s">
        <v>2741</v>
      </c>
      <c r="G66" s="12"/>
    </row>
    <row r="67" customFormat="false" ht="23.85" hidden="false" customHeight="false" outlineLevel="0" collapsed="false">
      <c r="A67" s="12" t="n">
        <v>4</v>
      </c>
      <c r="B67" s="12" t="s">
        <v>1039</v>
      </c>
      <c r="C67" s="12" t="s">
        <v>202</v>
      </c>
      <c r="D67" s="12" t="s">
        <v>2742</v>
      </c>
      <c r="E67" s="12" t="s">
        <v>2743</v>
      </c>
      <c r="F67" s="12" t="s">
        <v>2744</v>
      </c>
      <c r="G67" s="27" t="s">
        <v>2745</v>
      </c>
    </row>
    <row r="68" customFormat="false" ht="35.05" hidden="false" customHeight="false" outlineLevel="0" collapsed="false">
      <c r="A68" s="12" t="n">
        <v>5</v>
      </c>
      <c r="B68" s="12" t="s">
        <v>202</v>
      </c>
      <c r="C68" s="12" t="s">
        <v>2746</v>
      </c>
      <c r="D68" s="12" t="s">
        <v>2747</v>
      </c>
      <c r="E68" s="12" t="s">
        <v>2748</v>
      </c>
      <c r="F68" s="12" t="s">
        <v>2749</v>
      </c>
      <c r="G68" s="27" t="s">
        <v>2750</v>
      </c>
    </row>
    <row r="69" customFormat="false" ht="35.05" hidden="false" customHeight="false" outlineLevel="0" collapsed="false">
      <c r="A69" s="12" t="n">
        <v>6</v>
      </c>
      <c r="B69" s="12" t="s">
        <v>817</v>
      </c>
      <c r="C69" s="12" t="s">
        <v>2751</v>
      </c>
      <c r="D69" s="12" t="s">
        <v>2752</v>
      </c>
      <c r="E69" s="12" t="s">
        <v>2753</v>
      </c>
      <c r="F69" s="12" t="s">
        <v>2754</v>
      </c>
      <c r="G69" s="27" t="s">
        <v>2755</v>
      </c>
    </row>
    <row r="70" customFormat="false" ht="35.05" hidden="false" customHeight="false" outlineLevel="0" collapsed="false">
      <c r="A70" s="12" t="n">
        <v>7</v>
      </c>
      <c r="B70" s="12" t="s">
        <v>817</v>
      </c>
      <c r="C70" s="12" t="s">
        <v>2751</v>
      </c>
      <c r="D70" s="12" t="s">
        <v>2756</v>
      </c>
      <c r="E70" s="12" t="s">
        <v>2757</v>
      </c>
      <c r="F70" s="12" t="s">
        <v>2758</v>
      </c>
      <c r="G70" s="12"/>
    </row>
    <row r="71" customFormat="false" ht="79.85" hidden="false" customHeight="false" outlineLevel="0" collapsed="false">
      <c r="A71" s="12" t="n">
        <v>8</v>
      </c>
      <c r="B71" s="12" t="s">
        <v>817</v>
      </c>
      <c r="C71" s="12" t="s">
        <v>2759</v>
      </c>
      <c r="D71" s="12" t="s">
        <v>2760</v>
      </c>
      <c r="E71" s="12" t="s">
        <v>2761</v>
      </c>
      <c r="F71" s="12" t="s">
        <v>2762</v>
      </c>
      <c r="G71" s="27" t="s">
        <v>2763</v>
      </c>
    </row>
    <row r="74" customFormat="false" ht="15" hidden="false" customHeight="false" outlineLevel="0" collapsed="false">
      <c r="A74" s="3" t="s">
        <v>2764</v>
      </c>
      <c r="B74" s="4"/>
      <c r="C74" s="4"/>
      <c r="D74" s="4"/>
      <c r="E74" s="4"/>
      <c r="F74" s="4"/>
      <c r="G74" s="4"/>
    </row>
    <row r="75" customFormat="false" ht="15" hidden="false" customHeight="false" outlineLevel="0" collapsed="false">
      <c r="A75" s="25" t="s">
        <v>2765</v>
      </c>
    </row>
    <row r="76" customFormat="false" ht="15" hidden="false" customHeight="false" outlineLevel="0" collapsed="false">
      <c r="A76" s="26" t="s">
        <v>1966</v>
      </c>
      <c r="B76" s="26" t="s">
        <v>2578</v>
      </c>
      <c r="C76" s="26" t="s">
        <v>2579</v>
      </c>
      <c r="D76" s="26" t="s">
        <v>2580</v>
      </c>
      <c r="E76" s="26" t="s">
        <v>2581</v>
      </c>
      <c r="F76" s="26" t="s">
        <v>2582</v>
      </c>
      <c r="G76" s="26" t="s">
        <v>2583</v>
      </c>
    </row>
    <row r="77" customFormat="false" ht="35.05" hidden="false" customHeight="false" outlineLevel="0" collapsed="false">
      <c r="A77" s="12" t="n">
        <v>0</v>
      </c>
      <c r="B77" s="12" t="s">
        <v>2584</v>
      </c>
      <c r="C77" s="12" t="s">
        <v>202</v>
      </c>
      <c r="D77" s="12" t="s">
        <v>2766</v>
      </c>
      <c r="E77" s="12" t="s">
        <v>2767</v>
      </c>
      <c r="F77" s="12" t="s">
        <v>2587</v>
      </c>
      <c r="G77" s="12"/>
    </row>
    <row r="78" customFormat="false" ht="35.05" hidden="false" customHeight="false" outlineLevel="0" collapsed="false">
      <c r="A78" s="12" t="n">
        <v>1</v>
      </c>
      <c r="B78" s="12" t="s">
        <v>1132</v>
      </c>
      <c r="C78" s="12" t="s">
        <v>202</v>
      </c>
      <c r="D78" s="12" t="s">
        <v>2768</v>
      </c>
      <c r="E78" s="12" t="s">
        <v>2769</v>
      </c>
      <c r="F78" s="12" t="s">
        <v>2770</v>
      </c>
      <c r="G78" s="27" t="s">
        <v>2771</v>
      </c>
    </row>
    <row r="79" customFormat="false" ht="35.05" hidden="false" customHeight="false" outlineLevel="0" collapsed="false">
      <c r="A79" s="12" t="n">
        <v>2</v>
      </c>
      <c r="B79" s="12" t="s">
        <v>1132</v>
      </c>
      <c r="C79" s="12" t="s">
        <v>2772</v>
      </c>
      <c r="D79" s="12" t="s">
        <v>2773</v>
      </c>
      <c r="E79" s="12" t="s">
        <v>2774</v>
      </c>
      <c r="F79" s="12" t="s">
        <v>2775</v>
      </c>
      <c r="G79" s="27" t="s">
        <v>2776</v>
      </c>
    </row>
    <row r="80" customFormat="false" ht="35.05" hidden="false" customHeight="false" outlineLevel="0" collapsed="false">
      <c r="A80" s="12" t="n">
        <v>3</v>
      </c>
      <c r="B80" s="12" t="s">
        <v>1132</v>
      </c>
      <c r="C80" s="12" t="s">
        <v>2777</v>
      </c>
      <c r="D80" s="12" t="s">
        <v>2778</v>
      </c>
      <c r="E80" s="12" t="s">
        <v>2779</v>
      </c>
      <c r="F80" s="12" t="s">
        <v>2780</v>
      </c>
      <c r="G80" s="27" t="s">
        <v>2781</v>
      </c>
    </row>
    <row r="81" customFormat="false" ht="35.05" hidden="false" customHeight="false" outlineLevel="0" collapsed="false">
      <c r="A81" s="12" t="n">
        <v>4</v>
      </c>
      <c r="B81" s="12" t="s">
        <v>202</v>
      </c>
      <c r="C81" s="12" t="s">
        <v>202</v>
      </c>
      <c r="D81" s="12" t="s">
        <v>2782</v>
      </c>
      <c r="E81" s="12" t="s">
        <v>2783</v>
      </c>
      <c r="F81" s="12" t="s">
        <v>2784</v>
      </c>
      <c r="G81" s="27" t="s">
        <v>2785</v>
      </c>
    </row>
    <row r="82" customFormat="false" ht="35.05" hidden="false" customHeight="false" outlineLevel="0" collapsed="false">
      <c r="A82" s="12" t="n">
        <v>5</v>
      </c>
      <c r="B82" s="12" t="s">
        <v>202</v>
      </c>
      <c r="C82" s="12" t="s">
        <v>202</v>
      </c>
      <c r="D82" s="12" t="s">
        <v>2786</v>
      </c>
      <c r="E82" s="12" t="s">
        <v>2787</v>
      </c>
      <c r="F82" s="12" t="s">
        <v>2788</v>
      </c>
      <c r="G82" s="12"/>
    </row>
    <row r="83" customFormat="false" ht="35.05" hidden="false" customHeight="false" outlineLevel="0" collapsed="false">
      <c r="A83" s="12" t="n">
        <v>6</v>
      </c>
      <c r="B83" s="12" t="s">
        <v>202</v>
      </c>
      <c r="C83" s="12" t="s">
        <v>202</v>
      </c>
      <c r="D83" s="12" t="s">
        <v>2789</v>
      </c>
      <c r="E83" s="12" t="s">
        <v>2790</v>
      </c>
      <c r="F83" s="12" t="s">
        <v>2791</v>
      </c>
      <c r="G83" s="12"/>
    </row>
    <row r="84" customFormat="false" ht="46.25" hidden="false" customHeight="false" outlineLevel="0" collapsed="false">
      <c r="A84" s="12" t="n">
        <v>7</v>
      </c>
      <c r="B84" s="12" t="s">
        <v>202</v>
      </c>
      <c r="C84" s="12" t="s">
        <v>2792</v>
      </c>
      <c r="D84" s="12" t="s">
        <v>2793</v>
      </c>
      <c r="E84" s="12" t="s">
        <v>2794</v>
      </c>
      <c r="F84" s="12" t="s">
        <v>2795</v>
      </c>
      <c r="G84" s="12"/>
    </row>
    <row r="85" customFormat="false" ht="57.45" hidden="false" customHeight="false" outlineLevel="0" collapsed="false">
      <c r="A85" s="12" t="n">
        <v>8</v>
      </c>
      <c r="B85" s="12" t="s">
        <v>202</v>
      </c>
      <c r="C85" s="12" t="s">
        <v>2796</v>
      </c>
      <c r="D85" s="12" t="s">
        <v>2797</v>
      </c>
      <c r="E85" s="12" t="s">
        <v>2798</v>
      </c>
      <c r="F85" s="12" t="s">
        <v>2799</v>
      </c>
      <c r="G85" s="27" t="s">
        <v>2800</v>
      </c>
    </row>
    <row r="88" customFormat="false" ht="15" hidden="false" customHeight="false" outlineLevel="0" collapsed="false">
      <c r="A88" s="3" t="s">
        <v>2801</v>
      </c>
      <c r="B88" s="4"/>
      <c r="C88" s="4"/>
      <c r="D88" s="4"/>
      <c r="E88" s="4"/>
      <c r="F88" s="4"/>
      <c r="G88" s="4"/>
    </row>
    <row r="89" customFormat="false" ht="15" hidden="false" customHeight="false" outlineLevel="0" collapsed="false">
      <c r="A89" s="25" t="s">
        <v>2802</v>
      </c>
    </row>
    <row r="90" customFormat="false" ht="15" hidden="false" customHeight="false" outlineLevel="0" collapsed="false">
      <c r="A90" s="26" t="s">
        <v>1966</v>
      </c>
      <c r="B90" s="26" t="s">
        <v>2578</v>
      </c>
      <c r="C90" s="26" t="s">
        <v>2579</v>
      </c>
      <c r="D90" s="26" t="s">
        <v>2580</v>
      </c>
      <c r="E90" s="26" t="s">
        <v>2581</v>
      </c>
      <c r="F90" s="26" t="s">
        <v>2582</v>
      </c>
      <c r="G90" s="26" t="s">
        <v>2583</v>
      </c>
    </row>
    <row r="91" customFormat="false" ht="23.85" hidden="false" customHeight="false" outlineLevel="0" collapsed="false">
      <c r="A91" s="12" t="n">
        <v>0</v>
      </c>
      <c r="B91" s="12" t="s">
        <v>2584</v>
      </c>
      <c r="C91" s="12" t="s">
        <v>202</v>
      </c>
      <c r="D91" s="12" t="s">
        <v>2803</v>
      </c>
      <c r="E91" s="12" t="s">
        <v>2804</v>
      </c>
      <c r="F91" s="12" t="s">
        <v>2587</v>
      </c>
      <c r="G91" s="12"/>
    </row>
    <row r="92" customFormat="false" ht="23.85" hidden="false" customHeight="false" outlineLevel="0" collapsed="false">
      <c r="A92" s="12" t="n">
        <v>1</v>
      </c>
      <c r="B92" s="12" t="s">
        <v>826</v>
      </c>
      <c r="C92" s="12" t="s">
        <v>202</v>
      </c>
      <c r="D92" s="12" t="s">
        <v>2805</v>
      </c>
      <c r="E92" s="12" t="s">
        <v>2806</v>
      </c>
      <c r="F92" s="12" t="s">
        <v>2807</v>
      </c>
      <c r="G92" s="27" t="s">
        <v>2808</v>
      </c>
    </row>
    <row r="93" customFormat="false" ht="23.85" hidden="false" customHeight="false" outlineLevel="0" collapsed="false">
      <c r="A93" s="12" t="n">
        <v>2</v>
      </c>
      <c r="B93" s="12" t="s">
        <v>826</v>
      </c>
      <c r="C93" s="12" t="s">
        <v>202</v>
      </c>
      <c r="D93" s="12" t="s">
        <v>2809</v>
      </c>
      <c r="E93" s="12" t="s">
        <v>2810</v>
      </c>
      <c r="F93" s="12" t="s">
        <v>2811</v>
      </c>
      <c r="G93" s="12"/>
    </row>
    <row r="94" customFormat="false" ht="23.85" hidden="false" customHeight="false" outlineLevel="0" collapsed="false">
      <c r="A94" s="12" t="n">
        <v>3</v>
      </c>
      <c r="B94" s="12" t="s">
        <v>202</v>
      </c>
      <c r="C94" s="12" t="s">
        <v>2812</v>
      </c>
      <c r="D94" s="12" t="s">
        <v>2813</v>
      </c>
      <c r="E94" s="12" t="s">
        <v>2814</v>
      </c>
      <c r="F94" s="12" t="s">
        <v>2815</v>
      </c>
      <c r="G94" s="27" t="s">
        <v>2816</v>
      </c>
    </row>
    <row r="95" customFormat="false" ht="23.85" hidden="false" customHeight="false" outlineLevel="0" collapsed="false">
      <c r="A95" s="12" t="n">
        <v>4</v>
      </c>
      <c r="B95" s="12" t="s">
        <v>202</v>
      </c>
      <c r="C95" s="12" t="s">
        <v>2812</v>
      </c>
      <c r="D95" s="12" t="s">
        <v>2817</v>
      </c>
      <c r="E95" s="12" t="s">
        <v>2818</v>
      </c>
      <c r="F95" s="12" t="s">
        <v>2819</v>
      </c>
      <c r="G95" s="12"/>
    </row>
    <row r="96" customFormat="false" ht="23.85" hidden="false" customHeight="false" outlineLevel="0" collapsed="false">
      <c r="A96" s="12" t="n">
        <v>5</v>
      </c>
      <c r="B96" s="12" t="s">
        <v>202</v>
      </c>
      <c r="C96" s="12" t="s">
        <v>2812</v>
      </c>
      <c r="D96" s="12" t="s">
        <v>2820</v>
      </c>
      <c r="E96" s="12" t="s">
        <v>2821</v>
      </c>
      <c r="F96" s="12" t="s">
        <v>2822</v>
      </c>
      <c r="G96" s="12"/>
    </row>
    <row r="97" customFormat="false" ht="23.85" hidden="false" customHeight="false" outlineLevel="0" collapsed="false">
      <c r="A97" s="12" t="n">
        <v>6</v>
      </c>
      <c r="B97" s="12" t="s">
        <v>202</v>
      </c>
      <c r="C97" s="12" t="s">
        <v>2812</v>
      </c>
      <c r="D97" s="12" t="s">
        <v>2823</v>
      </c>
      <c r="E97" s="12" t="s">
        <v>2824</v>
      </c>
      <c r="F97" s="12" t="s">
        <v>2825</v>
      </c>
      <c r="G97" s="12"/>
    </row>
    <row r="98" customFormat="false" ht="23.85" hidden="false" customHeight="false" outlineLevel="0" collapsed="false">
      <c r="A98" s="12" t="n">
        <v>7</v>
      </c>
      <c r="B98" s="12" t="s">
        <v>202</v>
      </c>
      <c r="C98" s="12" t="s">
        <v>2812</v>
      </c>
      <c r="D98" s="12" t="s">
        <v>2826</v>
      </c>
      <c r="E98" s="12" t="s">
        <v>2827</v>
      </c>
      <c r="F98" s="12" t="s">
        <v>2828</v>
      </c>
      <c r="G98" s="12"/>
    </row>
    <row r="99" customFormat="false" ht="23.85" hidden="false" customHeight="false" outlineLevel="0" collapsed="false">
      <c r="A99" s="12" t="n">
        <v>8</v>
      </c>
      <c r="B99" s="12" t="s">
        <v>202</v>
      </c>
      <c r="C99" s="12" t="s">
        <v>2812</v>
      </c>
      <c r="D99" s="12" t="s">
        <v>2829</v>
      </c>
      <c r="E99" s="12" t="s">
        <v>2830</v>
      </c>
      <c r="F99" s="12" t="s">
        <v>2831</v>
      </c>
      <c r="G99" s="27" t="s">
        <v>2832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2833</v>
      </c>
    </row>
    <row r="2" customFormat="false" ht="15" hidden="false" customHeight="false" outlineLevel="0" collapsed="false">
      <c r="A2" s="2" t="s">
        <v>2834</v>
      </c>
    </row>
    <row r="4" customFormat="false" ht="15" hidden="false" customHeight="false" outlineLevel="0" collapsed="false">
      <c r="A4" s="11" t="s">
        <v>2835</v>
      </c>
      <c r="B4" s="11" t="s">
        <v>231</v>
      </c>
      <c r="C4" s="11" t="s">
        <v>513</v>
      </c>
      <c r="D4" s="11" t="s">
        <v>2836</v>
      </c>
      <c r="E4" s="11" t="s">
        <v>2837</v>
      </c>
    </row>
    <row r="5" customFormat="false" ht="23.85" hidden="false" customHeight="false" outlineLevel="0" collapsed="false">
      <c r="A5" s="12" t="s">
        <v>2838</v>
      </c>
      <c r="B5" s="12" t="s">
        <v>2839</v>
      </c>
      <c r="C5" s="12" t="s">
        <v>2840</v>
      </c>
      <c r="D5" s="12" t="s">
        <v>243</v>
      </c>
      <c r="E5" s="12" t="s">
        <v>2841</v>
      </c>
    </row>
    <row r="6" customFormat="false" ht="23.85" hidden="false" customHeight="false" outlineLevel="0" collapsed="false">
      <c r="A6" s="12" t="s">
        <v>2842</v>
      </c>
      <c r="B6" s="12" t="s">
        <v>2839</v>
      </c>
      <c r="C6" s="12" t="s">
        <v>2843</v>
      </c>
      <c r="D6" s="12" t="s">
        <v>273</v>
      </c>
      <c r="E6" s="12" t="s">
        <v>2844</v>
      </c>
    </row>
    <row r="7" customFormat="false" ht="23.85" hidden="false" customHeight="false" outlineLevel="0" collapsed="false">
      <c r="A7" s="12" t="s">
        <v>2845</v>
      </c>
      <c r="B7" s="12" t="s">
        <v>2846</v>
      </c>
      <c r="C7" s="12" t="s">
        <v>2847</v>
      </c>
      <c r="D7" s="12" t="s">
        <v>321</v>
      </c>
      <c r="E7" s="12" t="s">
        <v>2848</v>
      </c>
    </row>
    <row r="8" customFormat="false" ht="23.85" hidden="false" customHeight="false" outlineLevel="0" collapsed="false">
      <c r="A8" s="12" t="s">
        <v>2849</v>
      </c>
      <c r="B8" s="12" t="s">
        <v>2839</v>
      </c>
      <c r="C8" s="12" t="s">
        <v>2850</v>
      </c>
      <c r="D8" s="12" t="s">
        <v>273</v>
      </c>
      <c r="E8" s="12" t="s">
        <v>2851</v>
      </c>
    </row>
    <row r="9" customFormat="false" ht="23.85" hidden="false" customHeight="false" outlineLevel="0" collapsed="false">
      <c r="A9" s="12" t="s">
        <v>2852</v>
      </c>
      <c r="B9" s="12" t="s">
        <v>2853</v>
      </c>
      <c r="C9" s="12" t="s">
        <v>2854</v>
      </c>
      <c r="D9" s="12" t="s">
        <v>273</v>
      </c>
      <c r="E9" s="12" t="s">
        <v>2855</v>
      </c>
    </row>
    <row r="10" customFormat="false" ht="23.85" hidden="false" customHeight="false" outlineLevel="0" collapsed="false">
      <c r="A10" s="12" t="s">
        <v>2856</v>
      </c>
      <c r="B10" s="12" t="s">
        <v>2853</v>
      </c>
      <c r="C10" s="12" t="s">
        <v>2857</v>
      </c>
      <c r="D10" s="12" t="s">
        <v>321</v>
      </c>
      <c r="E10" s="12" t="s">
        <v>2858</v>
      </c>
    </row>
    <row r="11" customFormat="false" ht="23.85" hidden="false" customHeight="false" outlineLevel="0" collapsed="false">
      <c r="A11" s="12" t="s">
        <v>2859</v>
      </c>
      <c r="B11" s="12" t="s">
        <v>2860</v>
      </c>
      <c r="C11" s="12" t="s">
        <v>2861</v>
      </c>
      <c r="D11" s="12" t="s">
        <v>321</v>
      </c>
      <c r="E11" s="12" t="s">
        <v>2862</v>
      </c>
    </row>
    <row r="12" customFormat="false" ht="23.85" hidden="false" customHeight="false" outlineLevel="0" collapsed="false">
      <c r="A12" s="12" t="s">
        <v>2863</v>
      </c>
      <c r="B12" s="12" t="s">
        <v>2864</v>
      </c>
      <c r="C12" s="12" t="s">
        <v>2865</v>
      </c>
      <c r="D12" s="12" t="s">
        <v>321</v>
      </c>
      <c r="E12" s="12" t="s">
        <v>2866</v>
      </c>
    </row>
    <row r="13" customFormat="false" ht="15" hidden="false" customHeight="false" outlineLevel="0" collapsed="false">
      <c r="A13" s="12" t="s">
        <v>2867</v>
      </c>
      <c r="B13" s="12" t="s">
        <v>2864</v>
      </c>
      <c r="C13" s="12" t="s">
        <v>2868</v>
      </c>
      <c r="D13" s="12" t="s">
        <v>273</v>
      </c>
      <c r="E13" s="12" t="s">
        <v>2869</v>
      </c>
    </row>
    <row r="14" customFormat="false" ht="15" hidden="false" customHeight="false" outlineLevel="0" collapsed="false">
      <c r="A14" s="12" t="s">
        <v>2870</v>
      </c>
      <c r="B14" s="12" t="s">
        <v>2864</v>
      </c>
      <c r="C14" s="12" t="s">
        <v>2871</v>
      </c>
      <c r="D14" s="12" t="s">
        <v>321</v>
      </c>
      <c r="E14" s="12" t="s">
        <v>2872</v>
      </c>
    </row>
    <row r="15" customFormat="false" ht="23.85" hidden="false" customHeight="false" outlineLevel="0" collapsed="false">
      <c r="A15" s="12" t="s">
        <v>2873</v>
      </c>
      <c r="B15" s="12" t="s">
        <v>2864</v>
      </c>
      <c r="C15" s="12" t="s">
        <v>2874</v>
      </c>
      <c r="D15" s="12" t="s">
        <v>321</v>
      </c>
      <c r="E15" s="12" t="s">
        <v>2875</v>
      </c>
    </row>
    <row r="16" customFormat="false" ht="23.85" hidden="false" customHeight="false" outlineLevel="0" collapsed="false">
      <c r="A16" s="12" t="s">
        <v>2876</v>
      </c>
      <c r="B16" s="12" t="s">
        <v>2864</v>
      </c>
      <c r="C16" s="12" t="s">
        <v>2877</v>
      </c>
      <c r="D16" s="12" t="s">
        <v>273</v>
      </c>
      <c r="E16" s="12" t="s">
        <v>2878</v>
      </c>
    </row>
    <row r="17" customFormat="false" ht="23.85" hidden="false" customHeight="false" outlineLevel="0" collapsed="false">
      <c r="A17" s="12" t="s">
        <v>2879</v>
      </c>
      <c r="B17" s="12" t="s">
        <v>2880</v>
      </c>
      <c r="C17" s="12" t="s">
        <v>2881</v>
      </c>
      <c r="D17" s="12" t="s">
        <v>321</v>
      </c>
      <c r="E17" s="12" t="s">
        <v>2882</v>
      </c>
    </row>
    <row r="18" customFormat="false" ht="23.85" hidden="false" customHeight="false" outlineLevel="0" collapsed="false">
      <c r="A18" s="12" t="s">
        <v>2883</v>
      </c>
      <c r="B18" s="12" t="s">
        <v>2880</v>
      </c>
      <c r="C18" s="12" t="s">
        <v>2884</v>
      </c>
      <c r="D18" s="12" t="s">
        <v>273</v>
      </c>
      <c r="E18" s="12" t="s">
        <v>2885</v>
      </c>
    </row>
    <row r="19" customFormat="false" ht="23.85" hidden="false" customHeight="false" outlineLevel="0" collapsed="false">
      <c r="A19" s="12" t="s">
        <v>2886</v>
      </c>
      <c r="B19" s="12" t="s">
        <v>2887</v>
      </c>
      <c r="C19" s="12" t="s">
        <v>2888</v>
      </c>
      <c r="D19" s="12" t="s">
        <v>2889</v>
      </c>
      <c r="E19" s="12" t="s">
        <v>2890</v>
      </c>
    </row>
    <row r="20" customFormat="false" ht="23.85" hidden="false" customHeight="false" outlineLevel="0" collapsed="false">
      <c r="A20" s="12" t="s">
        <v>2891</v>
      </c>
      <c r="B20" s="12" t="s">
        <v>2887</v>
      </c>
      <c r="C20" s="12" t="s">
        <v>2892</v>
      </c>
      <c r="D20" s="12" t="s">
        <v>2889</v>
      </c>
      <c r="E20" s="12" t="s">
        <v>2893</v>
      </c>
    </row>
    <row r="21" customFormat="false" ht="23.85" hidden="false" customHeight="false" outlineLevel="0" collapsed="false">
      <c r="A21" s="12" t="s">
        <v>2894</v>
      </c>
      <c r="B21" s="12" t="s">
        <v>2895</v>
      </c>
      <c r="C21" s="12" t="s">
        <v>2896</v>
      </c>
      <c r="D21" s="12" t="s">
        <v>321</v>
      </c>
      <c r="E21" s="12" t="s">
        <v>2897</v>
      </c>
    </row>
    <row r="22" customFormat="false" ht="23.85" hidden="false" customHeight="false" outlineLevel="0" collapsed="false">
      <c r="A22" s="12" t="s">
        <v>2898</v>
      </c>
      <c r="B22" s="12" t="s">
        <v>2899</v>
      </c>
      <c r="C22" s="12" t="s">
        <v>2900</v>
      </c>
      <c r="D22" s="12" t="s">
        <v>2889</v>
      </c>
      <c r="E22" s="12" t="s">
        <v>2901</v>
      </c>
    </row>
    <row r="23" customFormat="false" ht="23.85" hidden="false" customHeight="false" outlineLevel="0" collapsed="false">
      <c r="A23" s="12" t="s">
        <v>2902</v>
      </c>
      <c r="B23" s="12" t="s">
        <v>2903</v>
      </c>
      <c r="C23" s="12" t="s">
        <v>2904</v>
      </c>
      <c r="D23" s="12" t="s">
        <v>273</v>
      </c>
      <c r="E23" s="12" t="s">
        <v>2905</v>
      </c>
    </row>
    <row r="24" customFormat="false" ht="15" hidden="false" customHeight="false" outlineLevel="0" collapsed="false">
      <c r="A24" s="12" t="s">
        <v>2906</v>
      </c>
      <c r="B24" s="12" t="s">
        <v>2853</v>
      </c>
      <c r="C24" s="12" t="s">
        <v>2907</v>
      </c>
      <c r="D24" s="12" t="s">
        <v>321</v>
      </c>
      <c r="E24" s="12" t="s">
        <v>2908</v>
      </c>
    </row>
    <row r="25" customFormat="false" ht="15" hidden="false" customHeight="false" outlineLevel="0" collapsed="false">
      <c r="A25" s="12" t="s">
        <v>2909</v>
      </c>
      <c r="B25" s="12" t="s">
        <v>2910</v>
      </c>
      <c r="C25" s="12" t="s">
        <v>2911</v>
      </c>
      <c r="D25" s="12" t="s">
        <v>202</v>
      </c>
      <c r="E25" s="12" t="s">
        <v>2912</v>
      </c>
    </row>
    <row r="26" customFormat="false" ht="23.85" hidden="false" customHeight="false" outlineLevel="0" collapsed="false">
      <c r="A26" s="12" t="s">
        <v>2913</v>
      </c>
      <c r="B26" s="12" t="s">
        <v>2910</v>
      </c>
      <c r="C26" s="12" t="s">
        <v>2914</v>
      </c>
      <c r="D26" s="12" t="s">
        <v>202</v>
      </c>
      <c r="E26" s="12" t="s">
        <v>2915</v>
      </c>
    </row>
    <row r="27" customFormat="false" ht="15" hidden="false" customHeight="false" outlineLevel="0" collapsed="false">
      <c r="A27" s="12" t="s">
        <v>2916</v>
      </c>
      <c r="B27" s="12" t="s">
        <v>2910</v>
      </c>
      <c r="C27" s="12" t="s">
        <v>2917</v>
      </c>
      <c r="D27" s="12" t="s">
        <v>202</v>
      </c>
      <c r="E27" s="12" t="s">
        <v>2918</v>
      </c>
    </row>
    <row r="28" customFormat="false" ht="15" hidden="false" customHeight="false" outlineLevel="0" collapsed="false">
      <c r="A28" s="12" t="s">
        <v>2919</v>
      </c>
      <c r="B28" s="12" t="s">
        <v>2910</v>
      </c>
      <c r="C28" s="12" t="s">
        <v>2920</v>
      </c>
      <c r="D28" s="12" t="s">
        <v>202</v>
      </c>
      <c r="E28" s="12" t="s">
        <v>2912</v>
      </c>
    </row>
    <row r="29" customFormat="false" ht="23.85" hidden="false" customHeight="false" outlineLevel="0" collapsed="false">
      <c r="A29" s="12" t="s">
        <v>2921</v>
      </c>
      <c r="B29" s="12" t="s">
        <v>2910</v>
      </c>
      <c r="C29" s="12" t="s">
        <v>2922</v>
      </c>
      <c r="D29" s="12" t="s">
        <v>202</v>
      </c>
      <c r="E29" s="12" t="s">
        <v>2923</v>
      </c>
    </row>
    <row r="30" customFormat="false" ht="23.85" hidden="false" customHeight="false" outlineLevel="0" collapsed="false">
      <c r="A30" s="12" t="s">
        <v>2924</v>
      </c>
      <c r="B30" s="12" t="s">
        <v>2910</v>
      </c>
      <c r="C30" s="12" t="s">
        <v>2925</v>
      </c>
      <c r="D30" s="12" t="s">
        <v>202</v>
      </c>
      <c r="E30" s="12" t="s">
        <v>2926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2026-09-24T05:07:30Z</dcterms:created>
  <dc:creator>openpyxl</dc:creator>
  <dc:description/>
  <dc:language>en-US</dc:language>
  <cp:lastModifiedBy/>
  <dcterms:modified xsi:type="dcterms:W3CDTF">2026-09-24T05:07:30Z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