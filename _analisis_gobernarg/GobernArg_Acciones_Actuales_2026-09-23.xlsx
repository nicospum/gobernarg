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ff1bf1812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iones actuales" sheetId="1" r:id="R2076bbb578164f8e"/>
    <x:sheet xmlns:r="http://schemas.openxmlformats.org/officeDocument/2006/relationships" name="Resumen" sheetId="2" r:id="R3d75933c148446f0"/>
    <x:sheet xmlns:r="http://schemas.openxmlformats.org/officeDocument/2006/relationships" name="Mecánicas acumulativas" sheetId="3" r:id="R5d74e5b615b24b83"/>
    <x:sheet xmlns:r="http://schemas.openxmlformats.org/officeDocument/2006/relationships" name="Notas y fuente" sheetId="4" r:id="R125c1be4a830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+0;-0;0"/>
    <x:numFmt numFmtId="201" formatCode="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1">
    <x:dxf>
      <x:font>
        <x:b/>
        <x:color rgb="FF166534"/>
      </x:font>
    </x:dxf>
    <x:dxf>
      <x:font>
        <x:b/>
        <x:color rgb="FFB91C1C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b5851970b4313" /><Relationship Type="http://schemas.openxmlformats.org/officeDocument/2006/relationships/theme" Target="/xl/theme/theme1.xml" Id="R2f0cfc5fa86f408a" /><Relationship Type="http://schemas.openxmlformats.org/officeDocument/2006/relationships/sharedStrings" Target="/xl/sharedStrings.xml" Id="R0ecc315d3943425a" /><Relationship Type="http://schemas.openxmlformats.org/officeDocument/2006/relationships/worksheet" Target="/xl/worksheets/sheet1.xml" Id="R2076bbb578164f8e" /><Relationship Type="http://schemas.openxmlformats.org/officeDocument/2006/relationships/worksheet" Target="/xl/worksheets/sheet2.xml" Id="R3d75933c148446f0" /><Relationship Type="http://schemas.openxmlformats.org/officeDocument/2006/relationships/worksheet" Target="/xl/worksheets/sheet3.xml" Id="R5d74e5b615b24b83" /><Relationship Type="http://schemas.openxmlformats.org/officeDocument/2006/relationships/worksheet" Target="/xl/worksheets/sheet4.xml" Id="R125c1be4a8304c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7b03cd22ac4a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Acciones por categoría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'Resumen'!$D$4:$D$12</c:f>
              <c:strCache>
                <c:ptCount val="0"/>
              </c:strCache>
            </c:strRef>
          </c:cat>
          <c:val>
            <c:numRef>
              <c:f>'Resumen'!$E$4:$E$12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7b03cd22ac4a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ionesActualesTable" displayName="AccionesActualesTable" ref="A1:U62" headerRowCount="1" totalsRowCount="0" totalsRowShown="0">
  <x:tableColumns count="21">
    <x:tableColumn id="1" name="ID"/>
    <x:tableColumn id="2" name="Nombre"/>
    <x:tableColumn id="3" name="Categoría"/>
    <x:tableColumn id="4" name="Descripción"/>
    <x:tableColumn id="5" name="Presupuesto Δ"/>
    <x:tableColumn id="6" name="Popularidad Δ"/>
    <x:tableColumn id="7" name="Estabilidad Δ"/>
    <x:tableColumn id="8" name="Legitimidad Δ"/>
    <x:tableColumn id="9" name="Intención voto Δ"/>
    <x:tableColumn id="10" name="Grupos REAL (explicit)"/>
    <x:tableColumn id="11" name="Apoyan (tooltip)"/>
    <x:tableColumn id="12" name="Se oponen (tooltip)"/>
    <x:tableColumn id="13" name="Cargo / alcance"/>
    <x:tableColumn id="14" name="minBudget"/>
    <x:tableColumn id="15" name="Prerrequisitos / condiciones"/>
    <x:tableColumn id="16" name="Demanda declarada"/>
    <x:tableColumn id="17" name="Condiciones actuales (raw)"/>
    <x:tableColumn id="18" name="Cooldown"/>
    <x:tableColumn id="19" name="Origen cooldown"/>
    <x:tableColumn id="20" name="Diminishing"/>
    <x:tableColumn id="21" name="FutureEffec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canicasAcumulativasTable" displayName="MecanicasAcumulativasTable" ref="A3:C15" headerRowCount="1" totalsRowCount="0" totalsRowShown="0">
  <x:tableColumns count="3">
    <x:tableColumn id="1" name="#"/>
    <x:tableColumn id="2" name="Mecánica"/>
    <x:tableColumn id="3" name="Estado actual / efec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81e1c4dc144e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e28229a52842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aaf439f3af4d8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9" hidden="0" customWidth="1"/>
    <x:col min="3" max="3" width="16" hidden="0" customWidth="1"/>
    <x:col min="4" max="4" width="43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7" hidden="0" customWidth="1"/>
    <x:col min="10" max="10" width="40" hidden="0" customWidth="1"/>
    <x:col min="11" max="11" width="37" hidden="0" customWidth="1"/>
    <x:col min="12" max="12" width="37" hidden="0" customWidth="1"/>
    <x:col min="13" max="13" width="19" hidden="0" customWidth="1"/>
    <x:col min="14" max="14" width="12" hidden="0" customWidth="1"/>
    <x:col min="15" max="15" width="45" hidden="0" customWidth="1"/>
    <x:col min="16" max="16" width="36" hidden="0" customWidth="1"/>
    <x:col min="17" max="17" width="55" hidden="0" customWidth="1"/>
    <x:col min="18" max="18" width="11" hidden="0" customWidth="1"/>
    <x:col min="19" max="19" width="18" hidden="0" customWidth="1"/>
    <x:col min="20" max="20" width="12" hidden="0" customWidth="1"/>
    <x:col min="21" max="21" width="42" hidden="0" customWidth="1"/>
  </x:cols>
  <x:sheetData>
    <x:row r="1" ht="34" customHeight="1">
      <x:c r="A1" s="6" t="str">
        <x:v>ID</x:v>
      </x:c>
      <x:c r="B1" s="6" t="str">
        <x:v>Nombre</x:v>
      </x:c>
      <x:c r="C1" s="6" t="str">
        <x:v>Categoría</x:v>
      </x:c>
      <x:c r="D1" s="6" t="str">
        <x:v>Descripción</x:v>
      </x:c>
      <x:c r="E1" s="6" t="str">
        <x:v>Presupuesto Δ</x:v>
      </x:c>
      <x:c r="F1" s="6" t="str">
        <x:v>Popularidad Δ</x:v>
      </x:c>
      <x:c r="G1" s="6" t="str">
        <x:v>Estabilidad Δ</x:v>
      </x:c>
      <x:c r="H1" s="6" t="str">
        <x:v>Legitimidad Δ</x:v>
      </x:c>
      <x:c r="I1" s="6" t="str">
        <x:v>Intención voto Δ</x:v>
      </x:c>
      <x:c r="J1" s="6" t="str">
        <x:v>Grupos REAL (explicit)</x:v>
      </x:c>
      <x:c r="K1" s="6" t="str">
        <x:v>Apoyan (tooltip)</x:v>
      </x:c>
      <x:c r="L1" s="6" t="str">
        <x:v>Se oponen (tooltip)</x:v>
      </x:c>
      <x:c r="M1" s="6" t="str">
        <x:v>Cargo / alcance</x:v>
      </x:c>
      <x:c r="N1" s="6" t="str">
        <x:v>minBudget</x:v>
      </x:c>
      <x:c r="O1" s="6" t="str">
        <x:v>Prerrequisitos / condiciones</x:v>
      </x:c>
      <x:c r="P1" s="6" t="str">
        <x:v>Demanda declarada</x:v>
      </x:c>
      <x:c r="Q1" s="6" t="str">
        <x:v>Condiciones actuales (raw)</x:v>
      </x:c>
      <x:c r="R1" s="6" t="str">
        <x:v>Cooldown</x:v>
      </x:c>
      <x:c r="S1" s="6" t="str">
        <x:v>Origen cooldown</x:v>
      </x:c>
      <x:c r="T1" s="6" t="str">
        <x:v>Diminishing</x:v>
      </x:c>
      <x:c r="U1" s="6" t="str">
        <x:v>FutureEffects</x:v>
      </x:c>
    </x:row>
    <x:row r="2" ht="36" customHeight="1">
      <x:c r="A2" s="12" t="str">
        <x:v>emitir_dinero</x:v>
      </x:c>
      <x:c r="B2" s="12" t="str">
        <x:v>Emitir Dinero</x:v>
      </x:c>
      <x:c r="C2" s="12" t="str">
        <x:v>economia</x:v>
      </x:c>
      <x:c r="D2" s="14" t="str">
        <x:v>Aumentar la masa monetaria para financiar gastos</x:v>
      </x:c>
      <x:c r="E2" s="16" t="n">
        <x:v>150</x:v>
      </x:c>
      <x:c r="F2" s="16" t="n">
        <x:v>3</x:v>
      </x:c>
      <x:c r="G2" s="16" t="n">
        <x:v>-3</x:v>
      </x:c>
      <x:c r="H2" s="16" t="n">
        <x:v>-5</x:v>
      </x:c>
      <x:c r="I2" s="16" t="n">
        <x:v>-2</x:v>
      </x:c>
      <x:c r="J2" s="14" t="str">
        <x:v>—</x:v>
      </x:c>
      <x:c r="K2" s="14" t="str">
        <x:v>sectores-populares, sindicatos</x:v>
      </x:c>
      <x:c r="L2" s="14" t="str">
        <x:v>empresarios, sector-financiero, clase-alta</x:v>
      </x:c>
      <x:c r="M2" s="12" t="str">
        <x:v>presidente</x:v>
      </x:c>
      <x:c r="N2" s="18" t="n">
        <x:v>0</x:v>
      </x:c>
      <x:c r="O2" s="14" t="str"/>
      <x:c r="P2" s="14" t="str"/>
      <x:c r="Q2" s="14" t="str">
        <x:v>cargo: presidente · min$:0</x:v>
      </x:c>
      <x:c r="R2" s="18" t="n">
        <x:v>3</x:v>
      </x:c>
      <x:c r="S2" s="12" t="str">
        <x:v>Explícito</x:v>
      </x:c>
      <x:c r="T2" s="20" t="n">
        <x:v>0.65</x:v>
      </x:c>
      <x:c r="U2" s="14" t="str">
        <x:v>—</x:v>
      </x:c>
    </x:row>
    <x:row r="3" ht="36" customHeight="1">
      <x:c r="A3" s="12" t="str">
        <x:v>mejorar_recaudacion</x:v>
      </x:c>
      <x:c r="B3" s="12" t="str">
        <x:v>Mejorar Recaudación</x:v>
      </x:c>
      <x:c r="C3" s="12" t="str">
        <x:v>economia</x:v>
      </x:c>
      <x:c r="D3" s="14" t="str">
        <x:v>Optimizar el sistema de recaudación de impuestos</x:v>
      </x:c>
      <x:c r="E3" s="16" t="n">
        <x:v>250</x:v>
      </x:c>
      <x:c r="F3" s="16" t="n">
        <x:v>-8</x:v>
      </x:c>
      <x:c r="G3" s="16"/>
      <x:c r="H3" s="16"/>
      <x:c r="I3" s="16"/>
      <x:c r="J3" s="14" t="str">
        <x:v>—</x:v>
      </x:c>
      <x:c r="K3" s="14" t="str">
        <x:v>ongs</x:v>
      </x:c>
      <x:c r="L3" s="14" t="str">
        <x:v>empresarios, clase-alta, sector-financiero</x:v>
      </x:c>
      <x:c r="M3" s="12" t="str">
        <x:v>gobernador, presidente</x:v>
      </x:c>
      <x:c r="N3" s="18" t="n">
        <x:v>100</x:v>
      </x:c>
      <x:c r="O3" s="14" t="str"/>
      <x:c r="P3" s="14" t="str">
        <x:v>simplificación tributaria (muerto)</x:v>
      </x:c>
      <x:c r="Q3" s="14" t="str">
        <x:v>cargo: gobernador, presidente · min$:100 · demand: simplificación tributaria (muerto)</x:v>
      </x:c>
      <x:c r="R3" s="18" t="n">
        <x:v>3</x:v>
      </x:c>
      <x:c r="S3" s="12" t="str">
        <x:v>Default calculado</x:v>
      </x:c>
      <x:c r="T3" s="20" t="n">
        <x:v>0.8</x:v>
      </x:c>
      <x:c r="U3" s="14" t="str">
        <x:v>t+2:+50, t+3:+50, t+4:+50</x:v>
      </x:c>
    </x:row>
    <x:row r="4" ht="36" customHeight="1">
      <x:c r="A4" s="12" t="str">
        <x:v>subsidios_industriales</x:v>
      </x:c>
      <x:c r="B4" s="12" t="str">
        <x:v>Subsidios Industriales</x:v>
      </x:c>
      <x:c r="C4" s="12" t="str">
        <x:v>economia</x:v>
      </x:c>
      <x:c r="D4" s="14" t="str">
        <x:v>Apoyo económico al sector industrial</x:v>
      </x:c>
      <x:c r="E4" s="16" t="n">
        <x:v>-300</x:v>
      </x:c>
      <x:c r="F4" s="16" t="n">
        <x:v>10</x:v>
      </x:c>
      <x:c r="G4" s="16"/>
      <x:c r="H4" s="16"/>
      <x:c r="I4" s="16"/>
      <x:c r="J4" s="14" t="str">
        <x:v>empresarios +8, sindicatos +8, sector-financiero −9, ongs −6</x:v>
      </x:c>
      <x:c r="K4" s="14" t="str">
        <x:v>empresarios, sindicatos</x:v>
      </x:c>
      <x:c r="L4" s="14" t="str">
        <x:v>sector-financiero, ongs</x:v>
      </x:c>
      <x:c r="M4" s="12" t="str">
        <x:v>todos</x:v>
      </x:c>
      <x:c r="N4" s="18" t="n">
        <x:v>300</x:v>
      </x:c>
      <x:c r="O4" s="14" t="str"/>
      <x:c r="P4" s="14" t="str"/>
      <x:c r="Q4" s="14" t="str">
        <x:v>todos · min$:300</x:v>
      </x:c>
      <x:c r="R4" s="18" t="n">
        <x:v>3</x:v>
      </x:c>
      <x:c r="S4" s="12" t="str">
        <x:v>Default calculado</x:v>
      </x:c>
      <x:c r="T4" s="20" t="n">
        <x:v>0.8</x:v>
      </x:c>
      <x:c r="U4" s="14" t="str">
        <x:v>—</x:v>
      </x:c>
    </x:row>
    <x:row r="5" ht="36" customHeight="1">
      <x:c r="A5" s="12" t="str">
        <x:v>reforma_impositiva</x:v>
      </x:c>
      <x:c r="B5" s="12" t="str">
        <x:v>Reforma Impositiva</x:v>
      </x:c>
      <x:c r="C5" s="12" t="str">
        <x:v>economia</x:v>
      </x:c>
      <x:c r="D5" s="14" t="str">
        <x:v>Modificar el sistema tributario</x:v>
      </x:c>
      <x:c r="E5" s="16" t="n">
        <x:v>400</x:v>
      </x:c>
      <x:c r="F5" s="16" t="n">
        <x:v>-10</x:v>
      </x:c>
      <x:c r="G5" s="16"/>
      <x:c r="H5" s="16"/>
      <x:c r="I5" s="16"/>
      <x:c r="J5" s="14" t="str">
        <x:v>—</x:v>
      </x:c>
      <x:c r="K5" s="14" t="str">
        <x:v>ongs, sectores-populares</x:v>
      </x:c>
      <x:c r="L5" s="14" t="str">
        <x:v>empresarios, clase-alta</x:v>
      </x:c>
      <x:c r="M5" s="12" t="str">
        <x:v>gob,pres</x:v>
      </x:c>
      <x:c r="N5" s="18" t="n">
        <x:v>200</x:v>
      </x:c>
      <x:c r="O5" s="14" t="str">
        <x:v>mejorar_recaudacion + legislativeSupport≥45 (comentario código: potencialmente inalcanzable, se mantiene)</x:v>
      </x:c>
      <x:c r="P5" s="14" t="str">
        <x:v>simplificación tributaria (muerto)</x:v>
      </x:c>
      <x:c r="Q5" s="14" t="str">
        <x:v>cargo: gob,pres · min$:200 · prereq: mejorar_recaudacion + legislativeSupport≥45 (comentario código: potencialmente inalcanzable, se mantiene) · demand: simplificación tributaria (muerto)</x:v>
      </x:c>
      <x:c r="R5" s="18" t="n">
        <x:v>3</x:v>
      </x:c>
      <x:c r="S5" s="12" t="str">
        <x:v>Default calculado</x:v>
      </x:c>
      <x:c r="T5" s="20" t="n">
        <x:v>0.8</x:v>
      </x:c>
      <x:c r="U5" s="14" t="str">
        <x:v>—</x:v>
      </x:c>
    </x:row>
    <x:row r="6" ht="36" customHeight="1">
      <x:c r="A6" s="12" t="str">
        <x:v>incentivos_exportacion</x:v>
      </x:c>
      <x:c r="B6" s="12" t="str">
        <x:v>Incentivos a la Exportación</x:v>
      </x:c>
      <x:c r="C6" s="12" t="str">
        <x:v>economia</x:v>
      </x:c>
      <x:c r="D6" s="14" t="str">
        <x:v>Fomentar las exportaciones</x:v>
      </x:c>
      <x:c r="E6" s="16" t="n">
        <x:v>-250</x:v>
      </x:c>
      <x:c r="F6" s="16" t="n">
        <x:v>8</x:v>
      </x:c>
      <x:c r="G6" s="16"/>
      <x:c r="H6" s="16"/>
      <x:c r="I6" s="16"/>
      <x:c r="J6" s="14" t="str">
        <x:v>—</x:v>
      </x:c>
      <x:c r="K6" s="14" t="str">
        <x:v>empresarios, sector-agricola</x:v>
      </x:c>
      <x:c r="L6" s="14" t="str">
        <x:v>—</x:v>
      </x:c>
      <x:c r="M6" s="12" t="str">
        <x:v>gob,pres</x:v>
      </x:c>
      <x:c r="N6" s="18" t="n">
        <x:v>250</x:v>
      </x:c>
      <x:c r="O6" s="14" t="str"/>
      <x:c r="P6" s="14" t="str"/>
      <x:c r="Q6" s="14" t="str">
        <x:v>cargo: gob,pres · min$:250</x:v>
      </x:c>
      <x:c r="R6" s="18" t="n">
        <x:v>3</x:v>
      </x:c>
      <x:c r="S6" s="12" t="str">
        <x:v>Default calculado</x:v>
      </x:c>
      <x:c r="T6" s="20" t="n">
        <x:v>0.8</x:v>
      </x:c>
      <x:c r="U6" s="14" t="str">
        <x:v>—</x:v>
      </x:c>
    </x:row>
    <x:row r="7" ht="36" customHeight="1">
      <x:c r="A7" s="12" t="str">
        <x:v>control_precios</x:v>
      </x:c>
      <x:c r="B7" s="12" t="str">
        <x:v>Control de Precios</x:v>
      </x:c>
      <x:c r="C7" s="12" t="str">
        <x:v>economia</x:v>
      </x:c>
      <x:c r="D7" s="14" t="str">
        <x:v>Regular precios de productos básicos</x:v>
      </x:c>
      <x:c r="E7" s="16" t="n">
        <x:v>-150</x:v>
      </x:c>
      <x:c r="F7" s="16" t="n">
        <x:v>15</x:v>
      </x:c>
      <x:c r="G7" s="16"/>
      <x:c r="H7" s="16"/>
      <x:c r="I7" s="16"/>
      <x:c r="J7" s="14" t="str">
        <x:v>—</x:v>
      </x:c>
      <x:c r="K7" s="14" t="str">
        <x:v>sectores-populares, sindicatos, clase-media</x:v>
      </x:c>
      <x:c r="L7" s="14" t="str">
        <x:v>empresarios, clase-alta</x:v>
      </x:c>
      <x:c r="M7" s="12" t="str">
        <x:v>todos</x:v>
      </x:c>
      <x:c r="N7" s="18" t="n">
        <x:v>150</x:v>
      </x:c>
      <x:c r="O7" s="14" t="str"/>
      <x:c r="P7" s="14" t="str">
        <x:v>Control de inflación (muerto)</x:v>
      </x:c>
      <x:c r="Q7" s="14" t="str">
        <x:v>todos · min$:150 · demand: Control de inflación (muerto)</x:v>
      </x:c>
      <x:c r="R7" s="18" t="n">
        <x:v>1</x:v>
      </x:c>
      <x:c r="S7" s="12" t="str">
        <x:v>Default calculado</x:v>
      </x:c>
      <x:c r="T7" s="20" t="n">
        <x:v>0.8</x:v>
      </x:c>
      <x:c r="U7" s="14" t="str">
        <x:v>—</x:v>
      </x:c>
    </x:row>
    <x:row r="8" ht="36" customHeight="1">
      <x:c r="A8" s="12" t="str">
        <x:v>fomento_emprendimiento</x:v>
      </x:c>
      <x:c r="B8" s="12" t="str">
        <x:v>Fomento al Emprendimiento</x:v>
      </x:c>
      <x:c r="C8" s="12" t="str">
        <x:v>economia</x:v>
      </x:c>
      <x:c r="D8" s="14" t="str">
        <x:v>Apoyo a nuevos emprendedores. Genera ingresos fiscales a largo plazo.</x:v>
      </x:c>
      <x:c r="E8" s="16" t="n">
        <x:v>-200</x:v>
      </x:c>
      <x:c r="F8" s="16" t="n">
        <x:v>12</x:v>
      </x:c>
      <x:c r="G8" s="16"/>
      <x:c r="H8" s="16"/>
      <x:c r="I8" s="16"/>
      <x:c r="J8" s="14" t="str">
        <x:v>empresarios +9.6, cooperativas +6, clase-media +8.4</x:v>
      </x:c>
      <x:c r="K8" s="14" t="str">
        <x:v>empresarios, cooperativas, clase-media</x:v>
      </x:c>
      <x:c r="L8" s="14" t="str">
        <x:v>—</x:v>
      </x:c>
      <x:c r="M8" s="12" t="str">
        <x:v>todos</x:v>
      </x:c>
      <x:c r="N8" s="18" t="n">
        <x:v>200</x:v>
      </x:c>
      <x:c r="O8" s="14" t="str"/>
      <x:c r="P8" s="14" t="str"/>
      <x:c r="Q8" s="14" t="str">
        <x:v>todos · min$:200</x:v>
      </x:c>
      <x:c r="R8" s="18" t="n">
        <x:v>3</x:v>
      </x:c>
      <x:c r="S8" s="12" t="str">
        <x:v>Default calculado</x:v>
      </x:c>
      <x:c r="T8" s="20" t="n">
        <x:v>0.8</x:v>
      </x:c>
      <x:c r="U8" s="14" t="str">
        <x:v>t+4:+30, t+5:+30, t+6:+30</x:v>
      </x:c>
    </x:row>
    <x:row r="9" ht="36" customHeight="1">
      <x:c r="A9" s="12" t="str">
        <x:v>aumento_salarial</x:v>
      </x:c>
      <x:c r="B9" s="12" t="str">
        <x:v>Aumento Salarial General</x:v>
      </x:c>
      <x:c r="C9" s="12" t="str">
        <x:v>economia</x:v>
      </x:c>
      <x:c r="D9" s="14" t="str">
        <x:v>Incrementar salarios del sector público</x:v>
      </x:c>
      <x:c r="E9" s="16" t="n">
        <x:v>-400</x:v>
      </x:c>
      <x:c r="F9" s="16" t="n">
        <x:v>20</x:v>
      </x:c>
      <x:c r="G9" s="16"/>
      <x:c r="H9" s="16"/>
      <x:c r="I9" s="16"/>
      <x:c r="J9" s="14" t="str">
        <x:v>—</x:v>
      </x:c>
      <x:c r="K9" s="14" t="str">
        <x:v>sindicatos, sectores-populares</x:v>
      </x:c>
      <x:c r="L9" s="14" t="str">
        <x:v>empresarios, clase-alta</x:v>
      </x:c>
      <x:c r="M9" s="12" t="str">
        <x:v>gob,pres</x:v>
      </x:c>
      <x:c r="N9" s="18" t="n">
        <x:v>400</x:v>
      </x:c>
      <x:c r="O9" s="14" t="str"/>
      <x:c r="P9" s="14" t="str">
        <x:v>Paritarias (muerto)</x:v>
      </x:c>
      <x:c r="Q9" s="14" t="str">
        <x:v>cargo: gob,pres · min$:400 · demand: Paritarias (muerto)</x:v>
      </x:c>
      <x:c r="R9" s="18" t="n">
        <x:v>3</x:v>
      </x:c>
      <x:c r="S9" s="12" t="str">
        <x:v>Default calculado</x:v>
      </x:c>
      <x:c r="T9" s="20" t="n">
        <x:v>0.8</x:v>
      </x:c>
      <x:c r="U9" s="14" t="str">
        <x:v>—</x:v>
      </x:c>
    </x:row>
    <x:row r="10" ht="36" customHeight="1">
      <x:c r="A10" s="12" t="str">
        <x:v>reduccion_gasto</x:v>
      </x:c>
      <x:c r="B10" s="12" t="str">
        <x:v>Reducción del Gasto Público</x:v>
      </x:c>
      <x:c r="C10" s="12" t="str">
        <x:v>economia</x:v>
      </x:c>
      <x:c r="D10" s="14" t="str">
        <x:v>Optimizar el gasto estatal</x:v>
      </x:c>
      <x:c r="E10" s="16" t="n">
        <x:v>300</x:v>
      </x:c>
      <x:c r="F10" s="16" t="n">
        <x:v>-20</x:v>
      </x:c>
      <x:c r="G10" s="16"/>
      <x:c r="H10" s="16"/>
      <x:c r="I10" s="16"/>
      <x:c r="J10" s="14" t="str">
        <x:v>—</x:v>
      </x:c>
      <x:c r="K10" s="14" t="str">
        <x:v>empresarios, sector-financiero, clase-alta</x:v>
      </x:c>
      <x:c r="L10" s="14" t="str">
        <x:v>sindicatos, sectores-populares</x:v>
      </x:c>
      <x:c r="M10" s="12" t="str">
        <x:v>todos</x:v>
      </x:c>
      <x:c r="N10" s="18" t="n">
        <x:v>0</x:v>
      </x:c>
      <x:c r="O10" s="14" t="str"/>
      <x:c r="P10" s="14" t="str"/>
      <x:c r="Q10" s="14" t="str">
        <x:v>todos · min$:0</x:v>
      </x:c>
      <x:c r="R10" s="18" t="n">
        <x:v>3</x:v>
      </x:c>
      <x:c r="S10" s="12" t="str">
        <x:v>Default calculado</x:v>
      </x:c>
      <x:c r="T10" s="20" t="n">
        <x:v>0.8</x:v>
      </x:c>
      <x:c r="U10" s="14" t="str">
        <x:v>—</x:v>
      </x:c>
    </x:row>
    <x:row r="11" ht="36" customHeight="1">
      <x:c r="A11" s="12" t="str">
        <x:v>prestamo_internacional</x:v>
      </x:c>
      <x:c r="B11" s="12" t="str">
        <x:v>Préstamo Internacional</x:v>
      </x:c>
      <x:c r="C11" s="12" t="str">
        <x:v>economia</x:v>
      </x:c>
      <x:c r="D11" s="14" t="str">
        <x:v>Solicitar financiamiento internacional</x:v>
      </x:c>
      <x:c r="E11" s="16" t="n">
        <x:v>800</x:v>
      </x:c>
      <x:c r="F11" s="16" t="n">
        <x:v>-5</x:v>
      </x:c>
      <x:c r="G11" s="16" t="n">
        <x:v>5</x:v>
      </x:c>
      <x:c r="H11" s="16" t="n">
        <x:v>-8</x:v>
      </x:c>
      <x:c r="I11" s="16"/>
      <x:c r="J11" s="14" t="str">
        <x:v>—</x:v>
      </x:c>
      <x:c r="K11" s="14" t="str">
        <x:v>sector-financiero</x:v>
      </x:c>
      <x:c r="L11" s="14" t="str">
        <x:v>opositores, ongs</x:v>
      </x:c>
      <x:c r="M11" s="12" t="str">
        <x:v>presidente</x:v>
      </x:c>
      <x:c r="N11" s="18" t="n">
        <x:v>0</x:v>
      </x:c>
      <x:c r="O11" s="14" t="str">
        <x:v>mejorar_recaudacion · solo si dificultad loansAvailable</x:v>
      </x:c>
      <x:c r="P11" s="14" t="str"/>
      <x:c r="Q11" s="14" t="str">
        <x:v>cargo: presidente · min$:0 · prereq: mejorar_recaudacion · solo si dificultad loansAvailable</x:v>
      </x:c>
      <x:c r="R11" s="18" t="n">
        <x:v>8</x:v>
      </x:c>
      <x:c r="S11" s="12" t="str">
        <x:v>Explícito</x:v>
      </x:c>
      <x:c r="T11" s="20" t="n">
        <x:v>0.9</x:v>
      </x:c>
      <x:c r="U11" s="14" t="str">
        <x:v>t+4:−100 pop−3</x:v>
      </x:c>
    </x:row>
    <x:row r="12" ht="36" customHeight="1">
      <x:c r="A12" s="12" t="str">
        <x:v>prestamo_local</x:v>
      </x:c>
      <x:c r="B12" s="12" t="str">
        <x:v>Préstamo Local</x:v>
      </x:c>
      <x:c r="C12" s="12" t="str">
        <x:v>economia</x:v>
      </x:c>
      <x:c r="D12" s="14" t="str">
        <x:v>Obtener financiamiento del mercado local</x:v>
      </x:c>
      <x:c r="E12" s="16" t="n">
        <x:v>500</x:v>
      </x:c>
      <x:c r="F12" s="16" t="n">
        <x:v>-3</x:v>
      </x:c>
      <x:c r="G12" s="16"/>
      <x:c r="H12" s="16" t="n">
        <x:v>-5</x:v>
      </x:c>
      <x:c r="I12" s="16"/>
      <x:c r="J12" s="14" t="str">
        <x:v>—</x:v>
      </x:c>
      <x:c r="K12" s="14" t="str">
        <x:v>sector-financiero, empresarios</x:v>
      </x:c>
      <x:c r="L12" s="14" t="str">
        <x:v>opositores</x:v>
      </x:c>
      <x:c r="M12" s="12" t="str">
        <x:v>gob,pres</x:v>
      </x:c>
      <x:c r="N12" s="18" t="n">
        <x:v>0</x:v>
      </x:c>
      <x:c r="O12" s="14" t="str">
        <x:v>solo si dificultad loansAvailable</x:v>
      </x:c>
      <x:c r="P12" s="14" t="str"/>
      <x:c r="Q12" s="14" t="str">
        <x:v>cargo: gob,pres · min$:0 · solo si dificultad loansAvailable</x:v>
      </x:c>
      <x:c r="R12" s="18" t="n">
        <x:v>8</x:v>
      </x:c>
      <x:c r="S12" s="12" t="str">
        <x:v>Explícito</x:v>
      </x:c>
      <x:c r="T12" s="20" t="n">
        <x:v>0.9</x:v>
      </x:c>
      <x:c r="U12" s="14" t="str">
        <x:v>t+3:−75 pop−2</x:v>
      </x:c>
    </x:row>
    <x:row r="13" ht="36" customHeight="1">
      <x:c r="A13" s="12" t="str">
        <x:v>atraccion_inversiones</x:v>
      </x:c>
      <x:c r="B13" s="12" t="str">
        <x:v>Atracción de Inversiones</x:v>
      </x:c>
      <x:c r="C13" s="12" t="str">
        <x:v>economia</x:v>
      </x:c>
      <x:c r="D13" s="14" t="str">
        <x:v>Atraer capital extranjero</x:v>
      </x:c>
      <x:c r="E13" s="16" t="n">
        <x:v>-200</x:v>
      </x:c>
      <x:c r="F13" s="16" t="n">
        <x:v>10</x:v>
      </x:c>
      <x:c r="G13" s="16"/>
      <x:c r="H13" s="16"/>
      <x:c r="I13" s="16"/>
      <x:c r="J13" s="14" t="str">
        <x:v>—</x:v>
      </x:c>
      <x:c r="K13" s="14" t="str">
        <x:v>empresarios, sector-financiero</x:v>
      </x:c>
      <x:c r="L13" s="14" t="str">
        <x:v>sindicatos</x:v>
      </x:c>
      <x:c r="M13" s="12" t="str">
        <x:v>gob,pres</x:v>
      </x:c>
      <x:c r="N13" s="18" t="n">
        <x:v>200</x:v>
      </x:c>
      <x:c r="O13" s="14" t="str"/>
      <x:c r="P13" s="14" t="str"/>
      <x:c r="Q13" s="14" t="str">
        <x:v>cargo: gob,pres · min$:200</x:v>
      </x:c>
      <x:c r="R13" s="18" t="n">
        <x:v>3</x:v>
      </x:c>
      <x:c r="S13" s="12" t="str">
        <x:v>Default calculado</x:v>
      </x:c>
      <x:c r="T13" s="20" t="n">
        <x:v>0.8</x:v>
      </x:c>
      <x:c r="U13" s="14" t="str">
        <x:v>—</x:v>
      </x:c>
    </x:row>
    <x:row r="14" ht="36" customHeight="1">
      <x:c r="A14" s="12" t="str">
        <x:v>plan_viviendas</x:v>
      </x:c>
      <x:c r="B14" s="12" t="str">
        <x:v>Plan de Viviendas</x:v>
      </x:c>
      <x:c r="C14" s="12" t="str">
        <x:v>social</x:v>
      </x:c>
      <x:c r="D14" s="14" t="str">
        <x:v>Construir viviendas sociales</x:v>
      </x:c>
      <x:c r="E14" s="16" t="n">
        <x:v>-400</x:v>
      </x:c>
      <x:c r="F14" s="16" t="n">
        <x:v>20</x:v>
      </x:c>
      <x:c r="G14" s="16"/>
      <x:c r="H14" s="16"/>
      <x:c r="I14" s="16"/>
      <x:c r="J14" s="14" t="str">
        <x:v>sectores-populares +12</x:v>
      </x:c>
      <x:c r="K14" s="14" t="str">
        <x:v>sectores-populares, clase-media, sindicatos</x:v>
      </x:c>
      <x:c r="L14" s="14" t="str">
        <x:v>clase-alta</x:v>
      </x:c>
      <x:c r="M14" s="12" t="str">
        <x:v>todos</x:v>
      </x:c>
      <x:c r="N14" s="18" t="n">
        <x:v>400</x:v>
      </x:c>
      <x:c r="O14" s="14" t="str"/>
      <x:c r="P14" s="14" t="str">
        <x:v>acceso a vivienda (muerto)</x:v>
      </x:c>
      <x:c r="Q14" s="14" t="str">
        <x:v>todos · min$:400 · demand: acceso a vivienda (muerto)</x:v>
      </x:c>
      <x:c r="R14" s="18" t="n">
        <x:v>3</x:v>
      </x:c>
      <x:c r="S14" s="12" t="str">
        <x:v>Default calculado</x:v>
      </x:c>
      <x:c r="T14" s="20" t="n">
        <x:v>0.8</x:v>
      </x:c>
      <x:c r="U14" s="14" t="str">
        <x:v>t+3:−50 pop+5, t+6:+0 pop+8</x:v>
      </x:c>
    </x:row>
    <x:row r="15" ht="36" customHeight="1">
      <x:c r="A15" s="12" t="str">
        <x:v>programa_educativo</x:v>
      </x:c>
      <x:c r="B15" s="12" t="str">
        <x:v>Programa Educativo</x:v>
      </x:c>
      <x:c r="C15" s="12" t="str">
        <x:v>social</x:v>
      </x:c>
      <x:c r="D15" s="14" t="str">
        <x:v>Mejorar la calidad educativa</x:v>
      </x:c>
      <x:c r="E15" s="16" t="n">
        <x:v>-300</x:v>
      </x:c>
      <x:c r="F15" s="16" t="n">
        <x:v>15</x:v>
      </x:c>
      <x:c r="G15" s="16"/>
      <x:c r="H15" s="16"/>
      <x:c r="I15" s="16"/>
      <x:c r="J15" s="14" t="str">
        <x:v>—</x:v>
      </x:c>
      <x:c r="K15" s="14" t="str">
        <x:v>estudiantiles, clase-media, academicos</x:v>
      </x:c>
      <x:c r="L15" s="14" t="str">
        <x:v>—</x:v>
      </x:c>
      <x:c r="M15" s="12" t="str">
        <x:v>todos</x:v>
      </x:c>
      <x:c r="N15" s="18" t="n">
        <x:v>300</x:v>
      </x:c>
      <x:c r="O15" s="14" t="str"/>
      <x:c r="P15" s="14" t="str">
        <x:v>Presupuesto educativo (muerto)</x:v>
      </x:c>
      <x:c r="Q15" s="14" t="str">
        <x:v>todos · min$:300 · demand: Presupuesto educativo (muerto)</x:v>
      </x:c>
      <x:c r="R15" s="18" t="n">
        <x:v>3</x:v>
      </x:c>
      <x:c r="S15" s="12" t="str">
        <x:v>Default calculado</x:v>
      </x:c>
      <x:c r="T15" s="20" t="n">
        <x:v>0.8</x:v>
      </x:c>
      <x:c r="U15" s="14" t="str">
        <x:v>—</x:v>
      </x:c>
    </x:row>
    <x:row r="16" ht="36" customHeight="1">
      <x:c r="A16" s="12" t="str">
        <x:v>salud_preventiva</x:v>
      </x:c>
      <x:c r="B16" s="12" t="str">
        <x:v>Programa de Salud Preventiva</x:v>
      </x:c>
      <x:c r="C16" s="12" t="str">
        <x:v>social</x:v>
      </x:c>
      <x:c r="D16" s="14" t="str">
        <x:v>Fortalecer la atención primaria</x:v>
      </x:c>
      <x:c r="E16" s="16" t="n">
        <x:v>-350</x:v>
      </x:c>
      <x:c r="F16" s="16" t="n">
        <x:v>18</x:v>
      </x:c>
      <x:c r="G16" s="16"/>
      <x:c r="H16" s="16"/>
      <x:c r="I16" s="16"/>
      <x:c r="J16" s="14" t="str">
        <x:v>—</x:v>
      </x:c>
      <x:c r="K16" s="14" t="str">
        <x:v>sectores-populares, clase-media, ongs</x:v>
      </x:c>
      <x:c r="L16" s="14" t="str">
        <x:v>—</x:v>
      </x:c>
      <x:c r="M16" s="12" t="str">
        <x:v>todos</x:v>
      </x:c>
      <x:c r="N16" s="18" t="n">
        <x:v>350</x:v>
      </x:c>
      <x:c r="O16" s="14" t="str"/>
      <x:c r="P16" s="14" t="str">
        <x:v>mejora en servicios públicos (muerto)</x:v>
      </x:c>
      <x:c r="Q16" s="14" t="str">
        <x:v>todos · min$:350 · demand: mejora en servicios públicos (muerto)</x:v>
      </x:c>
      <x:c r="R16" s="18" t="n">
        <x:v>3</x:v>
      </x:c>
      <x:c r="S16" s="12" t="str">
        <x:v>Default calculado</x:v>
      </x:c>
      <x:c r="T16" s="20" t="n">
        <x:v>0.8</x:v>
      </x:c>
      <x:c r="U16" s="14" t="str">
        <x:v>—</x:v>
      </x:c>
    </x:row>
    <x:row r="17" ht="36" customHeight="1">
      <x:c r="A17" s="12" t="str">
        <x:v>empleo_joven</x:v>
      </x:c>
      <x:c r="B17" s="12" t="str">
        <x:v>Programa de Empleo Joven</x:v>
      </x:c>
      <x:c r="C17" s="12" t="str">
        <x:v>social</x:v>
      </x:c>
      <x:c r="D17" s="14" t="str">
        <x:v>Inserción laboral juvenil</x:v>
      </x:c>
      <x:c r="E17" s="16" t="n">
        <x:v>-250</x:v>
      </x:c>
      <x:c r="F17" s="16" t="n">
        <x:v>15</x:v>
      </x:c>
      <x:c r="G17" s="16"/>
      <x:c r="H17" s="16"/>
      <x:c r="I17" s="16"/>
      <x:c r="J17" s="14" t="str">
        <x:v>—</x:v>
      </x:c>
      <x:c r="K17" s="14" t="str">
        <x:v>estudiantiles, sindicatos, sectores-populares</x:v>
      </x:c>
      <x:c r="L17" s="14" t="str">
        <x:v>—</x:v>
      </x:c>
      <x:c r="M17" s="12" t="str">
        <x:v>todos</x:v>
      </x:c>
      <x:c r="N17" s="18" t="n">
        <x:v>250</x:v>
      </x:c>
      <x:c r="O17" s="14" t="str"/>
      <x:c r="P17" s="14" t="str">
        <x:v>condiciones laborales (muerto)</x:v>
      </x:c>
      <x:c r="Q17" s="14" t="str">
        <x:v>todos · min$:250 · demand: condiciones laborales (muerto)</x:v>
      </x:c>
      <x:c r="R17" s="18" t="n">
        <x:v>3</x:v>
      </x:c>
      <x:c r="S17" s="12" t="str">
        <x:v>Default calculado</x:v>
      </x:c>
      <x:c r="T17" s="20" t="n">
        <x:v>0.8</x:v>
      </x:c>
      <x:c r="U17" s="14" t="str">
        <x:v>—</x:v>
      </x:c>
    </x:row>
    <x:row r="18" ht="36" customHeight="1">
      <x:c r="A18" s="12" t="str">
        <x:v>cobertura_social</x:v>
      </x:c>
      <x:c r="B18" s="12" t="str">
        <x:v>Ampliación de Cobertura Social</x:v>
      </x:c>
      <x:c r="C18" s="12" t="str">
        <x:v>social</x:v>
      </x:c>
      <x:c r="D18" s="14" t="str">
        <x:v>Expandir programas sociales</x:v>
      </x:c>
      <x:c r="E18" s="16" t="n">
        <x:v>-400</x:v>
      </x:c>
      <x:c r="F18" s="16" t="n">
        <x:v>20</x:v>
      </x:c>
      <x:c r="G18" s="16"/>
      <x:c r="H18" s="16"/>
      <x:c r="I18" s="16"/>
      <x:c r="J18" s="14" t="str">
        <x:v>sectores-populares +12</x:v>
      </x:c>
      <x:c r="K18" s="14" t="str">
        <x:v>sectores-populares, ongs, cooperativas</x:v>
      </x:c>
      <x:c r="L18" s="14" t="str">
        <x:v>empresarios, clase-alta</x:v>
      </x:c>
      <x:c r="M18" s="12" t="str">
        <x:v>todos</x:v>
      </x:c>
      <x:c r="N18" s="18" t="n">
        <x:v>400</x:v>
      </x:c>
      <x:c r="O18" s="14" t="str"/>
      <x:c r="P18" s="14" t="str">
        <x:v>Ayuda social (muerto)</x:v>
      </x:c>
      <x:c r="Q18" s="14" t="str">
        <x:v>todos · min$:400 · demand: Ayuda social (muerto)</x:v>
      </x:c>
      <x:c r="R18" s="18" t="n">
        <x:v>3</x:v>
      </x:c>
      <x:c r="S18" s="12" t="str">
        <x:v>Default calculado</x:v>
      </x:c>
      <x:c r="T18" s="20" t="n">
        <x:v>0.8</x:v>
      </x:c>
      <x:c r="U18" s="14" t="str">
        <x:v>—</x:v>
      </x:c>
    </x:row>
    <x:row r="19" ht="36" customHeight="1">
      <x:c r="A19" s="12" t="str">
        <x:v>alfabetizacion</x:v>
      </x:c>
      <x:c r="B19" s="12" t="str">
        <x:v>Campaña de Alfabetización</x:v>
      </x:c>
      <x:c r="C19" s="12" t="str">
        <x:v>social</x:v>
      </x:c>
      <x:c r="D19" s="14" t="str">
        <x:v>Reducir el analfabetismo</x:v>
      </x:c>
      <x:c r="E19" s="16" t="n">
        <x:v>-200</x:v>
      </x:c>
      <x:c r="F19" s="16" t="n">
        <x:v>12</x:v>
      </x:c>
      <x:c r="G19" s="16"/>
      <x:c r="H19" s="16"/>
      <x:c r="I19" s="16"/>
      <x:c r="J19" s="14" t="str">
        <x:v>—</x:v>
      </x:c>
      <x:c r="K19" s="14" t="str">
        <x:v>sectores-populares, estudiantiles, academicos, ongs</x:v>
      </x:c>
      <x:c r="L19" s="14" t="str">
        <x:v>—</x:v>
      </x:c>
      <x:c r="M19" s="12" t="str">
        <x:v>todos</x:v>
      </x:c>
      <x:c r="N19" s="18" t="n">
        <x:v>200</x:v>
      </x:c>
      <x:c r="O19" s="14" t="str"/>
      <x:c r="P19" s="14" t="str"/>
      <x:c r="Q19" s="14" t="str">
        <x:v>todos · min$:200</x:v>
      </x:c>
      <x:c r="R19" s="18" t="n">
        <x:v>3</x:v>
      </x:c>
      <x:c r="S19" s="12" t="str">
        <x:v>Default calculado</x:v>
      </x:c>
      <x:c r="T19" s="20" t="n">
        <x:v>0.8</x:v>
      </x:c>
      <x:c r="U19" s="14" t="str">
        <x:v>—</x:v>
      </x:c>
    </x:row>
    <x:row r="20" ht="36" customHeight="1">
      <x:c r="A20" s="12" t="str">
        <x:v>inclusion_digital</x:v>
      </x:c>
      <x:c r="B20" s="12" t="str">
        <x:v>Plan de Inclusión Digital</x:v>
      </x:c>
      <x:c r="C20" s="12" t="str">
        <x:v>social</x:v>
      </x:c>
      <x:c r="D20" s="14" t="str">
        <x:v>Reducir la brecha digital</x:v>
      </x:c>
      <x:c r="E20" s="16" t="n">
        <x:v>-300</x:v>
      </x:c>
      <x:c r="F20" s="16" t="n">
        <x:v>15</x:v>
      </x:c>
      <x:c r="G20" s="16"/>
      <x:c r="H20" s="16"/>
      <x:c r="I20" s="16"/>
      <x:c r="J20" s="14" t="str">
        <x:v>—</x:v>
      </x:c>
      <x:c r="K20" s="14" t="str">
        <x:v>clase-media, estudiantiles, empresarios</x:v>
      </x:c>
      <x:c r="L20" s="14" t="str">
        <x:v>—</x:v>
      </x:c>
      <x:c r="M20" s="12" t="str">
        <x:v>todos</x:v>
      </x:c>
      <x:c r="N20" s="18" t="n">
        <x:v>300</x:v>
      </x:c>
      <x:c r="O20" s="14" t="str"/>
      <x:c r="P20" s="14" t="str"/>
      <x:c r="Q20" s="14" t="str">
        <x:v>todos · min$:300</x:v>
      </x:c>
      <x:c r="R20" s="18" t="n">
        <x:v>3</x:v>
      </x:c>
      <x:c r="S20" s="12" t="str">
        <x:v>Default calculado</x:v>
      </x:c>
      <x:c r="T20" s="20" t="n">
        <x:v>0.8</x:v>
      </x:c>
      <x:c r="U20" s="14" t="str">
        <x:v>—</x:v>
      </x:c>
    </x:row>
    <x:row r="21" ht="36" customHeight="1">
      <x:c r="A21" s="12" t="str">
        <x:v>programa_alimentario</x:v>
      </x:c>
      <x:c r="B21" s="12" t="str">
        <x:v>Programa Alimentario</x:v>
      </x:c>
      <x:c r="C21" s="12" t="str">
        <x:v>social</x:v>
      </x:c>
      <x:c r="D21" s="14" t="str">
        <x:v>Asistencia alimentaria</x:v>
      </x:c>
      <x:c r="E21" s="16" t="n">
        <x:v>-350</x:v>
      </x:c>
      <x:c r="F21" s="16" t="n">
        <x:v>20</x:v>
      </x:c>
      <x:c r="G21" s="16"/>
      <x:c r="H21" s="16"/>
      <x:c r="I21" s="16"/>
      <x:c r="J21" s="14" t="str">
        <x:v>—</x:v>
      </x:c>
      <x:c r="K21" s="14" t="str">
        <x:v>sectores-populares, ongs, cooperativas</x:v>
      </x:c>
      <x:c r="L21" s="14" t="str">
        <x:v>—</x:v>
      </x:c>
      <x:c r="M21" s="12" t="str">
        <x:v>todos</x:v>
      </x:c>
      <x:c r="N21" s="18" t="n">
        <x:v>350</x:v>
      </x:c>
      <x:c r="O21" s="14" t="str"/>
      <x:c r="P21" s="14" t="str">
        <x:v>Ayuda social (muerto)</x:v>
      </x:c>
      <x:c r="Q21" s="14" t="str">
        <x:v>todos · min$:350 · demand: Ayuda social (muerto)</x:v>
      </x:c>
      <x:c r="R21" s="18" t="n">
        <x:v>3</x:v>
      </x:c>
      <x:c r="S21" s="12" t="str">
        <x:v>Default calculado</x:v>
      </x:c>
      <x:c r="T21" s="20" t="n">
        <x:v>0.8</x:v>
      </x:c>
      <x:c r="U21" s="14" t="str">
        <x:v>—</x:v>
      </x:c>
    </x:row>
    <x:row r="22" ht="36" customHeight="1">
      <x:c r="A22" s="12" t="str">
        <x:v>tercera_edad</x:v>
      </x:c>
      <x:c r="B22" s="12" t="str">
        <x:v>Asistencia a la Tercera Edad</x:v>
      </x:c>
      <x:c r="C22" s="12" t="str">
        <x:v>social</x:v>
      </x:c>
      <x:c r="D22" s="14" t="str">
        <x:v>Apoyo a adultos mayores</x:v>
      </x:c>
      <x:c r="E22" s="16" t="n">
        <x:v>-250</x:v>
      </x:c>
      <x:c r="F22" s="16" t="n">
        <x:v>15</x:v>
      </x:c>
      <x:c r="G22" s="16"/>
      <x:c r="H22" s="16"/>
      <x:c r="I22" s="16"/>
      <x:c r="J22" s="14" t="str">
        <x:v>sectores-populares +9, clase-media +10.5, ongs +9</x:v>
      </x:c>
      <x:c r="K22" s="14" t="str">
        <x:v>sectores-populares, clase-media, ongs</x:v>
      </x:c>
      <x:c r="L22" s="14" t="str">
        <x:v>—</x:v>
      </x:c>
      <x:c r="M22" s="12" t="str">
        <x:v>todos</x:v>
      </x:c>
      <x:c r="N22" s="18" t="n">
        <x:v>250</x:v>
      </x:c>
      <x:c r="O22" s="14" t="str"/>
      <x:c r="P22" s="14" t="str">
        <x:v>Ayuda social (muerto)</x:v>
      </x:c>
      <x:c r="Q22" s="14" t="str">
        <x:v>todos · min$:250 · demand: Ayuda social (muerto)</x:v>
      </x:c>
      <x:c r="R22" s="18" t="n">
        <x:v>3</x:v>
      </x:c>
      <x:c r="S22" s="12" t="str">
        <x:v>Default calculado</x:v>
      </x:c>
      <x:c r="T22" s="20" t="n">
        <x:v>0.8</x:v>
      </x:c>
      <x:c r="U22" s="14" t="str">
        <x:v>—</x:v>
      </x:c>
    </x:row>
    <x:row r="23" ht="36" customHeight="1">
      <x:c r="A23" s="12" t="str">
        <x:v>igualdad_genero</x:v>
      </x:c>
      <x:c r="B23" s="12" t="str">
        <x:v>Plan de Igualdad de Género</x:v>
      </x:c>
      <x:c r="C23" s="12" t="str">
        <x:v>social</x:v>
      </x:c>
      <x:c r="D23" s="14" t="str">
        <x:v>Promover la equidad de género</x:v>
      </x:c>
      <x:c r="E23" s="16" t="n">
        <x:v>-200</x:v>
      </x:c>
      <x:c r="F23" s="16" t="n">
        <x:v>15</x:v>
      </x:c>
      <x:c r="G23" s="16"/>
      <x:c r="H23" s="16"/>
      <x:c r="I23" s="16"/>
      <x:c r="J23" s="14" t="str">
        <x:v>—</x:v>
      </x:c>
      <x:c r="K23" s="14" t="str">
        <x:v>feministas, ongs, estudiantiles</x:v>
      </x:c>
      <x:c r="L23" s="14" t="str">
        <x:v>—</x:v>
      </x:c>
      <x:c r="M23" s="12" t="str">
        <x:v>todos</x:v>
      </x:c>
      <x:c r="N23" s="18" t="n">
        <x:v>200</x:v>
      </x:c>
      <x:c r="O23" s="14" t="str"/>
      <x:c r="P23" s="14" t="str">
        <x:v>Paridad salarial, protección contra violencia (muerto)</x:v>
      </x:c>
      <x:c r="Q23" s="14" t="str">
        <x:v>todos · min$:200 · demand: Paridad salarial, protección contra violencia (muerto)</x:v>
      </x:c>
      <x:c r="R23" s="18" t="n">
        <x:v>3</x:v>
      </x:c>
      <x:c r="S23" s="12" t="str">
        <x:v>Default calculado</x:v>
      </x:c>
      <x:c r="T23" s="20" t="n">
        <x:v>0.8</x:v>
      </x:c>
      <x:c r="U23" s="14" t="str">
        <x:v>—</x:v>
      </x:c>
    </x:row>
    <x:row r="24" ht="36" customHeight="1">
      <x:c r="A24" s="12" t="str">
        <x:v>transporte_publico</x:v>
      </x:c>
      <x:c r="B24" s="12" t="str">
        <x:v>Transporte Público</x:v>
      </x:c>
      <x:c r="C24" s="12" t="str">
        <x:v>infraestructura</x:v>
      </x:c>
      <x:c r="D24" s="14" t="str">
        <x:v>Mejorar el sistema de transporte</x:v>
      </x:c>
      <x:c r="E24" s="16" t="n">
        <x:v>-400</x:v>
      </x:c>
      <x:c r="F24" s="16" t="n">
        <x:v>15</x:v>
      </x:c>
      <x:c r="G24" s="16"/>
      <x:c r="H24" s="16"/>
      <x:c r="I24" s="16"/>
      <x:c r="J24" s="14" t="str">
        <x:v>—</x:v>
      </x:c>
      <x:c r="K24" s="14" t="str">
        <x:v>sectores-populares, clase-media, sindicatos</x:v>
      </x:c>
      <x:c r="L24" s="14" t="str">
        <x:v>empresarios</x:v>
      </x:c>
      <x:c r="M24" s="12" t="str">
        <x:v>todos</x:v>
      </x:c>
      <x:c r="N24" s="18" t="n">
        <x:v>400</x:v>
      </x:c>
      <x:c r="O24" s="14" t="str"/>
      <x:c r="P24" s="14" t="str">
        <x:v>mejora en servicios públicos (muerto)</x:v>
      </x:c>
      <x:c r="Q24" s="14" t="str">
        <x:v>todos · min$:400 · demand: mejora en servicios públicos (muerto)</x:v>
      </x:c>
      <x:c r="R24" s="18" t="n">
        <x:v>3</x:v>
      </x:c>
      <x:c r="S24" s="12" t="str">
        <x:v>Default calculado</x:v>
      </x:c>
      <x:c r="T24" s="20" t="n">
        <x:v>0.8</x:v>
      </x:c>
      <x:c r="U24" s="14" t="str">
        <x:v>—</x:v>
      </x:c>
    </x:row>
    <x:row r="25" ht="36" customHeight="1">
      <x:c r="A25" s="12" t="str">
        <x:v>energia_renovable</x:v>
      </x:c>
      <x:c r="B25" s="12" t="str">
        <x:v>Energía Renovable</x:v>
      </x:c>
      <x:c r="C25" s="12" t="str">
        <x:v>infraestructura</x:v>
      </x:c>
      <x:c r="D25" s="14" t="str">
        <x:v>Desarrollar energías limpias</x:v>
      </x:c>
      <x:c r="E25" s="16" t="n">
        <x:v>-500</x:v>
      </x:c>
      <x:c r="F25" s="16" t="n">
        <x:v>12</x:v>
      </x:c>
      <x:c r="G25" s="16"/>
      <x:c r="H25" s="16"/>
      <x:c r="I25" s="16"/>
      <x:c r="J25" s="14" t="str">
        <x:v>—</x:v>
      </x:c>
      <x:c r="K25" s="14" t="str">
        <x:v>ambientalistas, ongs, academicos</x:v>
      </x:c>
      <x:c r="L25" s="14" t="str">
        <x:v>empresarios</x:v>
      </x:c>
      <x:c r="M25" s="12" t="str">
        <x:v>gob,pres</x:v>
      </x:c>
      <x:c r="N25" s="18" t="n">
        <x:v>500</x:v>
      </x:c>
      <x:c r="O25" s="14" t="str">
        <x:v>estudio_factibilidad</x:v>
      </x:c>
      <x:c r="P25" s="14" t="str">
        <x:v>Políticas ambientales (muerto)</x:v>
      </x:c>
      <x:c r="Q25" s="14" t="str">
        <x:v>cargo: gob,pres · min$:500 · prereq: estudio_factibilidad · demand: Políticas ambientales (muerto)</x:v>
      </x:c>
      <x:c r="R25" s="18" t="n">
        <x:v>3</x:v>
      </x:c>
      <x:c r="S25" s="12" t="str">
        <x:v>Default calculado</x:v>
      </x:c>
      <x:c r="T25" s="20" t="n">
        <x:v>0.8</x:v>
      </x:c>
      <x:c r="U25" s="14" t="str">
        <x:v>—</x:v>
      </x:c>
    </x:row>
    <x:row r="26" ht="36" customHeight="1">
      <x:c r="A26" s="12" t="str">
        <x:v>construccion_hospitales</x:v>
      </x:c>
      <x:c r="B26" s="12" t="str">
        <x:v>Construcción de Hospitales</x:v>
      </x:c>
      <x:c r="C26" s="12" t="str">
        <x:v>infraestructura</x:v>
      </x:c>
      <x:c r="D26" s="14" t="str">
        <x:v>Ampliar la red hospitalaria</x:v>
      </x:c>
      <x:c r="E26" s="16" t="n">
        <x:v>-600</x:v>
      </x:c>
      <x:c r="F26" s="16" t="n">
        <x:v>20</x:v>
      </x:c>
      <x:c r="G26" s="16"/>
      <x:c r="H26" s="16"/>
      <x:c r="I26" s="16"/>
      <x:c r="J26" s="14" t="str">
        <x:v>—</x:v>
      </x:c>
      <x:c r="K26" s="14" t="str">
        <x:v>sectores-populares, clase-media, sindicatos</x:v>
      </x:c>
      <x:c r="L26" s="14" t="str">
        <x:v>—</x:v>
      </x:c>
      <x:c r="M26" s="12" t="str">
        <x:v>gob,pres</x:v>
      </x:c>
      <x:c r="N26" s="18" t="n">
        <x:v>600</x:v>
      </x:c>
      <x:c r="O26" s="14" t="str">
        <x:v>estudio_factibilidad</x:v>
      </x:c>
      <x:c r="P26" s="14" t="str">
        <x:v>mejora en servicios públicos (muerto)</x:v>
      </x:c>
      <x:c r="Q26" s="14" t="str">
        <x:v>cargo: gob,pres · min$:600 · prereq: estudio_factibilidad · demand: mejora en servicios públicos (muerto)</x:v>
      </x:c>
      <x:c r="R26" s="18" t="n">
        <x:v>6</x:v>
      </x:c>
      <x:c r="S26" s="12" t="str">
        <x:v>Default calculado</x:v>
      </x:c>
      <x:c r="T26" s="20" t="n">
        <x:v>0.8</x:v>
      </x:c>
      <x:c r="U26" s="14" t="str">
        <x:v>—</x:v>
      </x:c>
    </x:row>
    <x:row r="27" ht="36" customHeight="1">
      <x:c r="A27" s="12" t="str">
        <x:v>viviendas_rurales</x:v>
      </x:c>
      <x:c r="B27" s="12" t="str">
        <x:v>Desarrollo de Viviendas Rurales</x:v>
      </x:c>
      <x:c r="C27" s="12" t="str">
        <x:v>infraestructura</x:v>
      </x:c>
      <x:c r="D27" s="14" t="str">
        <x:v>Mejorar viviendas en zonas rurales</x:v>
      </x:c>
      <x:c r="E27" s="16" t="n">
        <x:v>-300</x:v>
      </x:c>
      <x:c r="F27" s="16" t="n">
        <x:v>15</x:v>
      </x:c>
      <x:c r="G27" s="16"/>
      <x:c r="H27" s="16"/>
      <x:c r="I27" s="16"/>
      <x:c r="J27" s="14" t="str">
        <x:v>sectores-populares +9</x:v>
      </x:c>
      <x:c r="K27" s="14" t="str">
        <x:v>sector-agricola, sectores-populares</x:v>
      </x:c>
      <x:c r="L27" s="14" t="str">
        <x:v>—</x:v>
      </x:c>
      <x:c r="M27" s="12" t="str">
        <x:v>todos</x:v>
      </x:c>
      <x:c r="N27" s="18" t="n">
        <x:v>300</x:v>
      </x:c>
      <x:c r="O27" s="14" t="str"/>
      <x:c r="P27" s="14" t="str">
        <x:v>acceso a vivienda (muerto)</x:v>
      </x:c>
      <x:c r="Q27" s="14" t="str">
        <x:v>todos · min$:300 · demand: acceso a vivienda (muerto)</x:v>
      </x:c>
      <x:c r="R27" s="18" t="n">
        <x:v>3</x:v>
      </x:c>
      <x:c r="S27" s="12" t="str">
        <x:v>Default calculado</x:v>
      </x:c>
      <x:c r="T27" s="20" t="n">
        <x:v>0.8</x:v>
      </x:c>
      <x:c r="U27" s="14" t="str">
        <x:v>—</x:v>
      </x:c>
    </x:row>
    <x:row r="28" ht="36" customHeight="1">
      <x:c r="A28" s="12" t="str">
        <x:v>modernizacion_aeropuertos</x:v>
      </x:c>
      <x:c r="B28" s="12" t="str">
        <x:v>Modernización de Aeropuertos</x:v>
      </x:c>
      <x:c r="C28" s="12" t="str">
        <x:v>infraestructura</x:v>
      </x:c>
      <x:c r="D28" s="14" t="str">
        <x:v>Actualizar infraestructura aeroportuaria</x:v>
      </x:c>
      <x:c r="E28" s="16" t="n">
        <x:v>-700</x:v>
      </x:c>
      <x:c r="F28" s="16" t="n">
        <x:v>10</x:v>
      </x:c>
      <x:c r="G28" s="16"/>
      <x:c r="H28" s="16"/>
      <x:c r="I28" s="16"/>
      <x:c r="J28" s="14" t="str">
        <x:v>—</x:v>
      </x:c>
      <x:c r="K28" s="14" t="str">
        <x:v>empresarios, clase-alta</x:v>
      </x:c>
      <x:c r="L28" s="14" t="str">
        <x:v>ambientalistas</x:v>
      </x:c>
      <x:c r="M28" s="12" t="str">
        <x:v>presidente</x:v>
      </x:c>
      <x:c r="N28" s="18" t="n">
        <x:v>700</x:v>
      </x:c>
      <x:c r="O28" s="14" t="str">
        <x:v>estudio_factibilidad + infraestructura_vial</x:v>
      </x:c>
      <x:c r="P28" s="14" t="str"/>
      <x:c r="Q28" s="14" t="str">
        <x:v>cargo: presidente · min$:700 · prereq: estudio_factibilidad + infraestructura_vial</x:v>
      </x:c>
      <x:c r="R28" s="18" t="n">
        <x:v>6</x:v>
      </x:c>
      <x:c r="S28" s="12" t="str">
        <x:v>Default calculado</x:v>
      </x:c>
      <x:c r="T28" s="20" t="n">
        <x:v>0.8</x:v>
      </x:c>
      <x:c r="U28" s="14" t="str">
        <x:v>—</x:v>
      </x:c>
    </x:row>
    <x:row r="29" ht="36" customHeight="1">
      <x:c r="A29" s="12" t="str">
        <x:v>red_comunicaciones</x:v>
      </x:c>
      <x:c r="B29" s="12" t="str">
        <x:v>Red de Comunicaciones</x:v>
      </x:c>
      <x:c r="C29" s="12" t="str">
        <x:v>infraestructura</x:v>
      </x:c>
      <x:c r="D29" s="14" t="str">
        <x:v>Expandir la red de telecomunicaciones</x:v>
      </x:c>
      <x:c r="E29" s="16" t="n">
        <x:v>-400</x:v>
      </x:c>
      <x:c r="F29" s="16" t="n">
        <x:v>12</x:v>
      </x:c>
      <x:c r="G29" s="16"/>
      <x:c r="H29" s="16"/>
      <x:c r="I29" s="16"/>
      <x:c r="J29" s="14" t="str">
        <x:v>—</x:v>
      </x:c>
      <x:c r="K29" s="14" t="str">
        <x:v>empresarios, clase-media, academicos</x:v>
      </x:c>
      <x:c r="L29" s="14" t="str">
        <x:v>—</x:v>
      </x:c>
      <x:c r="M29" s="12" t="str">
        <x:v>gob,pres</x:v>
      </x:c>
      <x:c r="N29" s="18" t="n">
        <x:v>400</x:v>
      </x:c>
      <x:c r="O29" s="14" t="str"/>
      <x:c r="P29" s="14" t="str">
        <x:v>infraestructura (muerto)</x:v>
      </x:c>
      <x:c r="Q29" s="14" t="str">
        <x:v>cargo: gob,pres · min$:400 · demand: infraestructura (muerto)</x:v>
      </x:c>
      <x:c r="R29" s="18" t="n">
        <x:v>3</x:v>
      </x:c>
      <x:c r="S29" s="12" t="str">
        <x:v>Default calculado</x:v>
      </x:c>
      <x:c r="T29" s="20" t="n">
        <x:v>0.8</x:v>
      </x:c>
      <x:c r="U29" s="14" t="str">
        <x:v>—</x:v>
      </x:c>
    </x:row>
    <x:row r="30" ht="36" customHeight="1">
      <x:c r="A30" s="12" t="str">
        <x:v>reforestacion</x:v>
      </x:c>
      <x:c r="B30" s="12" t="str">
        <x:v>Programa de Reforestación</x:v>
      </x:c>
      <x:c r="C30" s="12" t="str">
        <x:v>infraestructura</x:v>
      </x:c>
      <x:c r="D30" s="14" t="str">
        <x:v>Recuperar áreas verdes</x:v>
      </x:c>
      <x:c r="E30" s="16" t="n">
        <x:v>-200</x:v>
      </x:c>
      <x:c r="F30" s="16" t="n">
        <x:v>15</x:v>
      </x:c>
      <x:c r="G30" s="16"/>
      <x:c r="H30" s="16"/>
      <x:c r="I30" s="16"/>
      <x:c r="J30" s="14" t="str">
        <x:v>—</x:v>
      </x:c>
      <x:c r="K30" s="14" t="str">
        <x:v>ambientalistas, ongs, cooperativas</x:v>
      </x:c>
      <x:c r="L30" s="14" t="str">
        <x:v>sector-agricola</x:v>
      </x:c>
      <x:c r="M30" s="12" t="str">
        <x:v>todos</x:v>
      </x:c>
      <x:c r="N30" s="18" t="n">
        <x:v>200</x:v>
      </x:c>
      <x:c r="O30" s="14" t="str"/>
      <x:c r="P30" s="14" t="str">
        <x:v>Políticas ambientales, control de contaminación (muerto)</x:v>
      </x:c>
      <x:c r="Q30" s="14" t="str">
        <x:v>todos · min$:200 · demand: Políticas ambientales, control de contaminación (muerto)</x:v>
      </x:c>
      <x:c r="R30" s="18" t="n">
        <x:v>3</x:v>
      </x:c>
      <x:c r="S30" s="12" t="str">
        <x:v>Default calculado</x:v>
      </x:c>
      <x:c r="T30" s="20" t="n">
        <x:v>0.8</x:v>
      </x:c>
      <x:c r="U30" s="14" t="str">
        <x:v>—</x:v>
      </x:c>
    </x:row>
    <x:row r="31" ht="36" customHeight="1">
      <x:c r="A31" s="12" t="str">
        <x:v>infraestructura_vial</x:v>
      </x:c>
      <x:c r="B31" s="12" t="str">
        <x:v>Mejorar Infraestructura Vial</x:v>
      </x:c>
      <x:c r="C31" s="12" t="str">
        <x:v>infraestructura</x:v>
      </x:c>
      <x:c r="D31" s="14" t="str">
        <x:v>Renovar la red de carreteras</x:v>
      </x:c>
      <x:c r="E31" s="16" t="n">
        <x:v>-500</x:v>
      </x:c>
      <x:c r="F31" s="16" t="n">
        <x:v>15</x:v>
      </x:c>
      <x:c r="G31" s="16"/>
      <x:c r="H31" s="16"/>
      <x:c r="I31" s="16"/>
      <x:c r="J31" s="14" t="str">
        <x:v>—</x:v>
      </x:c>
      <x:c r="K31" s="14" t="str">
        <x:v>empresarios, sector-agricola, clase-media</x:v>
      </x:c>
      <x:c r="L31" s="14" t="str">
        <x:v>—</x:v>
      </x:c>
      <x:c r="M31" s="12" t="str">
        <x:v>todos</x:v>
      </x:c>
      <x:c r="N31" s="18" t="n">
        <x:v>500</x:v>
      </x:c>
      <x:c r="O31" s="14" t="str">
        <x:v>estudio_factibilidad</x:v>
      </x:c>
      <x:c r="P31" s="14" t="str">
        <x:v>Mejora de caminos rurales (muerto)</x:v>
      </x:c>
      <x:c r="Q31" s="14" t="str">
        <x:v>todos · min$:500 · prereq: estudio_factibilidad · demand: Mejora de caminos rurales (muerto)</x:v>
      </x:c>
      <x:c r="R31" s="18" t="n">
        <x:v>3</x:v>
      </x:c>
      <x:c r="S31" s="12" t="str">
        <x:v>Default calculado</x:v>
      </x:c>
      <x:c r="T31" s="20" t="n">
        <x:v>0.8</x:v>
      </x:c>
      <x:c r="U31" s="14" t="str">
        <x:v>—</x:v>
      </x:c>
    </x:row>
    <x:row r="32" ht="36" customHeight="1">
      <x:c r="A32" s="12" t="str">
        <x:v>tratamiento_agua</x:v>
      </x:c>
      <x:c r="B32" s="12" t="str">
        <x:v>Plantas de Tratamiento de Agua</x:v>
      </x:c>
      <x:c r="C32" s="12" t="str">
        <x:v>infraestructura</x:v>
      </x:c>
      <x:c r="D32" s="14" t="str">
        <x:v>Mejorar el tratamiento de agua</x:v>
      </x:c>
      <x:c r="E32" s="16" t="n">
        <x:v>-400</x:v>
      </x:c>
      <x:c r="F32" s="16" t="n">
        <x:v>12</x:v>
      </x:c>
      <x:c r="G32" s="16"/>
      <x:c r="H32" s="16"/>
      <x:c r="I32" s="16"/>
      <x:c r="J32" s="14" t="str">
        <x:v>—</x:v>
      </x:c>
      <x:c r="K32" s="14" t="str">
        <x:v>ambientalistas, sectores-populares, ongs</x:v>
      </x:c>
      <x:c r="L32" s="14" t="str">
        <x:v>—</x:v>
      </x:c>
      <x:c r="M32" s="12" t="str">
        <x:v>todos</x:v>
      </x:c>
      <x:c r="N32" s="18" t="n">
        <x:v>400</x:v>
      </x:c>
      <x:c r="O32" s="14" t="str"/>
      <x:c r="P32" s="14" t="str">
        <x:v>control de contaminación (muerto)</x:v>
      </x:c>
      <x:c r="Q32" s="14" t="str">
        <x:v>todos · min$:400 · demand: control de contaminación (muerto)</x:v>
      </x:c>
      <x:c r="R32" s="18" t="n">
        <x:v>3</x:v>
      </x:c>
      <x:c r="S32" s="12" t="str">
        <x:v>Default calculado</x:v>
      </x:c>
      <x:c r="T32" s="20" t="n">
        <x:v>0.8</x:v>
      </x:c>
      <x:c r="U32" s="14" t="str">
        <x:v>—</x:v>
      </x:c>
    </x:row>
    <x:row r="33" ht="36" customHeight="1">
      <x:c r="A33" s="12" t="str">
        <x:v>red_gas</x:v>
      </x:c>
      <x:c r="B33" s="12" t="str">
        <x:v>Red de Gas Natural</x:v>
      </x:c>
      <x:c r="C33" s="12" t="str">
        <x:v>infraestructura</x:v>
      </x:c>
      <x:c r="D33" s="14" t="str">
        <x:v>Expandir la red de gas</x:v>
      </x:c>
      <x:c r="E33" s="16" t="n">
        <x:v>-450</x:v>
      </x:c>
      <x:c r="F33" s="16" t="n">
        <x:v>15</x:v>
      </x:c>
      <x:c r="G33" s="16"/>
      <x:c r="H33" s="16"/>
      <x:c r="I33" s="16"/>
      <x:c r="J33" s="14" t="str">
        <x:v>—</x:v>
      </x:c>
      <x:c r="K33" s="14" t="str">
        <x:v>empresarios, clase-media, sindicatos</x:v>
      </x:c>
      <x:c r="L33" s="14" t="str">
        <x:v>ambientalistas</x:v>
      </x:c>
      <x:c r="M33" s="12" t="str">
        <x:v>gob,pres</x:v>
      </x:c>
      <x:c r="N33" s="18" t="n">
        <x:v>450</x:v>
      </x:c>
      <x:c r="O33" s="14" t="str"/>
      <x:c r="P33" s="14" t="str">
        <x:v>infraestructura (muerto)</x:v>
      </x:c>
      <x:c r="Q33" s="14" t="str">
        <x:v>cargo: gob,pres · min$:450 · demand: infraestructura (muerto)</x:v>
      </x:c>
      <x:c r="R33" s="18" t="n">
        <x:v>3</x:v>
      </x:c>
      <x:c r="S33" s="12" t="str">
        <x:v>Default calculado</x:v>
      </x:c>
      <x:c r="T33" s="20" t="n">
        <x:v>0.8</x:v>
      </x:c>
      <x:c r="U33" s="14" t="str">
        <x:v>—</x:v>
      </x:c>
    </x:row>
    <x:row r="34" ht="36" customHeight="1">
      <x:c r="A34" s="12" t="str">
        <x:v>estudio_factibilidad</x:v>
      </x:c>
      <x:c r="B34" s="12" t="str">
        <x:v>Estudio de factibilidad</x:v>
      </x:c>
      <x:c r="C34" s="12" t="str">
        <x:v>infraestructura</x:v>
      </x:c>
      <x:c r="D34" s="14" t="str">
        <x:v>Evaluación técnica y económica preliminar de obras. Reduce el costo de futuras obras.</x:v>
      </x:c>
      <x:c r="E34" s="16" t="n">
        <x:v>-80</x:v>
      </x:c>
      <x:c r="F34" s="16" t="n">
        <x:v>2</x:v>
      </x:c>
      <x:c r="G34" s="16"/>
      <x:c r="H34" s="16"/>
      <x:c r="I34" s="16"/>
      <x:c r="J34" s="14" t="str">
        <x:v>—</x:v>
      </x:c>
      <x:c r="K34" s="14" t="str">
        <x:v>empresarios, academicos</x:v>
      </x:c>
      <x:c r="L34" s="14" t="str">
        <x:v>—</x:v>
      </x:c>
      <x:c r="M34" s="12" t="str">
        <x:v>todos</x:v>
      </x:c>
      <x:c r="N34" s="18" t="n">
        <x:v>80</x:v>
      </x:c>
      <x:c r="O34" s="14" t="str"/>
      <x:c r="P34" s="14" t="str"/>
      <x:c r="Q34" s="14" t="str">
        <x:v>todos · min$:80</x:v>
      </x:c>
      <x:c r="R34" s="18" t="n">
        <x:v>2</x:v>
      </x:c>
      <x:c r="S34" s="12" t="str">
        <x:v>Explícito</x:v>
      </x:c>
      <x:c r="T34" s="20" t="n">
        <x:v>0.8</x:v>
      </x:c>
      <x:c r="U34" s="14" t="str">
        <x:v>t+1:−15 pop+0 (+ motor: −20% costo infra 6 turnos, ver §2)</x:v>
      </x:c>
    </x:row>
    <x:row r="35" ht="36" customHeight="1">
      <x:c r="A35" s="12" t="str">
        <x:v>plan_hidrico</x:v>
      </x:c>
      <x:c r="B35" s="12" t="str">
        <x:v>Plan Hídrico</x:v>
      </x:c>
      <x:c r="C35" s="12" t="str">
        <x:v>infraestructura</x:v>
      </x:c>
      <x:c r="D35" s="14" t="str">
        <x:v>Obras de irrigación, canales y gestión del agua</x:v>
      </x:c>
      <x:c r="E35" s="16" t="n">
        <x:v>-450</x:v>
      </x:c>
      <x:c r="F35" s="16" t="n">
        <x:v>14</x:v>
      </x:c>
      <x:c r="G35" s="16"/>
      <x:c r="H35" s="16"/>
      <x:c r="I35" s="16"/>
      <x:c r="J35" s="14" t="str">
        <x:v>—</x:v>
      </x:c>
      <x:c r="K35" s="14" t="str">
        <x:v>sector-agricola, ambientalistas, cooperativas</x:v>
      </x:c>
      <x:c r="L35" s="14" t="str">
        <x:v>—</x:v>
      </x:c>
      <x:c r="M35" s="12" t="str">
        <x:v>todos</x:v>
      </x:c>
      <x:c r="N35" s="18" t="n">
        <x:v>450</x:v>
      </x:c>
      <x:c r="O35" s="14" t="str"/>
      <x:c r="P35" s="14" t="str">
        <x:v>infraestructura (muerto)</x:v>
      </x:c>
      <x:c r="Q35" s="14" t="str">
        <x:v>todos · min$:450 · demand: infraestructura (muerto)</x:v>
      </x:c>
      <x:c r="R35" s="18" t="n">
        <x:v>3</x:v>
      </x:c>
      <x:c r="S35" s="12" t="str">
        <x:v>Default calculado</x:v>
      </x:c>
      <x:c r="T35" s="20" t="n">
        <x:v>0.8</x:v>
      </x:c>
      <x:c r="U35" s="14" t="str">
        <x:v>t+3:−30 pop+4, t+5:−20 pop+3</x:v>
      </x:c>
    </x:row>
    <x:row r="36" ht="36" customHeight="1">
      <x:c r="A36" s="12" t="str">
        <x:v>mantenimiento_urbano</x:v>
      </x:c>
      <x:c r="B36" s="12" t="str">
        <x:v>Mantenimiento Urbano</x:v>
      </x:c>
      <x:c r="C36" s="12" t="str">
        <x:v>infraestructura</x:v>
      </x:c>
      <x:c r="D36" s="14" t="str">
        <x:v>Reparación y mantenimiento de espacios públicos y edificios municipales</x:v>
      </x:c>
      <x:c r="E36" s="16" t="n">
        <x:v>-250</x:v>
      </x:c>
      <x:c r="F36" s="16" t="n">
        <x:v>10</x:v>
      </x:c>
      <x:c r="G36" s="16"/>
      <x:c r="H36" s="16"/>
      <x:c r="I36" s="16"/>
      <x:c r="J36" s="14" t="str">
        <x:v>—</x:v>
      </x:c>
      <x:c r="K36" s="14" t="str">
        <x:v>clase-media, sectores-populares</x:v>
      </x:c>
      <x:c r="L36" s="14" t="str">
        <x:v>—</x:v>
      </x:c>
      <x:c r="M36" s="12" t="str">
        <x:v>todos</x:v>
      </x:c>
      <x:c r="N36" s="18" t="n">
        <x:v>250</x:v>
      </x:c>
      <x:c r="O36" s="14" t="str"/>
      <x:c r="P36" s="14" t="str">
        <x:v>mejora en servicios públicos (muerto)</x:v>
      </x:c>
      <x:c r="Q36" s="14" t="str">
        <x:v>todos · min$:250 · demand: mejora en servicios públicos (muerto)</x:v>
      </x:c>
      <x:c r="R36" s="18" t="n">
        <x:v>3</x:v>
      </x:c>
      <x:c r="S36" s="12" t="str">
        <x:v>Default calculado</x:v>
      </x:c>
      <x:c r="T36" s="20" t="n">
        <x:v>0.8</x:v>
      </x:c>
      <x:c r="U36" s="14" t="str">
        <x:v>t+2:−25 pop+2, t+4:−20 pop+3</x:v>
      </x:c>
    </x:row>
    <x:row r="37" ht="36" customHeight="1">
      <x:c r="A37" s="12" t="str">
        <x:v>plan_conectividad</x:v>
      </x:c>
      <x:c r="B37" s="12" t="str">
        <x:v>Plan de Conectividad</x:v>
      </x:c>
      <x:c r="C37" s="12" t="str">
        <x:v>infraestructura</x:v>
      </x:c>
      <x:c r="D37" s="14" t="str">
        <x:v>Despliegue de fibra óptica y redes de internet en zonas sin cobertura</x:v>
      </x:c>
      <x:c r="E37" s="16" t="n">
        <x:v>-350</x:v>
      </x:c>
      <x:c r="F37" s="16" t="n">
        <x:v>13</x:v>
      </x:c>
      <x:c r="G37" s="16"/>
      <x:c r="H37" s="16"/>
      <x:c r="I37" s="16"/>
      <x:c r="J37" s="14" t="str">
        <x:v>—</x:v>
      </x:c>
      <x:c r="K37" s="14" t="str">
        <x:v>empresarios, clase-media, academicos, estudiantiles</x:v>
      </x:c>
      <x:c r="L37" s="14" t="str">
        <x:v>—</x:v>
      </x:c>
      <x:c r="M37" s="12" t="str">
        <x:v>gob,pres</x:v>
      </x:c>
      <x:c r="N37" s="18" t="n">
        <x:v>350</x:v>
      </x:c>
      <x:c r="O37" s="14" t="str"/>
      <x:c r="P37" s="14" t="str">
        <x:v>infraestructura (muerto)</x:v>
      </x:c>
      <x:c r="Q37" s="14" t="str">
        <x:v>cargo: gob,pres · min$:350 · demand: infraestructura (muerto)</x:v>
      </x:c>
      <x:c r="R37" s="18" t="n">
        <x:v>3</x:v>
      </x:c>
      <x:c r="S37" s="12" t="str">
        <x:v>Default calculado</x:v>
      </x:c>
      <x:c r="T37" s="20" t="n">
        <x:v>0.8</x:v>
      </x:c>
      <x:c r="U37" s="14" t="str">
        <x:v>t+3:−30 pop+3, t+6:−20 pop+5</x:v>
      </x:c>
    </x:row>
    <x:row r="38" ht="36" customHeight="1">
      <x:c r="A38" s="12" t="str">
        <x:v>acuerdo_sindical</x:v>
      </x:c>
      <x:c r="B38" s="12" t="str">
        <x:v>Acuerdo Sindical</x:v>
      </x:c>
      <x:c r="C38" s="12" t="str">
        <x:v>diplomacia</x:v>
      </x:c>
      <x:c r="D38" s="14" t="str">
        <x:v>Negociar con sindicatos</x:v>
      </x:c>
      <x:c r="E38" s="16" t="n">
        <x:v>-200</x:v>
      </x:c>
      <x:c r="F38" s="16" t="n">
        <x:v>15</x:v>
      </x:c>
      <x:c r="G38" s="16"/>
      <x:c r="H38" s="16"/>
      <x:c r="I38" s="16"/>
      <x:c r="J38" s="14" t="str">
        <x:v>—</x:v>
      </x:c>
      <x:c r="K38" s="14" t="str">
        <x:v>sindicatos, sectores-populares</x:v>
      </x:c>
      <x:c r="L38" s="14" t="str">
        <x:v>empresarios, clase-alta</x:v>
      </x:c>
      <x:c r="M38" s="12" t="str">
        <x:v>todos (int,gob,pres)</x:v>
      </x:c>
      <x:c r="N38" s="18" t="n">
        <x:v>200</x:v>
      </x:c>
      <x:c r="O38" s="14" t="str"/>
      <x:c r="P38" s="14" t="str">
        <x:v>Paritarias, condiciones laborales (muerto)</x:v>
      </x:c>
      <x:c r="Q38" s="14" t="str">
        <x:v>todos (int,gob,pres) · min$:200 · demand: Paritarias, condiciones laborales (muerto)</x:v>
      </x:c>
      <x:c r="R38" s="18" t="n">
        <x:v>3</x:v>
      </x:c>
      <x:c r="S38" s="12" t="str">
        <x:v>Default calculado</x:v>
      </x:c>
      <x:c r="T38" s="20" t="n">
        <x:v>0.8</x:v>
      </x:c>
      <x:c r="U38" s="14" t="str">
        <x:v>—</x:v>
      </x:c>
    </x:row>
    <x:row r="39" ht="36" customHeight="1">
      <x:c r="A39" s="12" t="str">
        <x:v>alianza_politica</x:v>
      </x:c>
      <x:c r="B39" s="12" t="str">
        <x:v>Alianza Política</x:v>
      </x:c>
      <x:c r="C39" s="12" t="str">
        <x:v>diplomacia</x:v>
      </x:c>
      <x:c r="D39" s="14" t="str">
        <x:v>Formar coaliciones políticas</x:v>
      </x:c>
      <x:c r="E39" s="16" t="n">
        <x:v>-150</x:v>
      </x:c>
      <x:c r="F39" s="16" t="n">
        <x:v>10</x:v>
      </x:c>
      <x:c r="G39" s="16"/>
      <x:c r="H39" s="16"/>
      <x:c r="I39" s="16"/>
      <x:c r="J39" s="14" t="str">
        <x:v>—</x:v>
      </x:c>
      <x:c r="K39" s="14" t="str">
        <x:v>aliados</x:v>
      </x:c>
      <x:c r="L39" s="14" t="str">
        <x:v>opositores</x:v>
      </x:c>
      <x:c r="M39" s="12" t="str">
        <x:v>todos</x:v>
      </x:c>
      <x:c r="N39" s="18" t="n">
        <x:v>150</x:v>
      </x:c>
      <x:c r="O39" s="14" t="str"/>
      <x:c r="P39" s="14" t="str">
        <x:v>Espacios de poder (muerto)</x:v>
      </x:c>
      <x:c r="Q39" s="14" t="str">
        <x:v>todos · min$:150 · demand: Espacios de poder (muerto)</x:v>
      </x:c>
      <x:c r="R39" s="18" t="n">
        <x:v>1</x:v>
      </x:c>
      <x:c r="S39" s="12" t="str">
        <x:v>Default calculado</x:v>
      </x:c>
      <x:c r="T39" s="20" t="n">
        <x:v>0.8</x:v>
      </x:c>
      <x:c r="U39" s="14" t="str">
        <x:v>—</x:v>
      </x:c>
    </x:row>
    <x:row r="40" ht="36" customHeight="1">
      <x:c r="A40" s="12" t="str">
        <x:v>tratado_comercio</x:v>
      </x:c>
      <x:c r="B40" s="12" t="str">
        <x:v>Tratado de Libre Comercio</x:v>
      </x:c>
      <x:c r="C40" s="12" t="str">
        <x:v>diplomacia</x:v>
      </x:c>
      <x:c r="D40" s="14" t="str">
        <x:v>Establecer acuerdos comerciales</x:v>
      </x:c>
      <x:c r="E40" s="16" t="n">
        <x:v>-300</x:v>
      </x:c>
      <x:c r="F40" s="16" t="n">
        <x:v>8</x:v>
      </x:c>
      <x:c r="G40" s="16"/>
      <x:c r="H40" s="16"/>
      <x:c r="I40" s="16"/>
      <x:c r="J40" s="14" t="str">
        <x:v>—</x:v>
      </x:c>
      <x:c r="K40" s="14" t="str">
        <x:v>empresarios, sector-agricola, sector-financiero</x:v>
      </x:c>
      <x:c r="L40" s="14" t="str">
        <x:v>sindicatos</x:v>
      </x:c>
      <x:c r="M40" s="12" t="str">
        <x:v>presidente</x:v>
      </x:c>
      <x:c r="N40" s="18" t="n">
        <x:v>300</x:v>
      </x:c>
      <x:c r="O40" s="14" t="str">
        <x:v>empresarios≥60 (base 40)</x:v>
      </x:c>
      <x:c r="P40" s="14" t="str"/>
      <x:c r="Q40" s="14" t="str">
        <x:v>cargo: presidente · min$:300 · prereq: empresarios≥60 (base 40)</x:v>
      </x:c>
      <x:c r="R40" s="18" t="n">
        <x:v>3</x:v>
      </x:c>
      <x:c r="S40" s="12" t="str">
        <x:v>Default calculado</x:v>
      </x:c>
      <x:c r="T40" s="20" t="n">
        <x:v>0.8</x:v>
      </x:c>
      <x:c r="U40" s="14" t="str">
        <x:v>—</x:v>
      </x:c>
    </x:row>
    <x:row r="41" ht="36" customHeight="1">
      <x:c r="A41" s="12" t="str">
        <x:v>cooperacion_internacional</x:v>
      </x:c>
      <x:c r="B41" s="12" t="str">
        <x:v>Cooperación Internacional</x:v>
      </x:c>
      <x:c r="C41" s="12" t="str">
        <x:v>diplomacia</x:v>
      </x:c>
      <x:c r="D41" s="14" t="str">
        <x:v>Fortalecer lazos internacionales</x:v>
      </x:c>
      <x:c r="E41" s="16" t="n">
        <x:v>-250</x:v>
      </x:c>
      <x:c r="F41" s="16" t="n">
        <x:v>12</x:v>
      </x:c>
      <x:c r="G41" s="16"/>
      <x:c r="H41" s="16"/>
      <x:c r="I41" s="16"/>
      <x:c r="J41" s="14" t="str">
        <x:v>—</x:v>
      </x:c>
      <x:c r="K41" s="14" t="str">
        <x:v>ongs, academicos, aliados</x:v>
      </x:c>
      <x:c r="L41" s="14" t="str">
        <x:v>opositores</x:v>
      </x:c>
      <x:c r="M41" s="12" t="str">
        <x:v>gob,pres</x:v>
      </x:c>
      <x:c r="N41" s="18" t="n">
        <x:v>250</x:v>
      </x:c>
      <x:c r="O41" s="14" t="str"/>
      <x:c r="P41" s="14" t="str"/>
      <x:c r="Q41" s="14" t="str">
        <x:v>cargo: gob,pres · min$:250</x:v>
      </x:c>
      <x:c r="R41" s="18" t="n">
        <x:v>3</x:v>
      </x:c>
      <x:c r="S41" s="12" t="str">
        <x:v>Default calculado</x:v>
      </x:c>
      <x:c r="T41" s="20" t="n">
        <x:v>0.8</x:v>
      </x:c>
      <x:c r="U41" s="14" t="str">
        <x:v>—</x:v>
      </x:c>
    </x:row>
    <x:row r="42" ht="36" customHeight="1">
      <x:c r="A42" s="12" t="str">
        <x:v>acuerdo_ambiental</x:v>
      </x:c>
      <x:c r="B42" s="12" t="str">
        <x:v>Acuerdo Ambiental</x:v>
      </x:c>
      <x:c r="C42" s="12" t="str">
        <x:v>diplomacia</x:v>
      </x:c>
      <x:c r="D42" s="14" t="str">
        <x:v>Compromisos ambientales internacionales</x:v>
      </x:c>
      <x:c r="E42" s="16" t="n">
        <x:v>-200</x:v>
      </x:c>
      <x:c r="F42" s="16" t="n">
        <x:v>15</x:v>
      </x:c>
      <x:c r="G42" s="16"/>
      <x:c r="H42" s="16"/>
      <x:c r="I42" s="16"/>
      <x:c r="J42" s="14" t="str">
        <x:v>—</x:v>
      </x:c>
      <x:c r="K42" s="14" t="str">
        <x:v>ambientalistas, ongs, academicos</x:v>
      </x:c>
      <x:c r="L42" s="14" t="str">
        <x:v>empresarios</x:v>
      </x:c>
      <x:c r="M42" s="12" t="str">
        <x:v>gob,pres</x:v>
      </x:c>
      <x:c r="N42" s="18" t="n">
        <x:v>200</x:v>
      </x:c>
      <x:c r="O42" s="14" t="str"/>
      <x:c r="P42" s="14" t="str">
        <x:v>Políticas ambientales (muerto)</x:v>
      </x:c>
      <x:c r="Q42" s="14" t="str">
        <x:v>cargo: gob,pres · min$:200 · demand: Políticas ambientales (muerto)</x:v>
      </x:c>
      <x:c r="R42" s="18" t="n">
        <x:v>3</x:v>
      </x:c>
      <x:c r="S42" s="12" t="str">
        <x:v>Default calculado</x:v>
      </x:c>
      <x:c r="T42" s="20" t="n">
        <x:v>0.8</x:v>
      </x:c>
      <x:c r="U42" s="14" t="str">
        <x:v>—</x:v>
      </x:c>
    </x:row>
    <x:row r="43" ht="36" customHeight="1">
      <x:c r="A43" s="12" t="str">
        <x:v>participacion_cumbres</x:v>
      </x:c>
      <x:c r="B43" s="12" t="str">
        <x:v>Participación en Cumbres</x:v>
      </x:c>
      <x:c r="C43" s="12" t="str">
        <x:v>diplomacia</x:v>
      </x:c>
      <x:c r="D43" s="14" t="str">
        <x:v>Asistir a reuniones internacionales</x:v>
      </x:c>
      <x:c r="E43" s="16" t="n">
        <x:v>-150</x:v>
      </x:c>
      <x:c r="F43" s="16" t="n">
        <x:v>8</x:v>
      </x:c>
      <x:c r="G43" s="16"/>
      <x:c r="H43" s="16"/>
      <x:c r="I43" s="16"/>
      <x:c r="J43" s="14" t="str">
        <x:v>—</x:v>
      </x:c>
      <x:c r="K43" s="14" t="str">
        <x:v>aliados, ongs</x:v>
      </x:c>
      <x:c r="L43" s="14" t="str">
        <x:v>opositores</x:v>
      </x:c>
      <x:c r="M43" s="12" t="str">
        <x:v>presidente</x:v>
      </x:c>
      <x:c r="N43" s="18" t="n">
        <x:v>150</x:v>
      </x:c>
      <x:c r="O43" s="14" t="str"/>
      <x:c r="P43" s="14" t="str"/>
      <x:c r="Q43" s="14" t="str">
        <x:v>cargo: presidente · min$:150</x:v>
      </x:c>
      <x:c r="R43" s="18" t="n">
        <x:v>1</x:v>
      </x:c>
      <x:c r="S43" s="12" t="str">
        <x:v>Default calculado</x:v>
      </x:c>
      <x:c r="T43" s="20" t="n">
        <x:v>0.8</x:v>
      </x:c>
      <x:c r="U43" s="14" t="str">
        <x:v>—</x:v>
      </x:c>
    </x:row>
    <x:row r="44" ht="36" customHeight="1">
      <x:c r="A44" s="12" t="str">
        <x:v>mediacion_conflictos</x:v>
      </x:c>
      <x:c r="B44" s="12" t="str">
        <x:v>Mediación en Conflictos</x:v>
      </x:c>
      <x:c r="C44" s="12" t="str">
        <x:v>diplomacia</x:v>
      </x:c>
      <x:c r="D44" s="14" t="str">
        <x:v>Resolver disputas regionales</x:v>
      </x:c>
      <x:c r="E44" s="16" t="n">
        <x:v>-200</x:v>
      </x:c>
      <x:c r="F44" s="16" t="n">
        <x:v>10</x:v>
      </x:c>
      <x:c r="G44" s="16"/>
      <x:c r="H44" s="16"/>
      <x:c r="I44" s="16"/>
      <x:c r="J44" s="14" t="str">
        <x:v>—</x:v>
      </x:c>
      <x:c r="K44" s="14" t="str">
        <x:v>ongs, aliados</x:v>
      </x:c>
      <x:c r="L44" s="14" t="str">
        <x:v>opositores</x:v>
      </x:c>
      <x:c r="M44" s="12" t="str">
        <x:v>gob,pres</x:v>
      </x:c>
      <x:c r="N44" s="18" t="n">
        <x:v>200</x:v>
      </x:c>
      <x:c r="O44" s="14" t="str"/>
      <x:c r="P44" s="14" t="str"/>
      <x:c r="Q44" s="14" t="str">
        <x:v>cargo: gob,pres · min$:200</x:v>
      </x:c>
      <x:c r="R44" s="18" t="n">
        <x:v>3</x:v>
      </x:c>
      <x:c r="S44" s="12" t="str">
        <x:v>Default calculado</x:v>
      </x:c>
      <x:c r="T44" s="20" t="n">
        <x:v>0.8</x:v>
      </x:c>
      <x:c r="U44" s="14" t="str">
        <x:v>—</x:v>
      </x:c>
    </x:row>
    <x:row r="45" ht="36" customHeight="1">
      <x:c r="A45" s="12" t="str">
        <x:v>seguridad_ciudadana</x:v>
      </x:c>
      <x:c r="B45" s="12" t="str">
        <x:v>Seguridad Ciudadana</x:v>
      </x:c>
      <x:c r="C45" s="12" t="str">
        <x:v>seguridad</x:v>
      </x:c>
      <x:c r="D45" s="14" t="str">
        <x:v>Mejorar la seguridad pública</x:v>
      </x:c>
      <x:c r="E45" s="16" t="n">
        <x:v>-400</x:v>
      </x:c>
      <x:c r="F45" s="16" t="n">
        <x:v>20</x:v>
      </x:c>
      <x:c r="G45" s="16" t="n">
        <x:v>10</x:v>
      </x:c>
      <x:c r="H45" s="16" t="n">
        <x:v>5</x:v>
      </x:c>
      <x:c r="I45" s="16" t="n">
        <x:v>3</x:v>
      </x:c>
      <x:c r="J45" s="14" t="str">
        <x:v>clase-media +14</x:v>
      </x:c>
      <x:c r="K45" s="14" t="str">
        <x:v>clase-media, clase-alta, empresarios</x:v>
      </x:c>
      <x:c r="L45" s="14" t="str">
        <x:v>—</x:v>
      </x:c>
      <x:c r="M45" s="12" t="str">
        <x:v>todos</x:v>
      </x:c>
      <x:c r="N45" s="18" t="n">
        <x:v>400</x:v>
      </x:c>
      <x:c r="O45" s="14" t="str"/>
      <x:c r="P45" s="14" t="str">
        <x:v>seguridad (muerto)</x:v>
      </x:c>
      <x:c r="Q45" s="14" t="str">
        <x:v>todos · min$:400 · demand: seguridad (muerto)</x:v>
      </x:c>
      <x:c r="R45" s="18" t="n">
        <x:v>3</x:v>
      </x:c>
      <x:c r="S45" s="12" t="str">
        <x:v>Explícito</x:v>
      </x:c>
      <x:c r="T45" s="20" t="n">
        <x:v>0.85</x:v>
      </x:c>
      <x:c r="U45" s="14" t="str">
        <x:v>t+3:−80 pop−2</x:v>
      </x:c>
    </x:row>
    <x:row r="46" ht="36" customHeight="1">
      <x:c r="A46" s="12" t="str">
        <x:v>lucha_narcotrafico</x:v>
      </x:c>
      <x:c r="B46" s="12" t="str">
        <x:v>Lucha contra el Narcotráfico</x:v>
      </x:c>
      <x:c r="C46" s="12" t="str">
        <x:v>seguridad</x:v>
      </x:c>
      <x:c r="D46" s="14" t="str">
        <x:v>Combatir el tráfico de drogas</x:v>
      </x:c>
      <x:c r="E46" s="16" t="n">
        <x:v>-500</x:v>
      </x:c>
      <x:c r="F46" s="16" t="n">
        <x:v>15</x:v>
      </x:c>
      <x:c r="G46" s="16"/>
      <x:c r="H46" s="16"/>
      <x:c r="I46" s="16"/>
      <x:c r="J46" s="14" t="str">
        <x:v>—</x:v>
      </x:c>
      <x:c r="K46" s="14" t="str">
        <x:v>clase-media, ongs, aliados</x:v>
      </x:c>
      <x:c r="L46" s="14" t="str">
        <x:v>sectores-populares</x:v>
      </x:c>
      <x:c r="M46" s="12" t="str">
        <x:v>gob,pres</x:v>
      </x:c>
      <x:c r="N46" s="18" t="n">
        <x:v>500</x:v>
      </x:c>
      <x:c r="O46" s="14" t="str">
        <x:v>fortalecimiento_justicia</x:v>
      </x:c>
      <x:c r="P46" s="14" t="str">
        <x:v>seguridad (muerto)</x:v>
      </x:c>
      <x:c r="Q46" s="14" t="str">
        <x:v>cargo: gob,pres · min$:500 · prereq: fortalecimiento_justicia · demand: seguridad (muerto)</x:v>
      </x:c>
      <x:c r="R46" s="18" t="n">
        <x:v>3</x:v>
      </x:c>
      <x:c r="S46" s="12" t="str">
        <x:v>Default calculado</x:v>
      </x:c>
      <x:c r="T46" s="20" t="n">
        <x:v>0.8</x:v>
      </x:c>
      <x:c r="U46" s="14" t="str">
        <x:v>—</x:v>
      </x:c>
    </x:row>
    <x:row r="47" ht="36" customHeight="1">
      <x:c r="A47" s="12" t="str">
        <x:v>programa_desarme</x:v>
      </x:c>
      <x:c r="B47" s="12" t="str">
        <x:v>Programa de Desarme</x:v>
      </x:c>
      <x:c r="C47" s="12" t="str">
        <x:v>seguridad</x:v>
      </x:c>
      <x:c r="D47" s="14" t="str">
        <x:v>Reducir armas ilegales</x:v>
      </x:c>
      <x:c r="E47" s="16" t="n">
        <x:v>-300</x:v>
      </x:c>
      <x:c r="F47" s="16" t="n">
        <x:v>12</x:v>
      </x:c>
      <x:c r="G47" s="16"/>
      <x:c r="H47" s="16"/>
      <x:c r="I47" s="16"/>
      <x:c r="J47" s="14" t="str">
        <x:v>—</x:v>
      </x:c>
      <x:c r="K47" s="14" t="str">
        <x:v>ongs, clase-media, estudiantiles</x:v>
      </x:c>
      <x:c r="L47" s="14" t="str">
        <x:v>—</x:v>
      </x:c>
      <x:c r="M47" s="12" t="str">
        <x:v>todos</x:v>
      </x:c>
      <x:c r="N47" s="18" t="n">
        <x:v>300</x:v>
      </x:c>
      <x:c r="O47" s="14" t="str"/>
      <x:c r="P47" s="14" t="str">
        <x:v>seguridad (muerto)</x:v>
      </x:c>
      <x:c r="Q47" s="14" t="str">
        <x:v>todos · min$:300 · demand: seguridad (muerto)</x:v>
      </x:c>
      <x:c r="R47" s="18" t="n">
        <x:v>3</x:v>
      </x:c>
      <x:c r="S47" s="12" t="str">
        <x:v>Default calculado</x:v>
      </x:c>
      <x:c r="T47" s="20" t="n">
        <x:v>0.8</x:v>
      </x:c>
      <x:c r="U47" s="14" t="str">
        <x:v>—</x:v>
      </x:c>
    </x:row>
    <x:row r="48" ht="36" customHeight="1">
      <x:c r="A48" s="12" t="str">
        <x:v>fortalecimiento_justicia</x:v>
      </x:c>
      <x:c r="B48" s="12" t="str">
        <x:v>Fortalecimiento de la Justicia</x:v>
      </x:c>
      <x:c r="C48" s="12" t="str">
        <x:v>seguridad</x:v>
      </x:c>
      <x:c r="D48" s="14" t="str">
        <x:v>Mejorar el sistema judicial</x:v>
      </x:c>
      <x:c r="E48" s="16" t="n">
        <x:v>-400</x:v>
      </x:c>
      <x:c r="F48" s="16" t="n">
        <x:v>10</x:v>
      </x:c>
      <x:c r="G48" s="16"/>
      <x:c r="H48" s="16"/>
      <x:c r="I48" s="16"/>
      <x:c r="J48" s="14" t="str">
        <x:v>—</x:v>
      </x:c>
      <x:c r="K48" s="14" t="str">
        <x:v>ongs, clase-media, aliados</x:v>
      </x:c>
      <x:c r="L48" s="14" t="str">
        <x:v>opositores</x:v>
      </x:c>
      <x:c r="M48" s="12" t="str">
        <x:v>gob,pres</x:v>
      </x:c>
      <x:c r="N48" s="18" t="n">
        <x:v>400</x:v>
      </x:c>
      <x:c r="O48" s="14" t="str"/>
      <x:c r="P48" s="14" t="str">
        <x:v>Transparencia, rendición de cuentas (muerto)</x:v>
      </x:c>
      <x:c r="Q48" s="14" t="str">
        <x:v>cargo: gob,pres · min$:400 · demand: Transparencia, rendición de cuentas (muerto)</x:v>
      </x:c>
      <x:c r="R48" s="18" t="n">
        <x:v>3</x:v>
      </x:c>
      <x:c r="S48" s="12" t="str">
        <x:v>Default calculado</x:v>
      </x:c>
      <x:c r="T48" s="20" t="n">
        <x:v>0.8</x:v>
      </x:c>
      <x:c r="U48" s="14" t="str">
        <x:v>—</x:v>
      </x:c>
    </x:row>
    <x:row r="49" ht="36" customHeight="1">
      <x:c r="A49" s="12" t="str">
        <x:v>sistema_vigilancia</x:v>
      </x:c>
      <x:c r="B49" s="12" t="str">
        <x:v>Sistema de Vigilancia</x:v>
      </x:c>
      <x:c r="C49" s="12" t="str">
        <x:v>seguridad</x:v>
      </x:c>
      <x:c r="D49" s="14" t="str">
        <x:v>Implementar cámaras de seguridad</x:v>
      </x:c>
      <x:c r="E49" s="16" t="n">
        <x:v>-350</x:v>
      </x:c>
      <x:c r="F49" s="16" t="n">
        <x:v>15</x:v>
      </x:c>
      <x:c r="G49" s="16"/>
      <x:c r="H49" s="16"/>
      <x:c r="I49" s="16"/>
      <x:c r="J49" s="14" t="str">
        <x:v>clase-media +10.5</x:v>
      </x:c>
      <x:c r="K49" s="14" t="str">
        <x:v>clase-media, empresarios</x:v>
      </x:c>
      <x:c r="L49" s="14" t="str">
        <x:v>ongs</x:v>
      </x:c>
      <x:c r="M49" s="12" t="str">
        <x:v>gob,pres</x:v>
      </x:c>
      <x:c r="N49" s="18" t="n">
        <x:v>350</x:v>
      </x:c>
      <x:c r="O49" s="14" t="str"/>
      <x:c r="P49" s="14" t="str">
        <x:v>seguridad (muerto)</x:v>
      </x:c>
      <x:c r="Q49" s="14" t="str">
        <x:v>cargo: gob,pres · min$:350 · demand: seguridad (muerto)</x:v>
      </x:c>
      <x:c r="R49" s="18" t="n">
        <x:v>3</x:v>
      </x:c>
      <x:c r="S49" s="12" t="str">
        <x:v>Default calculado</x:v>
      </x:c>
      <x:c r="T49" s="20" t="n">
        <x:v>0.8</x:v>
      </x:c>
      <x:c r="U49" s="14" t="str">
        <x:v>—</x:v>
      </x:c>
    </x:row>
    <x:row r="50" ht="36" customHeight="1">
      <x:c r="A50" s="12" t="str">
        <x:v>policia_proximidad</x:v>
      </x:c>
      <x:c r="B50" s="12" t="str">
        <x:v>Policía de Proximidad</x:v>
      </x:c>
      <x:c r="C50" s="12" t="str">
        <x:v>seguridad</x:v>
      </x:c>
      <x:c r="D50" s="14" t="str">
        <x:v>Acercar la policía a la comunidad</x:v>
      </x:c>
      <x:c r="E50" s="16" t="n">
        <x:v>-300</x:v>
      </x:c>
      <x:c r="F50" s="16" t="n">
        <x:v>18</x:v>
      </x:c>
      <x:c r="G50" s="16"/>
      <x:c r="H50" s="16"/>
      <x:c r="I50" s="16"/>
      <x:c r="J50" s="14" t="str">
        <x:v>—</x:v>
      </x:c>
      <x:c r="K50" s="14" t="str">
        <x:v>sectores-populares, clase-media, ongs</x:v>
      </x:c>
      <x:c r="L50" s="14" t="str">
        <x:v>—</x:v>
      </x:c>
      <x:c r="M50" s="12" t="str">
        <x:v>todos</x:v>
      </x:c>
      <x:c r="N50" s="18" t="n">
        <x:v>300</x:v>
      </x:c>
      <x:c r="O50" s="14" t="str"/>
      <x:c r="P50" s="14" t="str">
        <x:v>seguridad (muerto)</x:v>
      </x:c>
      <x:c r="Q50" s="14" t="str">
        <x:v>todos · min$:300 · demand: seguridad (muerto)</x:v>
      </x:c>
      <x:c r="R50" s="18" t="n">
        <x:v>3</x:v>
      </x:c>
      <x:c r="S50" s="12" t="str">
        <x:v>Default calculado</x:v>
      </x:c>
      <x:c r="T50" s="20" t="n">
        <x:v>0.8</x:v>
      </x:c>
      <x:c r="U50" s="14" t="str">
        <x:v>—</x:v>
      </x:c>
    </x:row>
    <x:row r="51" ht="36" customHeight="1">
      <x:c r="A51" s="12" t="str">
        <x:v>prevencion_delito</x:v>
      </x:c>
      <x:c r="B51" s="12" t="str">
        <x:v>Prevención del Delito</x:v>
      </x:c>
      <x:c r="C51" s="12" t="str">
        <x:v>seguridad</x:v>
      </x:c>
      <x:c r="D51" s="14" t="str">
        <x:v>Programas de prevención</x:v>
      </x:c>
      <x:c r="E51" s="16" t="n">
        <x:v>-250</x:v>
      </x:c>
      <x:c r="F51" s="16" t="n">
        <x:v>15</x:v>
      </x:c>
      <x:c r="G51" s="16"/>
      <x:c r="H51" s="16"/>
      <x:c r="I51" s="16"/>
      <x:c r="J51" s="14" t="str">
        <x:v>—</x:v>
      </x:c>
      <x:c r="K51" s="14" t="str">
        <x:v>estudiantiles, clase-media, ongs, sectores-populares</x:v>
      </x:c>
      <x:c r="L51" s="14" t="str">
        <x:v>—</x:v>
      </x:c>
      <x:c r="M51" s="12" t="str">
        <x:v>todos</x:v>
      </x:c>
      <x:c r="N51" s="18" t="n">
        <x:v>250</x:v>
      </x:c>
      <x:c r="O51" s="14" t="str"/>
      <x:c r="P51" s="14" t="str">
        <x:v>seguridad (muerto)</x:v>
      </x:c>
      <x:c r="Q51" s="14" t="str">
        <x:v>todos · min$:250 · demand: seguridad (muerto)</x:v>
      </x:c>
      <x:c r="R51" s="18" t="n">
        <x:v>3</x:v>
      </x:c>
      <x:c r="S51" s="12" t="str">
        <x:v>Default calculado</x:v>
      </x:c>
      <x:c r="T51" s="20" t="n">
        <x:v>0.8</x:v>
      </x:c>
      <x:c r="U51" s="14" t="str">
        <x:v>—</x:v>
      </x:c>
    </x:row>
    <x:row r="52" ht="36" customHeight="1">
      <x:c r="A52" s="12" t="str">
        <x:v>programa_cultural</x:v>
      </x:c>
      <x:c r="B52" s="12" t="str">
        <x:v>Programa Cultural</x:v>
      </x:c>
      <x:c r="C52" s="12" t="str">
        <x:v>cultura</x:v>
      </x:c>
      <x:c r="D52" s="14" t="str">
        <x:v>Fomentar actividades culturales</x:v>
      </x:c>
      <x:c r="E52" s="16" t="n">
        <x:v>-200</x:v>
      </x:c>
      <x:c r="F52" s="16" t="n">
        <x:v>12</x:v>
      </x:c>
      <x:c r="G52" s="16"/>
      <x:c r="H52" s="16"/>
      <x:c r="I52" s="16"/>
      <x:c r="J52" s="14" t="str">
        <x:v>—</x:v>
      </x:c>
      <x:c r="K52" s="14" t="str">
        <x:v>artistas, academicos, estudiantiles</x:v>
      </x:c>
      <x:c r="L52" s="14" t="str">
        <x:v>—</x:v>
      </x:c>
      <x:c r="M52" s="12" t="str">
        <x:v>todos</x:v>
      </x:c>
      <x:c r="N52" s="18" t="n">
        <x:v>200</x:v>
      </x:c>
      <x:c r="O52" s="14" t="str"/>
      <x:c r="P52" s="14" t="str">
        <x:v>Financiamiento cultural (muerto)</x:v>
      </x:c>
      <x:c r="Q52" s="14" t="str">
        <x:v>todos · min$:200 · demand: Financiamiento cultural (muerto)</x:v>
      </x:c>
      <x:c r="R52" s="18" t="n">
        <x:v>3</x:v>
      </x:c>
      <x:c r="S52" s="12" t="str">
        <x:v>Default calculado</x:v>
      </x:c>
      <x:c r="T52" s="20" t="n">
        <x:v>0.8</x:v>
      </x:c>
      <x:c r="U52" s="14" t="str">
        <x:v>—</x:v>
      </x:c>
    </x:row>
    <x:row r="53" ht="36" customHeight="1">
      <x:c r="A53" s="12" t="str">
        <x:v>festival_arte</x:v>
      </x:c>
      <x:c r="B53" s="12" t="str">
        <x:v>Festival Nacional de Arte</x:v>
      </x:c>
      <x:c r="C53" s="12" t="str">
        <x:v>cultura</x:v>
      </x:c>
      <x:c r="D53" s="14" t="str">
        <x:v>Organizar festival artístico</x:v>
      </x:c>
      <x:c r="E53" s="16" t="n">
        <x:v>-300</x:v>
      </x:c>
      <x:c r="F53" s="16" t="n">
        <x:v>15</x:v>
      </x:c>
      <x:c r="G53" s="16"/>
      <x:c r="H53" s="16"/>
      <x:c r="I53" s="16"/>
      <x:c r="J53" s="14" t="str">
        <x:v>—</x:v>
      </x:c>
      <x:c r="K53" s="14" t="str">
        <x:v>artistas, estudiantiles, clase-media</x:v>
      </x:c>
      <x:c r="L53" s="14" t="str">
        <x:v>—</x:v>
      </x:c>
      <x:c r="M53" s="12" t="str">
        <x:v>todos</x:v>
      </x:c>
      <x:c r="N53" s="18" t="n">
        <x:v>300</x:v>
      </x:c>
      <x:c r="O53" s="14" t="str"/>
      <x:c r="P53" s="14" t="str">
        <x:v>Financiamiento cultural (muerto)</x:v>
      </x:c>
      <x:c r="Q53" s="14" t="str">
        <x:v>todos · min$:300 · demand: Financiamiento cultural (muerto)</x:v>
      </x:c>
      <x:c r="R53" s="18" t="n">
        <x:v>3</x:v>
      </x:c>
      <x:c r="S53" s="12" t="str">
        <x:v>Default calculado</x:v>
      </x:c>
      <x:c r="T53" s="20" t="n">
        <x:v>0.8</x:v>
      </x:c>
      <x:c r="U53" s="14" t="str">
        <x:v>—</x:v>
      </x:c>
    </x:row>
    <x:row r="54" ht="36" customHeight="1">
      <x:c r="A54" s="12" t="str">
        <x:v>patrimonio_historico</x:v>
      </x:c>
      <x:c r="B54" s="12" t="str">
        <x:v>Protección del Patrimonio</x:v>
      </x:c>
      <x:c r="C54" s="12" t="str">
        <x:v>cultura</x:v>
      </x:c>
      <x:c r="D54" s="14" t="str">
        <x:v>Preservar sitios históricos</x:v>
      </x:c>
      <x:c r="E54" s="16" t="n">
        <x:v>-250</x:v>
      </x:c>
      <x:c r="F54" s="16" t="n">
        <x:v>10</x:v>
      </x:c>
      <x:c r="G54" s="16"/>
      <x:c r="H54" s="16"/>
      <x:c r="I54" s="16"/>
      <x:c r="J54" s="14" t="str">
        <x:v>—</x:v>
      </x:c>
      <x:c r="K54" s="14" t="str">
        <x:v>artistas, academicos, ongs, minorias-etnicas</x:v>
      </x:c>
      <x:c r="L54" s="14" t="str">
        <x:v>empresarios</x:v>
      </x:c>
      <x:c r="M54" s="12" t="str">
        <x:v>todos</x:v>
      </x:c>
      <x:c r="N54" s="18" t="n">
        <x:v>250</x:v>
      </x:c>
      <x:c r="O54" s="14" t="str"/>
      <x:c r="P54" s="14" t="str">
        <x:v>Financiamiento cultural, infraestructura (muerto)</x:v>
      </x:c>
      <x:c r="Q54" s="14" t="str">
        <x:v>todos · min$:250 · demand: Financiamiento cultural, infraestructura (muerto)</x:v>
      </x:c>
      <x:c r="R54" s="18" t="n">
        <x:v>3</x:v>
      </x:c>
      <x:c r="S54" s="12" t="str">
        <x:v>Default calculado</x:v>
      </x:c>
      <x:c r="T54" s="20" t="n">
        <x:v>0.8</x:v>
      </x:c>
      <x:c r="U54" s="14" t="str">
        <x:v>—</x:v>
      </x:c>
    </x:row>
    <x:row r="55" ht="36" customHeight="1">
      <x:c r="A55" s="12" t="str">
        <x:v>red_bibliotecas</x:v>
      </x:c>
      <x:c r="B55" s="12" t="str">
        <x:v>Red de Bibliotecas</x:v>
      </x:c>
      <x:c r="C55" s="12" t="str">
        <x:v>cultura</x:v>
      </x:c>
      <x:c r="D55" s="14" t="str">
        <x:v>Expandir bibliotecas públicas</x:v>
      </x:c>
      <x:c r="E55" s="16" t="n">
        <x:v>-200</x:v>
      </x:c>
      <x:c r="F55" s="16" t="n">
        <x:v>12</x:v>
      </x:c>
      <x:c r="G55" s="16"/>
      <x:c r="H55" s="16"/>
      <x:c r="I55" s="16"/>
      <x:c r="J55" s="14" t="str">
        <x:v>—</x:v>
      </x:c>
      <x:c r="K55" s="14" t="str">
        <x:v>estudiantiles, academicos, clase-media</x:v>
      </x:c>
      <x:c r="L55" s="14" t="str">
        <x:v>—</x:v>
      </x:c>
      <x:c r="M55" s="12" t="str">
        <x:v>todos</x:v>
      </x:c>
      <x:c r="N55" s="18" t="n">
        <x:v>200</x:v>
      </x:c>
      <x:c r="O55" s="14" t="str"/>
      <x:c r="P55" s="14" t="str">
        <x:v>infraestructura (muerto)</x:v>
      </x:c>
      <x:c r="Q55" s="14" t="str">
        <x:v>todos · min$:200 · demand: infraestructura (muerto)</x:v>
      </x:c>
      <x:c r="R55" s="18" t="n">
        <x:v>3</x:v>
      </x:c>
      <x:c r="S55" s="12" t="str">
        <x:v>Default calculado</x:v>
      </x:c>
      <x:c r="T55" s="20" t="n">
        <x:v>0.8</x:v>
      </x:c>
      <x:c r="U55" s="14" t="str">
        <x:v>—</x:v>
      </x:c>
    </x:row>
    <x:row r="56" ht="36" customHeight="1">
      <x:c r="A56" s="12" t="str">
        <x:v>centros_culturales</x:v>
      </x:c>
      <x:c r="B56" s="12" t="str">
        <x:v>Centros Culturales</x:v>
      </x:c>
      <x:c r="C56" s="12" t="str">
        <x:v>cultura</x:v>
      </x:c>
      <x:c r="D56" s="14" t="str">
        <x:v>Crear espacios culturales</x:v>
      </x:c>
      <x:c r="E56" s="16" t="n">
        <x:v>-350</x:v>
      </x:c>
      <x:c r="F56" s="16" t="n">
        <x:v>15</x:v>
      </x:c>
      <x:c r="G56" s="16"/>
      <x:c r="H56" s="16"/>
      <x:c r="I56" s="16"/>
      <x:c r="J56" s="14" t="str">
        <x:v>—</x:v>
      </x:c>
      <x:c r="K56" s="14" t="str">
        <x:v>artistas, estudiantiles, cooperativas, sectores-populares</x:v>
      </x:c>
      <x:c r="L56" s="14" t="str">
        <x:v>—</x:v>
      </x:c>
      <x:c r="M56" s="12" t="str">
        <x:v>todos</x:v>
      </x:c>
      <x:c r="N56" s="18" t="n">
        <x:v>350</x:v>
      </x:c>
      <x:c r="O56" s="14" t="str"/>
      <x:c r="P56" s="14" t="str">
        <x:v>Financiamiento cultural, infraestructura (muerto)</x:v>
      </x:c>
      <x:c r="Q56" s="14" t="str">
        <x:v>todos · min$:350 · demand: Financiamiento cultural, infraestructura (muerto)</x:v>
      </x:c>
      <x:c r="R56" s="18" t="n">
        <x:v>3</x:v>
      </x:c>
      <x:c r="S56" s="12" t="str">
        <x:v>Default calculado</x:v>
      </x:c>
      <x:c r="T56" s="20" t="n">
        <x:v>0.8</x:v>
      </x:c>
      <x:c r="U56" s="14" t="str">
        <x:v>—</x:v>
      </x:c>
    </x:row>
    <x:row r="57" ht="36" customHeight="1">
      <x:c r="A57" s="12" t="str">
        <x:v>escuelas_arte</x:v>
      </x:c>
      <x:c r="B57" s="12" t="str">
        <x:v>Escuelas de Arte</x:v>
      </x:c>
      <x:c r="C57" s="12" t="str">
        <x:v>cultura</x:v>
      </x:c>
      <x:c r="D57" s="14" t="str">
        <x:v>Formar artistas locales</x:v>
      </x:c>
      <x:c r="E57" s="16" t="n">
        <x:v>-250</x:v>
      </x:c>
      <x:c r="F57" s="16" t="n">
        <x:v>12</x:v>
      </x:c>
      <x:c r="G57" s="16"/>
      <x:c r="H57" s="16"/>
      <x:c r="I57" s="16"/>
      <x:c r="J57" s="14" t="str">
        <x:v>—</x:v>
      </x:c>
      <x:c r="K57" s="14" t="str">
        <x:v>artistas, estudiantiles, academicos</x:v>
      </x:c>
      <x:c r="L57" s="14" t="str">
        <x:v>—</x:v>
      </x:c>
      <x:c r="M57" s="12" t="str">
        <x:v>todos</x:v>
      </x:c>
      <x:c r="N57" s="18" t="n">
        <x:v>250</x:v>
      </x:c>
      <x:c r="O57" s="14" t="str"/>
      <x:c r="P57" s="14" t="str">
        <x:v>Financiamiento cultural (muerto)</x:v>
      </x:c>
      <x:c r="Q57" s="14" t="str">
        <x:v>todos · min$:250 · demand: Financiamiento cultural (muerto)</x:v>
      </x:c>
      <x:c r="R57" s="18" t="n">
        <x:v>3</x:v>
      </x:c>
      <x:c r="S57" s="12" t="str">
        <x:v>Default calculado</x:v>
      </x:c>
      <x:c r="T57" s="20" t="n">
        <x:v>0.8</x:v>
      </x:c>
      <x:c r="U57" s="14" t="str">
        <x:v>—</x:v>
      </x:c>
    </x:row>
    <x:row r="58" ht="36" customHeight="1">
      <x:c r="A58" s="12" t="str">
        <x:v>museos_interactivos</x:v>
      </x:c>
      <x:c r="B58" s="12" t="str">
        <x:v>Museos Interactivos</x:v>
      </x:c>
      <x:c r="C58" s="12" t="str">
        <x:v>cultura</x:v>
      </x:c>
      <x:c r="D58" s="14" t="str">
        <x:v>Crear museos modernos</x:v>
      </x:c>
      <x:c r="E58" s="16" t="n">
        <x:v>-400</x:v>
      </x:c>
      <x:c r="F58" s="16" t="n">
        <x:v>15</x:v>
      </x:c>
      <x:c r="G58" s="16"/>
      <x:c r="H58" s="16"/>
      <x:c r="I58" s="16"/>
      <x:c r="J58" s="14" t="str">
        <x:v>—</x:v>
      </x:c>
      <x:c r="K58" s="14" t="str">
        <x:v>artistas, academicos, estudiantiles, clase-media</x:v>
      </x:c>
      <x:c r="L58" s="14" t="str">
        <x:v>—</x:v>
      </x:c>
      <x:c r="M58" s="12" t="str">
        <x:v>todos</x:v>
      </x:c>
      <x:c r="N58" s="18" t="n">
        <x:v>400</x:v>
      </x:c>
      <x:c r="O58" s="14" t="str"/>
      <x:c r="P58" s="14" t="str">
        <x:v>Financiamiento cultural, infraestructura (muerto)</x:v>
      </x:c>
      <x:c r="Q58" s="14" t="str">
        <x:v>todos · min$:400 · demand: Financiamiento cultural, infraestructura (muerto)</x:v>
      </x:c>
      <x:c r="R58" s="18" t="n">
        <x:v>3</x:v>
      </x:c>
      <x:c r="S58" s="12" t="str">
        <x:v>Default calculado</x:v>
      </x:c>
      <x:c r="T58" s="20" t="n">
        <x:v>0.8</x:v>
      </x:c>
      <x:c r="U58" s="14" t="str">
        <x:v>—</x:v>
      </x:c>
    </x:row>
    <x:row r="59" ht="36" customHeight="1">
      <x:c r="A59" s="12" t="str">
        <x:v>festivales_regionales</x:v>
      </x:c>
      <x:c r="B59" s="12" t="str">
        <x:v>Festivales Regionales</x:v>
      </x:c>
      <x:c r="C59" s="12" t="str">
        <x:v>cultura</x:v>
      </x:c>
      <x:c r="D59" s="14" t="str">
        <x:v>Promover cultura regional</x:v>
      </x:c>
      <x:c r="E59" s="16" t="n">
        <x:v>-300</x:v>
      </x:c>
      <x:c r="F59" s="16" t="n">
        <x:v>18</x:v>
      </x:c>
      <x:c r="G59" s="16"/>
      <x:c r="H59" s="16"/>
      <x:c r="I59" s="16"/>
      <x:c r="J59" s="14" t="str">
        <x:v>—</x:v>
      </x:c>
      <x:c r="K59" s="14" t="str">
        <x:v>artistas, sectores-populares, minorias-etnicas</x:v>
      </x:c>
      <x:c r="L59" s="14" t="str">
        <x:v>—</x:v>
      </x:c>
      <x:c r="M59" s="12" t="str">
        <x:v>todos</x:v>
      </x:c>
      <x:c r="N59" s="18" t="n">
        <x:v>300</x:v>
      </x:c>
      <x:c r="O59" s="14" t="str"/>
      <x:c r="P59" s="14" t="str">
        <x:v>Financiamiento cultural (muerto)</x:v>
      </x:c>
      <x:c r="Q59" s="14" t="str">
        <x:v>todos · min$:300 · demand: Financiamiento cultural (muerto)</x:v>
      </x:c>
      <x:c r="R59" s="18" t="n">
        <x:v>3</x:v>
      </x:c>
      <x:c r="S59" s="12" t="str">
        <x:v>Default calculado</x:v>
      </x:c>
      <x:c r="T59" s="20" t="n">
        <x:v>0.8</x:v>
      </x:c>
      <x:c r="U59" s="14" t="str">
        <x:v>—</x:v>
      </x:c>
    </x:row>
    <x:row r="60" ht="36" customHeight="1">
      <x:c r="A60" s="12" t="str">
        <x:v>promover_educacion</x:v>
      </x:c>
      <x:c r="B60" s="12" t="str">
        <x:v>Promover Educación</x:v>
      </x:c>
      <x:c r="C60" s="12" t="str">
        <x:v>educacion</x:v>
      </x:c>
      <x:c r="D60" s="14" t="str">
        <x:v>Mejorar la calidad educativa a través de reformas</x:v>
      </x:c>
      <x:c r="E60" s="16" t="n">
        <x:v>-100</x:v>
      </x:c>
      <x:c r="F60" s="16" t="n">
        <x:v>10</x:v>
      </x:c>
      <x:c r="G60" s="16"/>
      <x:c r="H60" s="16"/>
      <x:c r="I60" s="16"/>
      <x:c r="J60" s="14" t="str">
        <x:v>—</x:v>
      </x:c>
      <x:c r="K60" s="14" t="str">
        <x:v>estudiantiles, academicos, clase-media</x:v>
      </x:c>
      <x:c r="L60" s="14" t="str">
        <x:v>—</x:v>
      </x:c>
      <x:c r="M60" s="12" t="str">
        <x:v>todos</x:v>
      </x:c>
      <x:c r="N60" s="18" t="n">
        <x:v>100</x:v>
      </x:c>
      <x:c r="O60" s="14" t="str"/>
      <x:c r="P60" s="14" t="str">
        <x:v>Presupuesto educativo (muerto)</x:v>
      </x:c>
      <x:c r="Q60" s="14" t="str">
        <x:v>todos · min$:100 · demand: Presupuesto educativo (muerto)</x:v>
      </x:c>
      <x:c r="R60" s="18" t="n">
        <x:v>1</x:v>
      </x:c>
      <x:c r="S60" s="12" t="str">
        <x:v>Default calculado</x:v>
      </x:c>
      <x:c r="T60" s="20" t="n">
        <x:v>0.8</x:v>
      </x:c>
      <x:c r="U60" s="14" t="str">
        <x:v>—</x:v>
      </x:c>
    </x:row>
    <x:row r="61" ht="36" customHeight="1">
      <x:c r="A61" s="12" t="str">
        <x:v>fomentar_turismo</x:v>
      </x:c>
      <x:c r="B61" s="12" t="str">
        <x:v>Fomentar Turismo</x:v>
      </x:c>
      <x:c r="C61" s="12" t="str">
        <x:v>turismo</x:v>
      </x:c>
      <x:c r="D61" s="14" t="str">
        <x:v>Aumentar el turismo local mediante campañas</x:v>
      </x:c>
      <x:c r="E61" s="16" t="n">
        <x:v>-50</x:v>
      </x:c>
      <x:c r="F61" s="16" t="n">
        <x:v>8</x:v>
      </x:c>
      <x:c r="G61" s="16"/>
      <x:c r="H61" s="16"/>
      <x:c r="I61" s="16"/>
      <x:c r="J61" s="14" t="str">
        <x:v>—</x:v>
      </x:c>
      <x:c r="K61" s="14" t="str">
        <x:v>empresarios, artistas, clase-media</x:v>
      </x:c>
      <x:c r="L61" s="14" t="str">
        <x:v>—</x:v>
      </x:c>
      <x:c r="M61" s="12" t="str">
        <x:v>todos</x:v>
      </x:c>
      <x:c r="N61" s="18" t="n">
        <x:v>50</x:v>
      </x:c>
      <x:c r="O61" s="14" t="str"/>
      <x:c r="P61" s="14" t="str"/>
      <x:c r="Q61" s="14" t="str">
        <x:v>todos · min$:50</x:v>
      </x:c>
      <x:c r="R61" s="18" t="n">
        <x:v>1</x:v>
      </x:c>
      <x:c r="S61" s="12" t="str">
        <x:v>Default calculado</x:v>
      </x:c>
      <x:c r="T61" s="20" t="n">
        <x:v>0.8</x:v>
      </x:c>
      <x:c r="U61" s="14" t="str">
        <x:v>—</x:v>
      </x:c>
    </x:row>
    <x:row r="62" ht="36" customHeight="1">
      <x:c r="A62" s="12" t="str">
        <x:v>desarrollar_tecnologia</x:v>
      </x:c>
      <x:c r="B62" s="12" t="str">
        <x:v>Desarrollar Tecnología</x:v>
      </x:c>
      <x:c r="C62" s="12" t="str">
        <x:v>tecnologia</x:v>
      </x:c>
      <x:c r="D62" s="14" t="str">
        <x:v>Fomentar la innovación tecnológica en la región</x:v>
      </x:c>
      <x:c r="E62" s="16" t="n">
        <x:v>-200</x:v>
      </x:c>
      <x:c r="F62" s="16" t="n">
        <x:v>12</x:v>
      </x:c>
      <x:c r="G62" s="16"/>
      <x:c r="H62" s="16"/>
      <x:c r="I62" s="16"/>
      <x:c r="J62" s="14" t="str">
        <x:v>—</x:v>
      </x:c>
      <x:c r="K62" s="14" t="str">
        <x:v>empresarios, academicos, estudiantiles</x:v>
      </x:c>
      <x:c r="L62" s="14" t="str">
        <x:v>—</x:v>
      </x:c>
      <x:c r="M62" s="12" t="str">
        <x:v>todos</x:v>
      </x:c>
      <x:c r="N62" s="18" t="n">
        <x:v>200</x:v>
      </x:c>
      <x:c r="O62" s="14" t="str"/>
      <x:c r="P62" s="14" t="str">
        <x:v>Presupuesto científico (muerto)</x:v>
      </x:c>
      <x:c r="Q62" s="14" t="str">
        <x:v>todos · min$:200 · demand: Presupuesto científico (muerto)</x:v>
      </x:c>
      <x:c r="R62" s="18" t="n">
        <x:v>3</x:v>
      </x:c>
      <x:c r="S62" s="12" t="str">
        <x:v>Default calculado</x:v>
      </x:c>
      <x:c r="T62" s="20" t="n">
        <x:v>0.8</x:v>
      </x:c>
      <x:c r="U62" s="14" t="str">
        <x:v>—</x:v>
      </x:c>
    </x:row>
  </x:sheetData>
  <x:conditionalFormatting sqref="E2:E62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F2:F62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G2:G62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H2:H62">
    <x:cfRule type="cellIs" dxfId="6" priority="7" operator="greaterThan">
      <x:formula>0</x:formula>
    </x:cfRule>
    <x:cfRule type="cellIs" dxfId="7" priority="8" operator="lessThan">
      <x:formula>0</x:formula>
    </x:cfRule>
  </x:conditionalFormatting>
  <x:conditionalFormatting sqref="I2:I62">
    <x:cfRule type="cellIs" dxfId="8" priority="9" operator="greaterThan">
      <x:formula>0</x:formula>
    </x:cfRule>
    <x:cfRule type="cellIs" dxfId="9" priority="10" operator="lessThan">
      <x:formula>0</x:formula>
    </x:cfRule>
  </x:conditionalFormatting>
  <x:conditionalFormatting sqref="J2:J62">
    <x:cfRule type="expression" dxfId="10" priority="11">
      <x:formula>J2&lt;&gt;"—"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81e1c4dc144e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4" hidden="0" customWidth="1"/>
    <x:col min="4" max="4" width="22" hidden="0" customWidth="1"/>
    <x:col min="5" max="5" width="12" hidden="0" customWidth="1"/>
  </x:cols>
  <x:sheetData>
    <x:row r="1" ht="30" customHeight="1">
      <x:c r="A1" s="24" t="str">
        <x:v>GobernArg — Acciones políticas actuales</x:v>
      </x:c>
      <x:c r="B1" s="24"/>
      <x:c r="C1" s="24"/>
      <x:c r="D1" s="24"/>
      <x:c r="E1" s="24"/>
      <x:c r="F1" s="24"/>
    </x:row>
    <x:row r="3">
      <x:c r="A3" s="6" t="str">
        <x:v>Indicador</x:v>
      </x:c>
      <x:c r="B3" s="6" t="str">
        <x:v>Valor</x:v>
      </x:c>
      <x:c r="D3" s="6" t="str">
        <x:v>Categoría</x:v>
      </x:c>
      <x:c r="E3" s="6" t="str">
        <x:v>Cantidad</x:v>
      </x:c>
    </x:row>
    <x:row r="4">
      <x:c r="A4" t="str">
        <x:v>Total de acciones</x:v>
      </x:c>
      <x:c r="B4" t="n">
        <x:f>COUNTA('Acciones actuales'!A2:A62)</x:f>
        <x:v>61</x:v>
      </x:c>
      <x:c r="D4" t="str">
        <x:v>economia</x:v>
      </x:c>
      <x:c r="E4" t="n">
        <x:f>COUNTIF('Acciones actuales'!C2:C62,D4)</x:f>
        <x:v>12</x:v>
      </x:c>
    </x:row>
    <x:row r="5">
      <x:c r="A5" t="str">
        <x:v>Acciones con efectos grupales REAL</x:v>
      </x:c>
      <x:c r="B5" t="n">
        <x:f>COUNTIF('Acciones actuales'!J2:J62,"&lt;&gt;—")</x:f>
        <x:v>8</x:v>
      </x:c>
      <x:c r="D5" t="str">
        <x:v>social</x:v>
      </x:c>
      <x:c r="E5" t="n">
        <x:f>COUNTIF('Acciones actuales'!C2:C62,D5)</x:f>
        <x:v>10</x:v>
      </x:c>
    </x:row>
    <x:row r="6">
      <x:c r="A6" t="str">
        <x:v>Acciones con cooldown explícito</x:v>
      </x:c>
      <x:c r="B6" t="n">
        <x:f>COUNTIF('Acciones actuales'!S2:S62,"Explícito")</x:f>
        <x:v>5</x:v>
      </x:c>
      <x:c r="D6" t="str">
        <x:v>infraestructura</x:v>
      </x:c>
      <x:c r="E6" t="n">
        <x:f>COUNTIF('Acciones actuales'!C2:C62,D6)</x:f>
        <x:v>14</x:v>
      </x:c>
    </x:row>
    <x:row r="7">
      <x:c r="D7" t="str">
        <x:v>diplomacia</x:v>
      </x:c>
      <x:c r="E7" t="n">
        <x:f>COUNTIF('Acciones actuales'!C2:C62,D7)</x:f>
        <x:v>7</x:v>
      </x:c>
    </x:row>
    <x:row r="8">
      <x:c r="A8" s="6" t="str">
        <x:v>Notas clave del estado actual</x:v>
      </x:c>
      <x:c r="B8" s="6"/>
      <x:c r="C8" s="6"/>
      <x:c r="D8" s="6" t="str">
        <x:v>seguridad</x:v>
      </x:c>
      <x:c r="E8" s="6" t="n">
        <x:f>COUNTIF('Acciones actuales'!C2:C62,D8)</x:f>
        <x:v>7</x:v>
      </x:c>
      <x:c r="F8" s="6"/>
    </x:row>
    <x:row r="9">
      <x:c r="A9" s="28" t="str">
        <x:v>Fuente de verdad</x:v>
      </x:c>
      <x:c r="B9" s="30" t="str">
        <x:v>actionRegistry.ts actual + motores de ejecución. Dump leído completo el 23-09-2026.</x:v>
      </x:c>
      <x:c r="D9" t="str">
        <x:v>cultura</x:v>
      </x:c>
      <x:c r="E9" t="n">
        <x:f>COUNTIF('Acciones actuales'!C2:C62,D9)</x:f>
        <x:v>8</x:v>
      </x:c>
    </x:row>
    <x:row r="10">
      <x:c r="A10" s="28" t="str">
        <x:v>Grupos REAL</x:v>
      </x:c>
      <x:c r="B10" s="30" t="str">
        <x:v>Solo explicitGroupEffects modifica groupRelations actualmente. affectedGroups es tooltip.</x:v>
      </x:c>
      <x:c r="D10" t="str">
        <x:v>educacion</x:v>
      </x:c>
      <x:c r="E10" t="n">
        <x:f>COUNTIF('Acciones actuales'!C2:C62,D10)</x:f>
        <x:v>1</x:v>
      </x:c>
    </x:row>
    <x:row r="11">
      <x:c r="A11" s="28" t="str">
        <x:v>Voto</x:v>
      </x:c>
      <x:c r="B11" s="30" t="str">
        <x:v>votingIntentionChange se aplica pero recalcState recalcula la intención de voto, por lo que no deja efecto neto.</x:v>
      </x:c>
      <x:c r="D11" t="str">
        <x:v>turismo</x:v>
      </x:c>
      <x:c r="E11" t="n">
        <x:f>COUNTIF('Acciones actuales'!C2:C62,D11)</x:f>
        <x:v>1</x:v>
      </x:c>
    </x:row>
    <x:row r="12">
      <x:c r="A12" s="28" t="str">
        <x:v>Cooldown</x:v>
      </x:c>
      <x:c r="B12" s="30" t="str">
        <x:v>‘Default calculado’ proviene de getDefaultCooldown; ‘Explícito’ está declarado en la acción.</x:v>
      </x:c>
      <x:c r="D12" t="str">
        <x:v>tecnologia</x:v>
      </x:c>
      <x:c r="E12" t="n">
        <x:f>COUNTIF('Acciones actuales'!C2:C62,D12)</x:f>
        <x:v>1</x:v>
      </x:c>
    </x:row>
    <x:row r="13">
      <x:c r="A13" s="28" t="str">
        <x:v>Diminishing</x:v>
      </x:c>
      <x:c r="B13" s="30" t="str">
        <x:v>Factor literal usado por el motor para rendimientos decrecientes por repetición.</x:v>
      </x:c>
    </x:row>
  </x:sheetData>
  <x:mergeCells>
    <x:mergeCell ref="A1:F1"/>
    <x:mergeCell ref="A8:F8"/>
  </x:mergeCells>
  <x:pageMargins left="0.7" right="0.7" top="0.75" bottom="0.75" header="0.3" footer="0.3"/>
  <x:drawing xmlns:r="http://schemas.openxmlformats.org/officeDocument/2006/relationships" r:id="R58e28229a52842ae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105" hidden="0" customWidth="1"/>
  </x:cols>
  <x:sheetData>
    <x:row r="1">
      <x:c r="A1" s="32" t="str">
        <x:v>Mecánicas donde repetir una acción cambia sus consecuencias</x:v>
      </x:c>
      <x:c r="B1" s="32"/>
      <x:c r="C1" s="32"/>
    </x:row>
    <x:row r="3">
      <x:c r="A3" s="6" t="str">
        <x:v>#</x:v>
      </x:c>
      <x:c r="B3" s="6" t="str">
        <x:v>Mecánica</x:v>
      </x:c>
      <x:c r="C3" s="6" t="str">
        <x:v>Estado actual / efecto</x:v>
      </x:c>
    </x:row>
    <x:row r="4" ht="52" customHeight="1">
      <x:c r="A4" s="12" t="n">
        <x:v>1</x:v>
      </x:c>
      <x:c r="B4" s="14" t="str"/>
      <x:c r="C4" s="14" t="str">
        <x:v>Rendimientos decrecientes + inversión (todas): diminishing = (diminishingFactor ?? 0.80)^usageCount (actionEffects.ts:36). Afecta popularityChange y budgetChange (positivo o negativo: un reuso cobra menos pero también paga menos) y a multiEffects (actionEffects.ts:72-76). emitir_dinero 0.65 (más agresivo), préstamos 0.90, seguridad_ciudadana 0.85, resto 0.80. Si usageCount≥5 y pop&gt;0, la popularidad se invierte a negativa (actionEffects.ts:38-40).</x:v>
      </x:c>
    </x:row>
    <x:row r="5" ht="52" customHeight="1">
      <x:c r="A5" s="12" t="n">
        <x:v>2</x:v>
      </x:c>
      <x:c r="B5" s="14" t="str"/>
      <x:c r="C5" s="14" t="str">
        <x:v>Cooldowns (todas): al ejecutar, actionCooldowns[id] = cooldown ?? default (turnProcessor.ts:363); bloquea selección mientras &gt;0 (actionEngine.ts:40); decrementa 1/turno (turnProcessor.ts:221-229). CD 1 implícito = usable cada turno; CD 3/6/8 = ventana real de bloqueo.</x:v>
      </x:c>
    </x:row>
    <x:row r="6" ht="52" customHeight="1">
      <x:c r="A6" s="12" t="n">
        <x:v>3</x:v>
      </x:c>
      <x:c r="B6" s="14" t="str">
        <x:v>Emisión monetaria (emitir_dinero): moneyPrintingCount++ por uso (turnProcessor.ts:357). processInflation</x:v>
      </x:c>
      <x:c r="C6" s="14" t="str">
        <x:v>count 3-4 → −5 pop y −50 $ por turno; ≥5 → −20 pop y −300 $ por turno; ≥7 → derrota hyperinflation (victoryConditions.ts:76). Avisos en 3 y 5. Con 16 turnos/mandato y CD 3, 7 emisiones exigen forzar el segundo mandato (el contador resetea a 0 en reelección, electionEngine.ts:114).</x:v>
      </x:c>
    </x:row>
    <x:row r="7" ht="52" customHeight="1">
      <x:c r="A7" s="12" t="n">
        <x:v>4</x:v>
      </x:c>
      <x:c r="B7" s="14" t="str"/>
      <x:c r="C7" s="14" t="str">
        <x:v>Préstamos/deuda (prestamo_*, isLoan): debtCount=min(3,+1), debtServiceRatio=debtCount×0.10 → ingreso fiscal ×(1−ratio): −10/−20/−30% (turnProcessor.ts:365-391). Límite hardcodeado en 3 (la pasiva empresario "máx 4" vía getMaxLoans existe pero no se llama). Ambos tienen futureEffects de repago (t+4:−100/t+3:−75). Resetea a 0 en reelección.</x:v>
      </x:c>
    </x:row>
    <x:row r="8" ht="52" customHeight="1">
      <x:c r="A8" s="12" t="n">
        <x:v>5</x:v>
      </x:c>
      <x:c r="B8" s="14" t="str"/>
      <x:c r="C8" s="14" t="str">
        <x:v>Mantenimiento automático (toda acción con |budget|≥200): generatePendingEffects crea costo extra −15% de |budgetChange| en 2-4 turnos (random) + −2 pop (actionEffects.ts:207-216). Repetir acciones grandes apila mantenimientos futuros.</x:v>
      </x:c>
    </x:row>
    <x:row r="9" ht="52" customHeight="1">
      <x:c r="A9" s="12" t="n">
        <x:v>6</x:v>
      </x:c>
      <x:c r="B9" s="14" t="str"/>
      <x:c r="C9" s="14" t="str">
        <x:v>Infraestructura → ingreso futuro (toda categoría infraestructura, 14 acciones): +10% ingresos fiscales por 3 turnos, activa en t+3 (actionEffects.ts:220-228). Acumulable si se encadenan obras.</x:v>
      </x:c>
    </x:row>
    <x:row r="10" ht="52" customHeight="1">
      <x:c r="A10" s="12" t="n">
        <x:v>7</x:v>
      </x:c>
      <x:c r="B10" s="14" t="str"/>
      <x:c r="C10" s="14" t="str">
        <x:v>Diplomacia → evento futuro (7 acciones): crea PendingEffect type:'diplomatic_event' en t+2 (actionEffects.ts:231-238). Solo marcador/descripción, no altera números por sí mismo.</x:v>
      </x:c>
    </x:row>
    <x:row r="11" ht="52" customHeight="1">
      <x:c r="A11" s="12" t="n">
        <x:v>8</x:v>
      </x:c>
      <x:c r="B11" s="14" t="str"/>
      <x:c r="C11" s="14" t="str">
        <x:v>Estudio de factibilidad → descuento (solo estudio_factibilidad): además de su futureEffects (−15 en t+1), el motor agrega costReductionCategory:'infraestructura' −20% por 6 turnos desde t+1 (actionEffects.ts:242-251), consumido vía costMultiplier (actionEffects.ts:49-56).</x:v>
      </x:c>
    </x:row>
    <x:row r="12" ht="52" customHeight="1">
      <x:c r="A12" s="12" t="n">
        <x:v>9</x:v>
      </x:c>
      <x:c r="B12" s="14" t="str"/>
      <x:c r="C12" s="14" t="str">
        <x:v>Desbloqueos por repetición/uso previo (completedActions): 7 cadenas: reforma_impositiva y prestamo_internacional ← mejorar_recaudacion; energia_renovable, construccion_hospitales, infraestructura_vial ← estudio_factibilidad; modernizacion_aeropuertos ← estudio+infra_vial; lucha_narcotrafico ← fortalecimiento_justicia. Una sola ejecución basta, no se limpia en el mandato. tratado_comercio además exige empresarios≥60.</x:v>
      </x:c>
    </x:row>
    <x:row r="13" ht="52" customHeight="1">
      <x:c r="A13" s="12" t="n">
        <x:v>10</x:v>
      </x:c>
      <x:c r="B13" s="14" t="str"/>
      <x:c r="C13" s="14" t="str">
        <x:v>Antagonismo cruzado (solo las 8 con explícitos): la ganancia grupal dispara applyCrossGroupEffects en una sola pasada sobre groupChanges (turnProcessor.ts:380): ej. subsidios_industriales (+8/+8) genera −4 a antagonistas; plan_viviendas (+12 a sectores-populares) genera −6 a empresarios y −4.8 a clase-alta. Repetirlas re-aplica el castigo cada vez.</x:v>
      </x:c>
    </x:row>
    <x:row r="14" ht="52" customHeight="1">
      <x:c r="A14" s="12" t="n">
        <x:v>11</x:v>
      </x:c>
      <x:c r="B14" s="14" t="str"/>
      <x:c r="C14" s="14" t="str">
        <x:v>Ejes ideológicos (todas, por categoría): cada uso suma shift (axisEngine.ts:9-19, ej. seguridad −3 radical / −2 cerrado). En extremos ±80 activan modificadores (axisEngine.ts:43-70): costo/efectividad por categoría, estabilidad ±5/turno, relaciones ±10 a todos.</x:v>
      </x:c>
    </x:row>
    <x:row r="15" ht="52" customHeight="1">
      <x:c r="A15" s="12" t="n">
        <x:v>12</x:v>
      </x:c>
      <x:c r="B15" s="14" t="str"/>
      <x:c r="C15" s="14" t="str">
        <x:v>Legitimidad acumulada: además del multiEffects, cada uso suma calculateLegitimacyChange (+3 cultura/diplomacia; −8 decretos; −|pop|×0.1 si impopular). Sin derrota asociada; solo puerta de minLegitimacy (hoy sin usos en registry).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3aaf439f3af4d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32" t="str">
        <x:v>Fuente y criterios del dump</x:v>
      </x:c>
      <x:c r="B1" s="32"/>
    </x:row>
    <x:row r="3" ht="44" customHeight="1">
      <x:c r="A3" s="34" t="str">
        <x:v>Fuente de verdad</x:v>
      </x:c>
      <x:c r="B3" s="14" t="str">
        <x:v>project-bolt-sb1-dzgqso GobernArg 21-11/project/src/data/actionRegistry.ts (61 acciones, leído completo 23-09-2026), más actionEffects.ts, actionEngine.ts, turnProcessor.ts y types/game.ts.</x:v>
      </x:c>
    </x:row>
    <x:row r="4" ht="44" customHeight="1">
      <x:c r="A4" s="34" t="str">
        <x:v>Documento desactualizado</x:v>
      </x:c>
      <x:c r="B4" s="14" t="str">
        <x:v>tabla_impactos_acciones.md (20-09): cooldown emitir_dinero:4, 35 satisfiesDemand y minBudget divergentes.</x:v>
      </x:c>
    </x:row>
    <x:row r="5" ht="44" customHeight="1">
      <x:c r="A5" s="34" t="str">
        <x:v>Vigente</x:v>
      </x:c>
      <x:c r="B5" s="14" t="str">
        <x:v>emitir_dinero cooldown:3; satisfiesDemand en 44 acciones; actionCategories.ts deriva del registry.</x:v>
      </x:c>
    </x:row>
    <x:row r="6" ht="44" customHeight="1">
      <x:c r="A6" s="34" t="str">
        <x:v>affectedGroups</x:v>
      </x:c>
      <x:c r="B6" s="14" t="str">
        <x:v>Solo tooltip. No modifica groupRelations.</x:v>
      </x:c>
    </x:row>
    <x:row r="7" ht="44" customHeight="1">
      <x:c r="A7" s="34" t="str">
        <x:v>explicitGroupEffects</x:v>
      </x:c>
      <x:c r="B7" s="14" t="str">
        <x:v>Único efecto grupal que ejecuta el motor en las 8 acciones que lo declaran.</x:v>
      </x:c>
    </x:row>
    <x:row r="8" ht="44" customHeight="1">
      <x:c r="A8" s="34" t="str">
        <x:v>Presupuesto Δ</x:v>
      </x:c>
      <x:c r="B8" s="14" t="str">
        <x:v>budgetChange literal: positivo ingresa, negativo gasta.</x:v>
      </x:c>
    </x:row>
    <x:row r="9" ht="44" customHeight="1">
      <x:c r="A9" s="34" t="str">
        <x:v>Popularidad Δ</x:v>
      </x:c>
      <x:c r="B9" s="14" t="str">
        <x:v>popularityChange literal; luego el motor aplica multiplicadores y factor 0.40.</x:v>
      </x:c>
    </x:row>
    <x:row r="10" ht="44" customHeight="1">
      <x:c r="A10" s="34" t="str">
        <x:v>Est/Leg/Voto</x:v>
      </x:c>
      <x:c r="B10" s="14" t="str">
        <x:v>multiEffects literal. votingIntentionChange no deja efecto neto por recalculado posterior.</x:v>
      </x:c>
    </x:row>
    <x:row r="11" ht="44" customHeight="1">
      <x:c r="A11" s="34" t="str">
        <x:v>Legitimidad extra</x:v>
      </x:c>
      <x:c r="B11" s="14" t="str">
        <x:v>legitimacyEngine suma +3 a cultura/diplomacia y aplica penalidades adicionales en acciones impopulares/decretos.</x:v>
      </x:c>
    </x:row>
  </x:sheetData>
  <x:mergeCells>
    <x:mergeCell ref="A1:B1"/>
  </x:mergeCells>
  <x:pageMargins left="0.7" right="0.7" top="0.75" bottom="0.75" header="0.3" footer="0.3"/>
</x:worksheet>
</file>